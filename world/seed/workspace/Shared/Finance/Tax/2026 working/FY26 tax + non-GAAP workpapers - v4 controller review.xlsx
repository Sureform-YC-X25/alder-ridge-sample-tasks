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vision and Cash Tax" sheetId="2" state="visible" r:id="rId2"/>
    <sheet xmlns:r="http://schemas.openxmlformats.org/officeDocument/2006/relationships" name="State Tax" sheetId="3" state="visible" r:id="rId3"/>
    <sheet xmlns:r="http://schemas.openxmlformats.org/officeDocument/2006/relationships" name="Non-GAAP and Revenue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'Provision and Cash Tax'!$A$4:$M$107</definedName>
    <definedName name="_xlnm._FilterDatabase" localSheetId="2" hidden="1">'State Tax'!$A$4:$M$101</definedName>
    <definedName name="_xlnm._FilterDatabase" localSheetId="3" hidden="1">'Non-GAAP and Revenue'!$A$4:$M$98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Provision and Cash Tax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TAX-00006</t>
        </is>
      </c>
      <c r="B5" s="27" t="inlineStr">
        <is>
          <t>Complete the annual income-tax provision model</t>
        </is>
      </c>
      <c r="C5" s="27" t="inlineStr">
        <is>
          <t>Tax Adjustments</t>
        </is>
      </c>
      <c r="D5" s="27" t="inlineStr">
        <is>
          <t>Meals nondeductible</t>
        </is>
      </c>
      <c r="E5" s="27" t="inlineStr">
        <is>
          <t>FY26</t>
        </is>
      </c>
      <c r="F5" s="27" t="inlineStr">
        <is>
          <t>Approved case</t>
        </is>
      </c>
      <c r="G5" s="27" t="inlineStr">
        <is>
          <t>Taxable-income adjustment</t>
        </is>
      </c>
      <c r="H5" s="46" t="n">
        <v>85000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TAX-00007</t>
        </is>
      </c>
      <c r="B6" s="27" t="inlineStr">
        <is>
          <t>Complete the annual income-tax provision model</t>
        </is>
      </c>
      <c r="C6" s="27" t="inlineStr">
        <is>
          <t>Tax Adjustments</t>
        </is>
      </c>
      <c r="D6" s="27" t="inlineStr">
        <is>
          <t>Meals nondeductible</t>
        </is>
      </c>
      <c r="E6" s="27" t="inlineStr">
        <is>
          <t>FY26</t>
        </is>
      </c>
      <c r="F6" s="27" t="inlineStr">
        <is>
          <t>Approved case</t>
        </is>
      </c>
      <c r="G6" s="27" t="inlineStr">
        <is>
          <t>Adjustment type</t>
        </is>
      </c>
      <c r="H6" s="46" t="inlineStr"/>
      <c r="I6" s="27" t="inlineStr">
        <is>
          <t>Permanent</t>
        </is>
      </c>
      <c r="J6" s="27" t="inlineStr">
        <is>
          <t>classification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TAX-00008</t>
        </is>
      </c>
      <c r="B7" s="27" t="inlineStr">
        <is>
          <t>Complete the annual income-tax provision model</t>
        </is>
      </c>
      <c r="C7" s="27" t="inlineStr">
        <is>
          <t>Tax Adjustments</t>
        </is>
      </c>
      <c r="D7" s="27" t="inlineStr">
        <is>
          <t>State tax addback</t>
        </is>
      </c>
      <c r="E7" s="27" t="inlineStr">
        <is>
          <t>FY26</t>
        </is>
      </c>
      <c r="F7" s="27" t="inlineStr">
        <is>
          <t>Approved case</t>
        </is>
      </c>
      <c r="G7" s="27" t="inlineStr">
        <is>
          <t>Taxable-income adjustment</t>
        </is>
      </c>
      <c r="H7" s="46" t="n">
        <v>420</v>
      </c>
      <c r="I7" s="27" t="inlineStr"/>
      <c r="J7" s="27" t="inlineStr">
        <is>
          <t>USD thousands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TAX-00009</t>
        </is>
      </c>
      <c r="B8" s="27" t="inlineStr">
        <is>
          <t>Complete the annual income-tax provision model</t>
        </is>
      </c>
      <c r="C8" s="27" t="inlineStr">
        <is>
          <t>Tax Adjustments</t>
        </is>
      </c>
      <c r="D8" s="27" t="inlineStr">
        <is>
          <t>State tax addback</t>
        </is>
      </c>
      <c r="E8" s="27" t="inlineStr">
        <is>
          <t>FY26</t>
        </is>
      </c>
      <c r="F8" s="27" t="inlineStr">
        <is>
          <t>Approved case</t>
        </is>
      </c>
      <c r="G8" s="27" t="inlineStr">
        <is>
          <t>Adjustment type</t>
        </is>
      </c>
      <c r="H8" s="46" t="inlineStr"/>
      <c r="I8" s="27" t="inlineStr">
        <is>
          <t>Permanent</t>
        </is>
      </c>
      <c r="J8" s="27" t="inlineStr">
        <is>
          <t>classification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TAX-00010</t>
        </is>
      </c>
      <c r="B9" s="27" t="inlineStr">
        <is>
          <t>Complete the annual income-tax provision model</t>
        </is>
      </c>
      <c r="C9" s="27" t="inlineStr">
        <is>
          <t>Tax Adjustments</t>
        </is>
      </c>
      <c r="D9" s="27" t="inlineStr">
        <is>
          <t>Bonus accrual</t>
        </is>
      </c>
      <c r="E9" s="27" t="inlineStr">
        <is>
          <t>FY26</t>
        </is>
      </c>
      <c r="F9" s="27" t="inlineStr">
        <is>
          <t>Approved case</t>
        </is>
      </c>
      <c r="G9" s="27" t="inlineStr">
        <is>
          <t>Taxable-income adjustment</t>
        </is>
      </c>
      <c r="H9" s="46" t="n">
        <v>310000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TAX-00011</t>
        </is>
      </c>
      <c r="B10" s="27" t="inlineStr">
        <is>
          <t>Complete the annual income-tax provision model</t>
        </is>
      </c>
      <c r="C10" s="27" t="inlineStr">
        <is>
          <t>Tax Adjustments</t>
        </is>
      </c>
      <c r="D10" s="27" t="inlineStr">
        <is>
          <t>Bonus accrual</t>
        </is>
      </c>
      <c r="E10" s="27" t="inlineStr">
        <is>
          <t>FY26</t>
        </is>
      </c>
      <c r="F10" s="27" t="inlineStr">
        <is>
          <t>Approved case</t>
        </is>
      </c>
      <c r="G10" s="27" t="inlineStr">
        <is>
          <t>Adjustment type</t>
        </is>
      </c>
      <c r="H10" s="46" t="inlineStr"/>
      <c r="I10" s="27" t="inlineStr">
        <is>
          <t>Temporary</t>
        </is>
      </c>
      <c r="J10" s="27" t="inlineStr">
        <is>
          <t>classification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TAX-00012</t>
        </is>
      </c>
      <c r="B11" s="27" t="inlineStr">
        <is>
          <t>Complete the annual income-tax provision model</t>
        </is>
      </c>
      <c r="C11" s="27" t="inlineStr">
        <is>
          <t>Tax Adjustments</t>
        </is>
      </c>
      <c r="D11" s="27" t="inlineStr">
        <is>
          <t>Tax depreciation excess</t>
        </is>
      </c>
      <c r="E11" s="27" t="inlineStr">
        <is>
          <t>FY26</t>
        </is>
      </c>
      <c r="F11" s="27" t="inlineStr">
        <is>
          <t>Approved case</t>
        </is>
      </c>
      <c r="G11" s="27" t="inlineStr">
        <is>
          <t>Taxable-income adjustment</t>
        </is>
      </c>
      <c r="H11" s="46" t="n">
        <v>-540</v>
      </c>
      <c r="I11" s="27" t="inlineStr"/>
      <c r="J11" s="27" t="inlineStr">
        <is>
          <t>USD thousands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TAX-00013</t>
        </is>
      </c>
      <c r="B12" s="27" t="inlineStr">
        <is>
          <t>Complete the annual income-tax provision model</t>
        </is>
      </c>
      <c r="C12" s="27" t="inlineStr">
        <is>
          <t>Tax Adjustments</t>
        </is>
      </c>
      <c r="D12" s="27" t="inlineStr">
        <is>
          <t>Tax depreciation excess</t>
        </is>
      </c>
      <c r="E12" s="27" t="inlineStr">
        <is>
          <t>FY26</t>
        </is>
      </c>
      <c r="F12" s="27" t="inlineStr">
        <is>
          <t>Approved case</t>
        </is>
      </c>
      <c r="G12" s="27" t="inlineStr">
        <is>
          <t>Adjustment type</t>
        </is>
      </c>
      <c r="H12" s="46" t="inlineStr"/>
      <c r="I12" s="27" t="inlineStr">
        <is>
          <t>Temporary</t>
        </is>
      </c>
      <c r="J12" s="27" t="inlineStr">
        <is>
          <t>classification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TAX-00014</t>
        </is>
      </c>
      <c r="B13" s="27" t="inlineStr">
        <is>
          <t>Complete the annual income-tax provision model</t>
        </is>
      </c>
      <c r="C13" s="27" t="inlineStr">
        <is>
          <t>Tax Adjustments</t>
        </is>
      </c>
      <c r="D13" s="27" t="inlineStr">
        <is>
          <t>Federal NOL utilized</t>
        </is>
      </c>
      <c r="E13" s="27" t="inlineStr">
        <is>
          <t>FY26</t>
        </is>
      </c>
      <c r="F13" s="27" t="inlineStr">
        <is>
          <t>Approved case</t>
        </is>
      </c>
      <c r="G13" s="27" t="inlineStr">
        <is>
          <t>Taxable-income adjustment</t>
        </is>
      </c>
      <c r="H13" s="46" t="n">
        <v>-750000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TAX-00015</t>
        </is>
      </c>
      <c r="B14" s="27" t="inlineStr">
        <is>
          <t>Complete the annual income-tax provision model</t>
        </is>
      </c>
      <c r="C14" s="27" t="inlineStr">
        <is>
          <t>Tax Adjustments</t>
        </is>
      </c>
      <c r="D14" s="27" t="inlineStr">
        <is>
          <t>Federal NOL utilized</t>
        </is>
      </c>
      <c r="E14" s="27" t="inlineStr">
        <is>
          <t>FY26</t>
        </is>
      </c>
      <c r="F14" s="27" t="inlineStr">
        <is>
          <t>Approved case</t>
        </is>
      </c>
      <c r="G14" s="27" t="inlineStr">
        <is>
          <t>Adjustment type</t>
        </is>
      </c>
      <c r="H14" s="46" t="inlineStr"/>
      <c r="I14" s="27" t="inlineStr">
        <is>
          <t>Current-only</t>
        </is>
      </c>
      <c r="J14" s="27" t="inlineStr">
        <is>
          <t>classification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TAX-00016</t>
        </is>
      </c>
      <c r="B15" s="27" t="inlineStr">
        <is>
          <t>Complete the annual income-tax provision model</t>
        </is>
      </c>
      <c r="C15" s="27" t="inlineStr">
        <is>
          <t>Tax policy</t>
        </is>
      </c>
      <c r="D15" s="27" t="inlineStr">
        <is>
          <t>Alder Ridge</t>
        </is>
      </c>
      <c r="E15" s="27" t="inlineStr">
        <is>
          <t>FY26</t>
        </is>
      </c>
      <c r="F15" s="27" t="inlineStr">
        <is>
          <t>Approved case</t>
        </is>
      </c>
      <c r="G15" s="27" t="inlineStr">
        <is>
          <t>Federal tax rate</t>
        </is>
      </c>
      <c r="H15" s="46" t="n">
        <v>0.21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TAX-00017</t>
        </is>
      </c>
      <c r="B16" s="27" t="inlineStr">
        <is>
          <t>Complete the annual income-tax provision model</t>
        </is>
      </c>
      <c r="C16" s="27" t="inlineStr">
        <is>
          <t>Tax policy</t>
        </is>
      </c>
      <c r="D16" s="27" t="inlineStr">
        <is>
          <t>Alder Ridge</t>
        </is>
      </c>
      <c r="E16" s="27" t="inlineStr">
        <is>
          <t>FY26</t>
        </is>
      </c>
      <c r="F16" s="27" t="inlineStr">
        <is>
          <t>Approved case</t>
        </is>
      </c>
      <c r="G16" s="27" t="inlineStr">
        <is>
          <t>Beginning net DTA after valuation allowance</t>
        </is>
      </c>
      <c r="H16" s="46" t="n">
        <v>620000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TAX-00018</t>
        </is>
      </c>
      <c r="B17" s="27" t="inlineStr">
        <is>
          <t>Complete the annual income-tax provision model</t>
        </is>
      </c>
      <c r="C17" s="27" t="inlineStr">
        <is>
          <t>Tax policy</t>
        </is>
      </c>
      <c r="D17" s="27" t="inlineStr">
        <is>
          <t>Alder Ridge</t>
        </is>
      </c>
      <c r="E17" s="27" t="inlineStr">
        <is>
          <t>FY26</t>
        </is>
      </c>
      <c r="F17" s="27" t="inlineStr">
        <is>
          <t>Approved case</t>
        </is>
      </c>
      <c r="G17" s="27" t="inlineStr">
        <is>
          <t>Beginning DTL</t>
        </is>
      </c>
      <c r="H17" s="46" t="n">
        <v>880000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TAX-00019</t>
        </is>
      </c>
      <c r="B18" s="27" t="inlineStr">
        <is>
          <t>Complete the annual income-tax provision model</t>
        </is>
      </c>
      <c r="C18" s="27" t="inlineStr">
        <is>
          <t>Tax policy</t>
        </is>
      </c>
      <c r="D18" s="27" t="inlineStr">
        <is>
          <t>Alder Ridge</t>
        </is>
      </c>
      <c r="E18" s="27" t="inlineStr">
        <is>
          <t>FY26</t>
        </is>
      </c>
      <c r="F18" s="27" t="inlineStr">
        <is>
          <t>Approved case</t>
        </is>
      </c>
      <c r="G18" s="27" t="inlineStr">
        <is>
          <t>Sales factor weight</t>
        </is>
      </c>
      <c r="H18" s="46" t="n">
        <v>0.5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TAX-00020</t>
        </is>
      </c>
      <c r="B19" s="27" t="inlineStr">
        <is>
          <t>Complete the annual income-tax provision model</t>
        </is>
      </c>
      <c r="C19" s="27" t="inlineStr">
        <is>
          <t>Tax policy</t>
        </is>
      </c>
      <c r="D19" s="27" t="inlineStr">
        <is>
          <t>Alder Ridge</t>
        </is>
      </c>
      <c r="E19" s="27" t="inlineStr">
        <is>
          <t>FY26</t>
        </is>
      </c>
      <c r="F19" s="27" t="inlineStr">
        <is>
          <t>Approved case</t>
        </is>
      </c>
      <c r="G19" s="27" t="inlineStr">
        <is>
          <t>Property factor weight</t>
        </is>
      </c>
      <c r="H19" s="46" t="n">
        <v>0.25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TAX-00021</t>
        </is>
      </c>
      <c r="B20" s="27" t="inlineStr">
        <is>
          <t>Complete the annual income-tax provision model</t>
        </is>
      </c>
      <c r="C20" s="27" t="inlineStr">
        <is>
          <t>Tax policy</t>
        </is>
      </c>
      <c r="D20" s="27" t="inlineStr">
        <is>
          <t>Alder Ridge</t>
        </is>
      </c>
      <c r="E20" s="27" t="inlineStr">
        <is>
          <t>FY26</t>
        </is>
      </c>
      <c r="F20" s="27" t="inlineStr">
        <is>
          <t>Approved case</t>
        </is>
      </c>
      <c r="G20" s="27" t="inlineStr">
        <is>
          <t>Payroll factor weight</t>
        </is>
      </c>
      <c r="H20" s="46" t="n">
        <v>0.25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TAX-00022</t>
        </is>
      </c>
      <c r="B21" s="27" t="inlineStr">
        <is>
          <t>Complete the annual income-tax provision model</t>
        </is>
      </c>
      <c r="C21" s="27" t="inlineStr">
        <is>
          <t>Tax policy</t>
        </is>
      </c>
      <c r="D21" s="27" t="inlineStr">
        <is>
          <t>Alder Ridge</t>
        </is>
      </c>
      <c r="E21" s="27" t="inlineStr">
        <is>
          <t>FY26</t>
        </is>
      </c>
      <c r="F21" s="27" t="inlineStr">
        <is>
          <t>Approved case</t>
        </is>
      </c>
      <c r="G21" s="27" t="inlineStr">
        <is>
          <t>State apportionable income</t>
        </is>
      </c>
      <c r="H21" s="46" t="n">
        <v>9600000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TAX-00023</t>
        </is>
      </c>
      <c r="B22" s="27" t="inlineStr">
        <is>
          <t>Complete the annual income-tax provision model</t>
        </is>
      </c>
      <c r="C22" s="27" t="inlineStr">
        <is>
          <t>Tax policy</t>
        </is>
      </c>
      <c r="D22" s="27" t="inlineStr">
        <is>
          <t>Alder Ridge</t>
        </is>
      </c>
      <c r="E22" s="27" t="inlineStr">
        <is>
          <t>FY26</t>
        </is>
      </c>
      <c r="F22" s="27" t="inlineStr">
        <is>
          <t>Approved case</t>
        </is>
      </c>
      <c r="G22" s="27" t="inlineStr">
        <is>
          <t>State NOL utilization limit</t>
        </is>
      </c>
      <c r="H22" s="46" t="n">
        <v>0.8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TAX-00024</t>
        </is>
      </c>
      <c r="B23" s="27" t="inlineStr">
        <is>
          <t>Complete the annual income-tax provision model</t>
        </is>
      </c>
      <c r="C23" s="27" t="inlineStr">
        <is>
          <t>Tax policy</t>
        </is>
      </c>
      <c r="D23" s="27" t="inlineStr">
        <is>
          <t>Alder Ridge</t>
        </is>
      </c>
      <c r="E23" s="27" t="inlineStr">
        <is>
          <t>FY26</t>
        </is>
      </c>
      <c r="F23" s="27" t="inlineStr">
        <is>
          <t>Approved case</t>
        </is>
      </c>
      <c r="G23" s="27" t="inlineStr">
        <is>
          <t>State credit valuation allowance percent</t>
        </is>
      </c>
      <c r="H23" s="46" t="n">
        <v>0.4</v>
      </c>
      <c r="I23" s="27" t="inlineStr"/>
      <c r="J23" s="27" t="inlineStr">
        <is>
          <t>decimal ratio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TAX-00025</t>
        </is>
      </c>
      <c r="B24" s="27" t="inlineStr">
        <is>
          <t>Complete the annual income-tax provision model</t>
        </is>
      </c>
      <c r="C24" s="27" t="inlineStr">
        <is>
          <t>FY26 provision state apportionment</t>
        </is>
      </c>
      <c r="D24" s="27" t="inlineStr">
        <is>
          <t>Oregon</t>
        </is>
      </c>
      <c r="E24" s="27" t="inlineStr">
        <is>
          <t>FY26</t>
        </is>
      </c>
      <c r="F24" s="27" t="inlineStr">
        <is>
          <t>Approved case</t>
        </is>
      </c>
      <c r="G24" s="27" t="inlineStr">
        <is>
          <t>Sales factor numerator</t>
        </is>
      </c>
      <c r="H24" s="46" t="n">
        <v>12400000</v>
      </c>
      <c r="I24" s="27" t="inlineStr"/>
      <c r="J24" s="27" t="inlineStr">
        <is>
          <t>USD</t>
        </is>
      </c>
      <c r="K24" s="27" t="inlineStr">
        <is>
          <t>Approved FY26 jurisdiction apportionment workpaper</t>
        </is>
      </c>
      <c r="L24" s="47" t="inlineStr">
        <is>
          <t>2026-06-30</t>
        </is>
      </c>
      <c r="M24" s="27" t="inlineStr"/>
    </row>
    <row r="25">
      <c r="A25" s="36" t="inlineStr">
        <is>
          <t>TAX-00026</t>
        </is>
      </c>
      <c r="B25" s="27" t="inlineStr">
        <is>
          <t>Complete the annual income-tax provision model</t>
        </is>
      </c>
      <c r="C25" s="27" t="inlineStr">
        <is>
          <t>FY26 provision state apportionment</t>
        </is>
      </c>
      <c r="D25" s="27" t="inlineStr">
        <is>
          <t>Oregon</t>
        </is>
      </c>
      <c r="E25" s="27" t="inlineStr">
        <is>
          <t>FY26</t>
        </is>
      </c>
      <c r="F25" s="27" t="inlineStr">
        <is>
          <t>Approved case</t>
        </is>
      </c>
      <c r="G25" s="27" t="inlineStr">
        <is>
          <t>Property factor numerator</t>
        </is>
      </c>
      <c r="H25" s="46" t="n">
        <v>3800000</v>
      </c>
      <c r="I25" s="27" t="inlineStr"/>
      <c r="J25" s="27" t="inlineStr">
        <is>
          <t>USD</t>
        </is>
      </c>
      <c r="K25" s="27" t="inlineStr">
        <is>
          <t>Approved FY26 jurisdiction apportionment workpaper</t>
        </is>
      </c>
      <c r="L25" s="47" t="inlineStr">
        <is>
          <t>2026-06-30</t>
        </is>
      </c>
      <c r="M25" s="27" t="inlineStr"/>
    </row>
    <row r="26">
      <c r="A26" s="36" t="inlineStr">
        <is>
          <t>TAX-00027</t>
        </is>
      </c>
      <c r="B26" s="27" t="inlineStr">
        <is>
          <t>Complete the annual income-tax provision model</t>
        </is>
      </c>
      <c r="C26" s="27" t="inlineStr">
        <is>
          <t>FY26 provision state apportionment</t>
        </is>
      </c>
      <c r="D26" s="27" t="inlineStr">
        <is>
          <t>Oregon</t>
        </is>
      </c>
      <c r="E26" s="27" t="inlineStr">
        <is>
          <t>FY26</t>
        </is>
      </c>
      <c r="F26" s="27" t="inlineStr">
        <is>
          <t>Approved case</t>
        </is>
      </c>
      <c r="G26" s="27" t="inlineStr">
        <is>
          <t>Payroll factor numerator</t>
        </is>
      </c>
      <c r="H26" s="46" t="n">
        <v>4100000</v>
      </c>
      <c r="I26" s="27" t="inlineStr"/>
      <c r="J26" s="27" t="inlineStr">
        <is>
          <t>USD</t>
        </is>
      </c>
      <c r="K26" s="27" t="inlineStr">
        <is>
          <t>Approved FY26 jurisdiction apportionment workpaper</t>
        </is>
      </c>
      <c r="L26" s="47" t="inlineStr">
        <is>
          <t>2026-06-30</t>
        </is>
      </c>
      <c r="M26" s="27" t="inlineStr"/>
    </row>
    <row r="27">
      <c r="A27" s="36" t="inlineStr">
        <is>
          <t>TAX-00028</t>
        </is>
      </c>
      <c r="B27" s="27" t="inlineStr">
        <is>
          <t>Complete the annual income-tax provision model</t>
        </is>
      </c>
      <c r="C27" s="27" t="inlineStr">
        <is>
          <t>FY26 provision state apportionment</t>
        </is>
      </c>
      <c r="D27" s="27" t="inlineStr">
        <is>
          <t>Oregon</t>
        </is>
      </c>
      <c r="E27" s="27" t="inlineStr">
        <is>
          <t>FY26</t>
        </is>
      </c>
      <c r="F27" s="27" t="inlineStr">
        <is>
          <t>Approved case</t>
        </is>
      </c>
      <c r="G27" s="27" t="inlineStr">
        <is>
          <t>Enacted state tax rate</t>
        </is>
      </c>
      <c r="H27" s="46" t="n">
        <v>0.075</v>
      </c>
      <c r="I27" s="27" t="inlineStr"/>
      <c r="J27" s="27" t="inlineStr">
        <is>
          <t>decimal ratio</t>
        </is>
      </c>
      <c r="K27" s="27" t="inlineStr">
        <is>
          <t>Approved FY26 jurisdiction apportionment workpaper</t>
        </is>
      </c>
      <c r="L27" s="47" t="inlineStr">
        <is>
          <t>2026-06-30</t>
        </is>
      </c>
      <c r="M27" s="27" t="inlineStr"/>
    </row>
    <row r="28">
      <c r="A28" s="36" t="inlineStr">
        <is>
          <t>TAX-00029</t>
        </is>
      </c>
      <c r="B28" s="27" t="inlineStr">
        <is>
          <t>Complete the annual income-tax provision model</t>
        </is>
      </c>
      <c r="C28" s="27" t="inlineStr">
        <is>
          <t>FY26 provision state apportionment</t>
        </is>
      </c>
      <c r="D28" s="27" t="inlineStr">
        <is>
          <t>Oregon</t>
        </is>
      </c>
      <c r="E28" s="27" t="inlineStr">
        <is>
          <t>FY26</t>
        </is>
      </c>
      <c r="F28" s="27" t="inlineStr">
        <is>
          <t>Approved case</t>
        </is>
      </c>
      <c r="G28" s="27" t="inlineStr">
        <is>
          <t>Available state NOL</t>
        </is>
      </c>
      <c r="H28" s="46" t="n">
        <v>0</v>
      </c>
      <c r="I28" s="27" t="inlineStr"/>
      <c r="J28" s="27" t="inlineStr">
        <is>
          <t>USD</t>
        </is>
      </c>
      <c r="K28" s="27" t="inlineStr">
        <is>
          <t>Approved FY26 jurisdiction apportionment workpaper</t>
        </is>
      </c>
      <c r="L28" s="47" t="inlineStr">
        <is>
          <t>2026-06-30</t>
        </is>
      </c>
      <c r="M28" s="27" t="inlineStr"/>
    </row>
    <row r="29">
      <c r="A29" s="36" t="inlineStr">
        <is>
          <t>TAX-00030</t>
        </is>
      </c>
      <c r="B29" s="27" t="inlineStr">
        <is>
          <t>Complete the annual income-tax provision model</t>
        </is>
      </c>
      <c r="C29" s="27" t="inlineStr">
        <is>
          <t>FY26 provision state apportionment</t>
        </is>
      </c>
      <c r="D29" s="27" t="inlineStr">
        <is>
          <t>Washington</t>
        </is>
      </c>
      <c r="E29" s="27" t="inlineStr">
        <is>
          <t>FY26</t>
        </is>
      </c>
      <c r="F29" s="27" t="inlineStr">
        <is>
          <t>Approved case</t>
        </is>
      </c>
      <c r="G29" s="27" t="inlineStr">
        <is>
          <t>Sales factor numerator</t>
        </is>
      </c>
      <c r="H29" s="46" t="n">
        <v>18600000</v>
      </c>
      <c r="I29" s="27" t="inlineStr"/>
      <c r="J29" s="27" t="inlineStr">
        <is>
          <t>USD</t>
        </is>
      </c>
      <c r="K29" s="27" t="inlineStr">
        <is>
          <t>Approved FY26 jurisdiction apportionment workpaper</t>
        </is>
      </c>
      <c r="L29" s="47" t="inlineStr">
        <is>
          <t>2026-06-30</t>
        </is>
      </c>
      <c r="M29" s="27" t="inlineStr"/>
    </row>
    <row r="30">
      <c r="A30" s="36" t="inlineStr">
        <is>
          <t>TAX-00031</t>
        </is>
      </c>
      <c r="B30" s="27" t="inlineStr">
        <is>
          <t>Complete the annual income-tax provision model</t>
        </is>
      </c>
      <c r="C30" s="27" t="inlineStr">
        <is>
          <t>FY26 provision state apportionment</t>
        </is>
      </c>
      <c r="D30" s="27" t="inlineStr">
        <is>
          <t>Washington</t>
        </is>
      </c>
      <c r="E30" s="27" t="inlineStr">
        <is>
          <t>FY26</t>
        </is>
      </c>
      <c r="F30" s="27" t="inlineStr">
        <is>
          <t>Approved case</t>
        </is>
      </c>
      <c r="G30" s="27" t="inlineStr">
        <is>
          <t>Property factor numerator</t>
        </is>
      </c>
      <c r="H30" s="46" t="n">
        <v>4900000</v>
      </c>
      <c r="I30" s="27" t="inlineStr"/>
      <c r="J30" s="27" t="inlineStr">
        <is>
          <t>USD</t>
        </is>
      </c>
      <c r="K30" s="27" t="inlineStr">
        <is>
          <t>Approved FY26 jurisdiction apportionment workpaper</t>
        </is>
      </c>
      <c r="L30" s="47" t="inlineStr">
        <is>
          <t>2026-06-30</t>
        </is>
      </c>
      <c r="M30" s="27" t="inlineStr"/>
    </row>
    <row r="31">
      <c r="A31" s="36" t="inlineStr">
        <is>
          <t>TAX-00032</t>
        </is>
      </c>
      <c r="B31" s="27" t="inlineStr">
        <is>
          <t>Complete the annual income-tax provision model</t>
        </is>
      </c>
      <c r="C31" s="27" t="inlineStr">
        <is>
          <t>FY26 provision state apportionment</t>
        </is>
      </c>
      <c r="D31" s="27" t="inlineStr">
        <is>
          <t>Washington</t>
        </is>
      </c>
      <c r="E31" s="27" t="inlineStr">
        <is>
          <t>FY26</t>
        </is>
      </c>
      <c r="F31" s="27" t="inlineStr">
        <is>
          <t>Approved case</t>
        </is>
      </c>
      <c r="G31" s="27" t="inlineStr">
        <is>
          <t>Payroll factor numerator</t>
        </is>
      </c>
      <c r="H31" s="46" t="n">
        <v>5200</v>
      </c>
      <c r="I31" s="27" t="inlineStr"/>
      <c r="J31" s="27" t="inlineStr">
        <is>
          <t>USD thousands</t>
        </is>
      </c>
      <c r="K31" s="27" t="inlineStr">
        <is>
          <t>Approved FY26 jurisdiction apportionment workpaper</t>
        </is>
      </c>
      <c r="L31" s="47" t="inlineStr">
        <is>
          <t>2026-06-30</t>
        </is>
      </c>
      <c r="M31" s="27" t="inlineStr"/>
    </row>
    <row r="32">
      <c r="A32" s="36" t="inlineStr">
        <is>
          <t>TAX-00033</t>
        </is>
      </c>
      <c r="B32" s="27" t="inlineStr">
        <is>
          <t>Complete the annual income-tax provision model</t>
        </is>
      </c>
      <c r="C32" s="27" t="inlineStr">
        <is>
          <t>FY26 provision state apportionment</t>
        </is>
      </c>
      <c r="D32" s="27" t="inlineStr">
        <is>
          <t>Washington</t>
        </is>
      </c>
      <c r="E32" s="27" t="inlineStr">
        <is>
          <t>FY26</t>
        </is>
      </c>
      <c r="F32" s="27" t="inlineStr">
        <is>
          <t>Approved case</t>
        </is>
      </c>
      <c r="G32" s="27" t="inlineStr">
        <is>
          <t>Enacted state tax rate</t>
        </is>
      </c>
      <c r="H32" s="46" t="n">
        <v>0.015</v>
      </c>
      <c r="I32" s="27" t="inlineStr"/>
      <c r="J32" s="27" t="inlineStr">
        <is>
          <t>decimal ratio</t>
        </is>
      </c>
      <c r="K32" s="27" t="inlineStr">
        <is>
          <t>Approved FY26 jurisdiction apportionment workpaper</t>
        </is>
      </c>
      <c r="L32" s="47" t="inlineStr">
        <is>
          <t>2026-06-30</t>
        </is>
      </c>
      <c r="M32" s="27" t="inlineStr"/>
    </row>
    <row r="33">
      <c r="A33" s="36" t="inlineStr">
        <is>
          <t>TAX-00034</t>
        </is>
      </c>
      <c r="B33" s="27" t="inlineStr">
        <is>
          <t>Complete the annual income-tax provision model</t>
        </is>
      </c>
      <c r="C33" s="27" t="inlineStr">
        <is>
          <t>FY26 provision state apportionment</t>
        </is>
      </c>
      <c r="D33" s="27" t="inlineStr">
        <is>
          <t>Washington</t>
        </is>
      </c>
      <c r="E33" s="27" t="inlineStr">
        <is>
          <t>FY26</t>
        </is>
      </c>
      <c r="F33" s="27" t="inlineStr">
        <is>
          <t>Approved case</t>
        </is>
      </c>
      <c r="G33" s="27" t="inlineStr">
        <is>
          <t>Available state NOL</t>
        </is>
      </c>
      <c r="H33" s="46" t="n">
        <v>0</v>
      </c>
      <c r="I33" s="27" t="inlineStr"/>
      <c r="J33" s="27" t="inlineStr">
        <is>
          <t>USD</t>
        </is>
      </c>
      <c r="K33" s="27" t="inlineStr">
        <is>
          <t>Approved FY26 jurisdiction apportionment workpaper</t>
        </is>
      </c>
      <c r="L33" s="47" t="inlineStr">
        <is>
          <t>2026-06-30</t>
        </is>
      </c>
      <c r="M33" s="27" t="inlineStr"/>
    </row>
    <row r="34">
      <c r="A34" s="36" t="inlineStr">
        <is>
          <t>TAX-00035</t>
        </is>
      </c>
      <c r="B34" s="27" t="inlineStr">
        <is>
          <t>Complete the annual income-tax provision model</t>
        </is>
      </c>
      <c r="C34" s="27" t="inlineStr">
        <is>
          <t>FY26 provision state apportionment</t>
        </is>
      </c>
      <c r="D34" s="27" t="inlineStr">
        <is>
          <t>California</t>
        </is>
      </c>
      <c r="E34" s="27" t="inlineStr">
        <is>
          <t>FY26</t>
        </is>
      </c>
      <c r="F34" s="27" t="inlineStr">
        <is>
          <t>Approved case</t>
        </is>
      </c>
      <c r="G34" s="27" t="inlineStr">
        <is>
          <t>Sales factor numerator</t>
        </is>
      </c>
      <c r="H34" s="46" t="n">
        <v>9800000</v>
      </c>
      <c r="I34" s="27" t="inlineStr"/>
      <c r="J34" s="27" t="inlineStr">
        <is>
          <t>USD</t>
        </is>
      </c>
      <c r="K34" s="27" t="inlineStr">
        <is>
          <t>Approved FY26 jurisdiction apportionment workpaper</t>
        </is>
      </c>
      <c r="L34" s="47" t="inlineStr">
        <is>
          <t>2026-06-30</t>
        </is>
      </c>
      <c r="M34" s="27" t="inlineStr"/>
    </row>
    <row r="35">
      <c r="A35" s="36" t="inlineStr">
        <is>
          <t>TAX-00036</t>
        </is>
      </c>
      <c r="B35" s="27" t="inlineStr">
        <is>
          <t>Complete the annual income-tax provision model</t>
        </is>
      </c>
      <c r="C35" s="27" t="inlineStr">
        <is>
          <t>FY26 provision state apportionment</t>
        </is>
      </c>
      <c r="D35" s="27" t="inlineStr">
        <is>
          <t>California</t>
        </is>
      </c>
      <c r="E35" s="27" t="inlineStr">
        <is>
          <t>FY26</t>
        </is>
      </c>
      <c r="F35" s="27" t="inlineStr">
        <is>
          <t>Approved case</t>
        </is>
      </c>
      <c r="G35" s="27" t="inlineStr">
        <is>
          <t>Property factor numerator</t>
        </is>
      </c>
      <c r="H35" s="46" t="n">
        <v>2600</v>
      </c>
      <c r="I35" s="27" t="inlineStr"/>
      <c r="J35" s="27" t="inlineStr">
        <is>
          <t>USD thousands</t>
        </is>
      </c>
      <c r="K35" s="27" t="inlineStr">
        <is>
          <t>Approved FY26 jurisdiction apportionment workpaper</t>
        </is>
      </c>
      <c r="L35" s="47" t="inlineStr">
        <is>
          <t>2026-06-30</t>
        </is>
      </c>
      <c r="M35" s="27" t="inlineStr"/>
    </row>
    <row r="36">
      <c r="A36" s="36" t="inlineStr">
        <is>
          <t>TAX-00037</t>
        </is>
      </c>
      <c r="B36" s="27" t="inlineStr">
        <is>
          <t>Complete the annual income-tax provision model</t>
        </is>
      </c>
      <c r="C36" s="27" t="inlineStr">
        <is>
          <t>FY26 provision state apportionment</t>
        </is>
      </c>
      <c r="D36" s="27" t="inlineStr">
        <is>
          <t>California</t>
        </is>
      </c>
      <c r="E36" s="27" t="inlineStr">
        <is>
          <t>FY26</t>
        </is>
      </c>
      <c r="F36" s="27" t="inlineStr">
        <is>
          <t>Approved case</t>
        </is>
      </c>
      <c r="G36" s="27" t="inlineStr">
        <is>
          <t>Payroll factor numerator</t>
        </is>
      </c>
      <c r="H36" s="46" t="n">
        <v>3100000</v>
      </c>
      <c r="I36" s="27" t="inlineStr"/>
      <c r="J36" s="27" t="inlineStr">
        <is>
          <t>USD</t>
        </is>
      </c>
      <c r="K36" s="27" t="inlineStr">
        <is>
          <t>Approved FY26 jurisdiction apportionment workpaper</t>
        </is>
      </c>
      <c r="L36" s="47" t="inlineStr">
        <is>
          <t>2026-06-30</t>
        </is>
      </c>
      <c r="M36" s="27" t="inlineStr"/>
    </row>
    <row r="37">
      <c r="A37" s="36" t="inlineStr">
        <is>
          <t>TAX-00038</t>
        </is>
      </c>
      <c r="B37" s="27" t="inlineStr">
        <is>
          <t>Complete the annual income-tax provision model</t>
        </is>
      </c>
      <c r="C37" s="27" t="inlineStr">
        <is>
          <t>FY26 provision state apportionment</t>
        </is>
      </c>
      <c r="D37" s="27" t="inlineStr">
        <is>
          <t>California</t>
        </is>
      </c>
      <c r="E37" s="27" t="inlineStr">
        <is>
          <t>FY26</t>
        </is>
      </c>
      <c r="F37" s="27" t="inlineStr">
        <is>
          <t>Approved case</t>
        </is>
      </c>
      <c r="G37" s="27" t="inlineStr">
        <is>
          <t>Enacted state tax rate</t>
        </is>
      </c>
      <c r="H37" s="46" t="n">
        <v>0.08840000000000001</v>
      </c>
      <c r="I37" s="27" t="inlineStr"/>
      <c r="J37" s="27" t="inlineStr">
        <is>
          <t>decimal ratio</t>
        </is>
      </c>
      <c r="K37" s="27" t="inlineStr">
        <is>
          <t>Approved FY26 jurisdiction apportionment workpaper</t>
        </is>
      </c>
      <c r="L37" s="47" t="inlineStr">
        <is>
          <t>2026-06-30</t>
        </is>
      </c>
      <c r="M37" s="27" t="inlineStr"/>
    </row>
    <row r="38">
      <c r="A38" s="36" t="inlineStr">
        <is>
          <t>TAX-00039</t>
        </is>
      </c>
      <c r="B38" s="27" t="inlineStr">
        <is>
          <t>Complete the annual income-tax provision model</t>
        </is>
      </c>
      <c r="C38" s="27" t="inlineStr">
        <is>
          <t>FY26 provision state apportionment</t>
        </is>
      </c>
      <c r="D38" s="27" t="inlineStr">
        <is>
          <t>California</t>
        </is>
      </c>
      <c r="E38" s="27" t="inlineStr">
        <is>
          <t>FY26</t>
        </is>
      </c>
      <c r="F38" s="27" t="inlineStr">
        <is>
          <t>Approved case</t>
        </is>
      </c>
      <c r="G38" s="27" t="inlineStr">
        <is>
          <t>Available state NOL</t>
        </is>
      </c>
      <c r="H38" s="46" t="n">
        <v>1150000</v>
      </c>
      <c r="I38" s="27" t="inlineStr"/>
      <c r="J38" s="27" t="inlineStr">
        <is>
          <t>USD</t>
        </is>
      </c>
      <c r="K38" s="27" t="inlineStr">
        <is>
          <t>Approved FY26 jurisdiction apportionment workpaper</t>
        </is>
      </c>
      <c r="L38" s="47" t="inlineStr">
        <is>
          <t>2026-06-30</t>
        </is>
      </c>
      <c r="M38" s="27" t="inlineStr"/>
    </row>
    <row r="39">
      <c r="A39" s="36" t="inlineStr">
        <is>
          <t>TAX-00040</t>
        </is>
      </c>
      <c r="B39" s="27" t="inlineStr">
        <is>
          <t>Complete the annual income-tax provision model</t>
        </is>
      </c>
      <c r="C39" s="27" t="inlineStr">
        <is>
          <t>FY26 provision state apportionment</t>
        </is>
      </c>
      <c r="D39" s="27" t="inlineStr">
        <is>
          <t>Idaho</t>
        </is>
      </c>
      <c r="E39" s="27" t="inlineStr">
        <is>
          <t>FY26</t>
        </is>
      </c>
      <c r="F39" s="27" t="inlineStr">
        <is>
          <t>Approved case</t>
        </is>
      </c>
      <c r="G39" s="27" t="inlineStr">
        <is>
          <t>Sales factor numerator</t>
        </is>
      </c>
      <c r="H39" s="46" t="n">
        <v>6200</v>
      </c>
      <c r="I39" s="27" t="inlineStr"/>
      <c r="J39" s="27" t="inlineStr">
        <is>
          <t>USD thousands</t>
        </is>
      </c>
      <c r="K39" s="27" t="inlineStr">
        <is>
          <t>Approved FY26 jurisdiction apportionment workpaper</t>
        </is>
      </c>
      <c r="L39" s="47" t="inlineStr">
        <is>
          <t>2026-06-30</t>
        </is>
      </c>
      <c r="M39" s="27" t="inlineStr"/>
    </row>
    <row r="40">
      <c r="A40" s="36" t="inlineStr">
        <is>
          <t>TAX-00041</t>
        </is>
      </c>
      <c r="B40" s="27" t="inlineStr">
        <is>
          <t>Complete the annual income-tax provision model</t>
        </is>
      </c>
      <c r="C40" s="27" t="inlineStr">
        <is>
          <t>FY26 provision state apportionment</t>
        </is>
      </c>
      <c r="D40" s="27" t="inlineStr">
        <is>
          <t>Idaho</t>
        </is>
      </c>
      <c r="E40" s="27" t="inlineStr">
        <is>
          <t>FY26</t>
        </is>
      </c>
      <c r="F40" s="27" t="inlineStr">
        <is>
          <t>Approved case</t>
        </is>
      </c>
      <c r="G40" s="27" t="inlineStr">
        <is>
          <t>Property factor numerator</t>
        </is>
      </c>
      <c r="H40" s="46" t="n">
        <v>1500000</v>
      </c>
      <c r="I40" s="27" t="inlineStr"/>
      <c r="J40" s="27" t="inlineStr">
        <is>
          <t>USD</t>
        </is>
      </c>
      <c r="K40" s="27" t="inlineStr">
        <is>
          <t>Approved FY26 jurisdiction apportionment workpaper</t>
        </is>
      </c>
      <c r="L40" s="47" t="inlineStr">
        <is>
          <t>2026-06-30</t>
        </is>
      </c>
      <c r="M40" s="27" t="inlineStr"/>
    </row>
    <row r="41">
      <c r="A41" s="36" t="inlineStr">
        <is>
          <t>TAX-00042</t>
        </is>
      </c>
      <c r="B41" s="27" t="inlineStr">
        <is>
          <t>Complete the annual income-tax provision model</t>
        </is>
      </c>
      <c r="C41" s="27" t="inlineStr">
        <is>
          <t>FY26 provision state apportionment</t>
        </is>
      </c>
      <c r="D41" s="27" t="inlineStr">
        <is>
          <t>Idaho</t>
        </is>
      </c>
      <c r="E41" s="27" t="inlineStr">
        <is>
          <t>FY26</t>
        </is>
      </c>
      <c r="F41" s="27" t="inlineStr">
        <is>
          <t>Approved case</t>
        </is>
      </c>
      <c r="G41" s="27" t="inlineStr">
        <is>
          <t>Payroll factor numerator</t>
        </is>
      </c>
      <c r="H41" s="46" t="n">
        <v>1700000</v>
      </c>
      <c r="I41" s="27" t="inlineStr"/>
      <c r="J41" s="27" t="inlineStr">
        <is>
          <t>USD</t>
        </is>
      </c>
      <c r="K41" s="27" t="inlineStr">
        <is>
          <t>Approved FY26 jurisdiction apportionment workpaper</t>
        </is>
      </c>
      <c r="L41" s="47" t="inlineStr">
        <is>
          <t>2026-06-30</t>
        </is>
      </c>
      <c r="M41" s="27" t="inlineStr"/>
    </row>
    <row r="42">
      <c r="A42" s="36" t="inlineStr">
        <is>
          <t>TAX-00043</t>
        </is>
      </c>
      <c r="B42" s="27" t="inlineStr">
        <is>
          <t>Complete the annual income-tax provision model</t>
        </is>
      </c>
      <c r="C42" s="27" t="inlineStr">
        <is>
          <t>FY26 provision state apportionment</t>
        </is>
      </c>
      <c r="D42" s="27" t="inlineStr">
        <is>
          <t>Idaho</t>
        </is>
      </c>
      <c r="E42" s="27" t="inlineStr">
        <is>
          <t>FY26</t>
        </is>
      </c>
      <c r="F42" s="27" t="inlineStr">
        <is>
          <t>Approved case</t>
        </is>
      </c>
      <c r="G42" s="27" t="inlineStr">
        <is>
          <t>Enacted state tax rate</t>
        </is>
      </c>
      <c r="H42" s="46" t="n">
        <v>0.058</v>
      </c>
      <c r="I42" s="27" t="inlineStr"/>
      <c r="J42" s="27" t="inlineStr">
        <is>
          <t>decimal ratio</t>
        </is>
      </c>
      <c r="K42" s="27" t="inlineStr">
        <is>
          <t>Approved FY26 jurisdiction apportionment workpaper</t>
        </is>
      </c>
      <c r="L42" s="47" t="inlineStr">
        <is>
          <t>2026-06-30</t>
        </is>
      </c>
      <c r="M42" s="27" t="inlineStr"/>
    </row>
    <row r="43">
      <c r="A43" s="36" t="inlineStr">
        <is>
          <t>TAX-00044</t>
        </is>
      </c>
      <c r="B43" s="27" t="inlineStr">
        <is>
          <t>Complete the annual income-tax provision model</t>
        </is>
      </c>
      <c r="C43" s="27" t="inlineStr">
        <is>
          <t>FY26 provision state apportionment</t>
        </is>
      </c>
      <c r="D43" s="27" t="inlineStr">
        <is>
          <t>Idaho</t>
        </is>
      </c>
      <c r="E43" s="27" t="inlineStr">
        <is>
          <t>FY26</t>
        </is>
      </c>
      <c r="F43" s="27" t="inlineStr">
        <is>
          <t>Approved case</t>
        </is>
      </c>
      <c r="G43" s="27" t="inlineStr">
        <is>
          <t>Available state NOL</t>
        </is>
      </c>
      <c r="H43" s="46" t="n">
        <v>420</v>
      </c>
      <c r="I43" s="27" t="inlineStr"/>
      <c r="J43" s="27" t="inlineStr">
        <is>
          <t>USD thousands</t>
        </is>
      </c>
      <c r="K43" s="27" t="inlineStr">
        <is>
          <t>Approved FY26 jurisdiction apportionment workpaper</t>
        </is>
      </c>
      <c r="L43" s="47" t="inlineStr">
        <is>
          <t>2026-06-30</t>
        </is>
      </c>
      <c r="M43" s="27" t="inlineStr"/>
    </row>
    <row r="44">
      <c r="A44" s="36" t="inlineStr">
        <is>
          <t>TAX-00045</t>
        </is>
      </c>
      <c r="B44" s="27" t="inlineStr">
        <is>
          <t>Complete the annual income-tax provision model</t>
        </is>
      </c>
      <c r="C44" s="27" t="inlineStr">
        <is>
          <t>Deferred tax inventory</t>
        </is>
      </c>
      <c r="D44" s="27" t="inlineStr">
        <is>
          <t>Bonus and compensation accruals</t>
        </is>
      </c>
      <c r="E44" s="27" t="inlineStr">
        <is>
          <t>2026-06-30</t>
        </is>
      </c>
      <c r="F44" s="27" t="inlineStr">
        <is>
          <t>Approved case</t>
        </is>
      </c>
      <c r="G44" s="27" t="inlineStr">
        <is>
          <t>Temporary difference or credit</t>
        </is>
      </c>
      <c r="H44" s="46" t="n">
        <v>310000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TAX-00046</t>
        </is>
      </c>
      <c r="B45" s="27" t="inlineStr">
        <is>
          <t>Complete the annual income-tax provision model</t>
        </is>
      </c>
      <c r="C45" s="27" t="inlineStr">
        <is>
          <t>Deferred tax inventory</t>
        </is>
      </c>
      <c r="D45" s="27" t="inlineStr">
        <is>
          <t>Bonus and compensation accruals</t>
        </is>
      </c>
      <c r="E45" s="27" t="inlineStr">
        <is>
          <t>2026-06-30</t>
        </is>
      </c>
      <c r="F45" s="27" t="inlineStr">
        <is>
          <t>Approved case</t>
        </is>
      </c>
      <c r="G45" s="27" t="inlineStr">
        <is>
          <t>Balance type</t>
        </is>
      </c>
      <c r="H45" s="46" t="inlineStr"/>
      <c r="I45" s="27" t="inlineStr">
        <is>
          <t>DTA</t>
        </is>
      </c>
      <c r="J45" s="27" t="inlineStr">
        <is>
          <t>classification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TAX-00047</t>
        </is>
      </c>
      <c r="B46" s="27" t="inlineStr">
        <is>
          <t>Complete the annual income-tax provision model</t>
        </is>
      </c>
      <c r="C46" s="27" t="inlineStr">
        <is>
          <t>Deferred tax inventory</t>
        </is>
      </c>
      <c r="D46" s="27" t="inlineStr">
        <is>
          <t>Bonus and compensation accruals</t>
        </is>
      </c>
      <c r="E46" s="27" t="inlineStr">
        <is>
          <t>2026-06-30</t>
        </is>
      </c>
      <c r="F46" s="27" t="inlineStr">
        <is>
          <t>Approved case</t>
        </is>
      </c>
      <c r="G46" s="27" t="inlineStr">
        <is>
          <t>Enacted measurement rate</t>
        </is>
      </c>
      <c r="H46" s="46" t="n">
        <v>0.258</v>
      </c>
      <c r="I46" s="27" t="inlineStr"/>
      <c r="J46" s="27" t="inlineStr">
        <is>
          <t>decimal ratio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TAX-00048</t>
        </is>
      </c>
      <c r="B47" s="27" t="inlineStr">
        <is>
          <t>Complete the annual income-tax provision model</t>
        </is>
      </c>
      <c r="C47" s="27" t="inlineStr">
        <is>
          <t>Deferred tax inventory</t>
        </is>
      </c>
      <c r="D47" s="27" t="inlineStr">
        <is>
          <t>Deferred service revenue</t>
        </is>
      </c>
      <c r="E47" s="27" t="inlineStr">
        <is>
          <t>2026-06-30</t>
        </is>
      </c>
      <c r="F47" s="27" t="inlineStr">
        <is>
          <t>Approved case</t>
        </is>
      </c>
      <c r="G47" s="27" t="inlineStr">
        <is>
          <t>Temporary difference or credit</t>
        </is>
      </c>
      <c r="H47" s="46" t="n">
        <v>2430</v>
      </c>
      <c r="I47" s="27" t="inlineStr"/>
      <c r="J47" s="27" t="inlineStr">
        <is>
          <t>USD thousands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TAX-00049</t>
        </is>
      </c>
      <c r="B48" s="27" t="inlineStr">
        <is>
          <t>Complete the annual income-tax provision model</t>
        </is>
      </c>
      <c r="C48" s="27" t="inlineStr">
        <is>
          <t>Deferred tax inventory</t>
        </is>
      </c>
      <c r="D48" s="27" t="inlineStr">
        <is>
          <t>Deferred service revenue</t>
        </is>
      </c>
      <c r="E48" s="27" t="inlineStr">
        <is>
          <t>2026-06-30</t>
        </is>
      </c>
      <c r="F48" s="27" t="inlineStr">
        <is>
          <t>Approved case</t>
        </is>
      </c>
      <c r="G48" s="27" t="inlineStr">
        <is>
          <t>Balance type</t>
        </is>
      </c>
      <c r="H48" s="46" t="inlineStr"/>
      <c r="I48" s="27" t="inlineStr">
        <is>
          <t>DTA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TAX-00050</t>
        </is>
      </c>
      <c r="B49" s="27" t="inlineStr">
        <is>
          <t>Complete the annual income-tax provision model</t>
        </is>
      </c>
      <c r="C49" s="27" t="inlineStr">
        <is>
          <t>Deferred tax inventory</t>
        </is>
      </c>
      <c r="D49" s="27" t="inlineStr">
        <is>
          <t>Deferred service revenue</t>
        </is>
      </c>
      <c r="E49" s="27" t="inlineStr">
        <is>
          <t>2026-06-30</t>
        </is>
      </c>
      <c r="F49" s="27" t="inlineStr">
        <is>
          <t>Approved case</t>
        </is>
      </c>
      <c r="G49" s="27" t="inlineStr">
        <is>
          <t>Enacted measurement rate</t>
        </is>
      </c>
      <c r="H49" s="46" t="n">
        <v>0.258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TAX-00051</t>
        </is>
      </c>
      <c r="B50" s="27" t="inlineStr">
        <is>
          <t>Complete the annual income-tax provision model</t>
        </is>
      </c>
      <c r="C50" s="27" t="inlineStr">
        <is>
          <t>Deferred tax inventory</t>
        </is>
      </c>
      <c r="D50" s="27" t="inlineStr">
        <is>
          <t>Warranty and bad-debt reserves</t>
        </is>
      </c>
      <c r="E50" s="27" t="inlineStr">
        <is>
          <t>2026-06-30</t>
        </is>
      </c>
      <c r="F50" s="27" t="inlineStr">
        <is>
          <t>Approved case</t>
        </is>
      </c>
      <c r="G50" s="27" t="inlineStr">
        <is>
          <t>Temporary difference or credit</t>
        </is>
      </c>
      <c r="H50" s="46" t="n">
        <v>1360000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TAX-00052</t>
        </is>
      </c>
      <c r="B51" s="27" t="inlineStr">
        <is>
          <t>Complete the annual income-tax provision model</t>
        </is>
      </c>
      <c r="C51" s="27" t="inlineStr">
        <is>
          <t>Deferred tax inventory</t>
        </is>
      </c>
      <c r="D51" s="27" t="inlineStr">
        <is>
          <t>Warranty and bad-debt reserves</t>
        </is>
      </c>
      <c r="E51" s="27" t="inlineStr">
        <is>
          <t>2026-06-30</t>
        </is>
      </c>
      <c r="F51" s="27" t="inlineStr">
        <is>
          <t>Approved case</t>
        </is>
      </c>
      <c r="G51" s="27" t="inlineStr">
        <is>
          <t>Balance type</t>
        </is>
      </c>
      <c r="H51" s="46" t="inlineStr"/>
      <c r="I51" s="27" t="inlineStr">
        <is>
          <t>DTA</t>
        </is>
      </c>
      <c r="J51" s="27" t="inlineStr">
        <is>
          <t>classification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TAX-00053</t>
        </is>
      </c>
      <c r="B52" s="27" t="inlineStr">
        <is>
          <t>Complete the annual income-tax provision model</t>
        </is>
      </c>
      <c r="C52" s="27" t="inlineStr">
        <is>
          <t>Deferred tax inventory</t>
        </is>
      </c>
      <c r="D52" s="27" t="inlineStr">
        <is>
          <t>Warranty and bad-debt reserves</t>
        </is>
      </c>
      <c r="E52" s="27" t="inlineStr">
        <is>
          <t>2026-06-30</t>
        </is>
      </c>
      <c r="F52" s="27" t="inlineStr">
        <is>
          <t>Approved case</t>
        </is>
      </c>
      <c r="G52" s="27" t="inlineStr">
        <is>
          <t>Enacted measurement rate</t>
        </is>
      </c>
      <c r="H52" s="46" t="n">
        <v>0.258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TAX-00054</t>
        </is>
      </c>
      <c r="B53" s="27" t="inlineStr">
        <is>
          <t>Complete the annual income-tax provision model</t>
        </is>
      </c>
      <c r="C53" s="27" t="inlineStr">
        <is>
          <t>Deferred tax inventory</t>
        </is>
      </c>
      <c r="D53" s="27" t="inlineStr">
        <is>
          <t>Accelerated tax depreciation</t>
        </is>
      </c>
      <c r="E53" s="27" t="inlineStr">
        <is>
          <t>2026-06-30</t>
        </is>
      </c>
      <c r="F53" s="27" t="inlineStr">
        <is>
          <t>Approved case</t>
        </is>
      </c>
      <c r="G53" s="27" t="inlineStr">
        <is>
          <t>Temporary difference or credit</t>
        </is>
      </c>
      <c r="H53" s="46" t="n">
        <v>4610000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TAX-00055</t>
        </is>
      </c>
      <c r="B54" s="27" t="inlineStr">
        <is>
          <t>Complete the annual income-tax provision model</t>
        </is>
      </c>
      <c r="C54" s="27" t="inlineStr">
        <is>
          <t>Deferred tax inventory</t>
        </is>
      </c>
      <c r="D54" s="27" t="inlineStr">
        <is>
          <t>Accelerated tax depreciation</t>
        </is>
      </c>
      <c r="E54" s="27" t="inlineStr">
        <is>
          <t>2026-06-30</t>
        </is>
      </c>
      <c r="F54" s="27" t="inlineStr">
        <is>
          <t>Approved case</t>
        </is>
      </c>
      <c r="G54" s="27" t="inlineStr">
        <is>
          <t>Balance type</t>
        </is>
      </c>
      <c r="H54" s="46" t="inlineStr"/>
      <c r="I54" s="27" t="inlineStr">
        <is>
          <t>DTL</t>
        </is>
      </c>
      <c r="J54" s="27" t="inlineStr">
        <is>
          <t>classification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TAX-00056</t>
        </is>
      </c>
      <c r="B55" s="27" t="inlineStr">
        <is>
          <t>Complete the annual income-tax provision model</t>
        </is>
      </c>
      <c r="C55" s="27" t="inlineStr">
        <is>
          <t>Deferred tax inventory</t>
        </is>
      </c>
      <c r="D55" s="27" t="inlineStr">
        <is>
          <t>Accelerated tax depreciation</t>
        </is>
      </c>
      <c r="E55" s="27" t="inlineStr">
        <is>
          <t>2026-06-30</t>
        </is>
      </c>
      <c r="F55" s="27" t="inlineStr">
        <is>
          <t>Approved case</t>
        </is>
      </c>
      <c r="G55" s="27" t="inlineStr">
        <is>
          <t>Enacted measurement rate</t>
        </is>
      </c>
      <c r="H55" s="46" t="n">
        <v>0.258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TAX-00057</t>
        </is>
      </c>
      <c r="B56" s="27" t="inlineStr">
        <is>
          <t>Complete the annual income-tax provision model</t>
        </is>
      </c>
      <c r="C56" s="27" t="inlineStr">
        <is>
          <t>Deferred tax inventory</t>
        </is>
      </c>
      <c r="D56" s="27" t="inlineStr">
        <is>
          <t>Capitalized software basis</t>
        </is>
      </c>
      <c r="E56" s="27" t="inlineStr">
        <is>
          <t>2026-06-30</t>
        </is>
      </c>
      <c r="F56" s="27" t="inlineStr">
        <is>
          <t>Approved case</t>
        </is>
      </c>
      <c r="G56" s="27" t="inlineStr">
        <is>
          <t>Temporary difference or credit</t>
        </is>
      </c>
      <c r="H56" s="46" t="n">
        <v>640000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TAX-00058</t>
        </is>
      </c>
      <c r="B57" s="27" t="inlineStr">
        <is>
          <t>Complete the annual income-tax provision model</t>
        </is>
      </c>
      <c r="C57" s="27" t="inlineStr">
        <is>
          <t>Deferred tax inventory</t>
        </is>
      </c>
      <c r="D57" s="27" t="inlineStr">
        <is>
          <t>Capitalized software basis</t>
        </is>
      </c>
      <c r="E57" s="27" t="inlineStr">
        <is>
          <t>2026-06-30</t>
        </is>
      </c>
      <c r="F57" s="27" t="inlineStr">
        <is>
          <t>Approved case</t>
        </is>
      </c>
      <c r="G57" s="27" t="inlineStr">
        <is>
          <t>Balance type</t>
        </is>
      </c>
      <c r="H57" s="46" t="inlineStr"/>
      <c r="I57" s="27" t="inlineStr">
        <is>
          <t>DTL</t>
        </is>
      </c>
      <c r="J57" s="27" t="inlineStr">
        <is>
          <t>classification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TAX-00059</t>
        </is>
      </c>
      <c r="B58" s="27" t="inlineStr">
        <is>
          <t>Complete the annual income-tax provision model</t>
        </is>
      </c>
      <c r="C58" s="27" t="inlineStr">
        <is>
          <t>Deferred tax inventory</t>
        </is>
      </c>
      <c r="D58" s="27" t="inlineStr">
        <is>
          <t>Capitalized software basis</t>
        </is>
      </c>
      <c r="E58" s="27" t="inlineStr">
        <is>
          <t>2026-06-30</t>
        </is>
      </c>
      <c r="F58" s="27" t="inlineStr">
        <is>
          <t>Approved case</t>
        </is>
      </c>
      <c r="G58" s="27" t="inlineStr">
        <is>
          <t>Enacted measurement rate</t>
        </is>
      </c>
      <c r="H58" s="46" t="n">
        <v>0.258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TAX-00060</t>
        </is>
      </c>
      <c r="B59" s="27" t="inlineStr">
        <is>
          <t>Complete the annual income-tax provision model</t>
        </is>
      </c>
      <c r="C59" s="27" t="inlineStr">
        <is>
          <t>Deferred tax inventory</t>
        </is>
      </c>
      <c r="D59" s="27" t="inlineStr">
        <is>
          <t>State tax credit</t>
        </is>
      </c>
      <c r="E59" s="27" t="inlineStr">
        <is>
          <t>2026-06-30</t>
        </is>
      </c>
      <c r="F59" s="27" t="inlineStr">
        <is>
          <t>Approved case</t>
        </is>
      </c>
      <c r="G59" s="27" t="inlineStr">
        <is>
          <t>Temporary difference or credit</t>
        </is>
      </c>
      <c r="H59" s="46" t="n">
        <v>225</v>
      </c>
      <c r="I59" s="27" t="inlineStr"/>
      <c r="J59" s="27" t="inlineStr">
        <is>
          <t>USD thousands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TAX-00061</t>
        </is>
      </c>
      <c r="B60" s="27" t="inlineStr">
        <is>
          <t>Complete the annual income-tax provision model</t>
        </is>
      </c>
      <c r="C60" s="27" t="inlineStr">
        <is>
          <t>Deferred tax inventory</t>
        </is>
      </c>
      <c r="D60" s="27" t="inlineStr">
        <is>
          <t>State tax credit</t>
        </is>
      </c>
      <c r="E60" s="27" t="inlineStr">
        <is>
          <t>2026-06-30</t>
        </is>
      </c>
      <c r="F60" s="27" t="inlineStr">
        <is>
          <t>Approved case</t>
        </is>
      </c>
      <c r="G60" s="27" t="inlineStr">
        <is>
          <t>Balance type</t>
        </is>
      </c>
      <c r="H60" s="46" t="inlineStr"/>
      <c r="I60" s="27" t="inlineStr">
        <is>
          <t>DTA credit</t>
        </is>
      </c>
      <c r="J60" s="27" t="inlineStr">
        <is>
          <t>classification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TAX-00062</t>
        </is>
      </c>
      <c r="B61" s="27" t="inlineStr">
        <is>
          <t>Complete the annual income-tax provision model</t>
        </is>
      </c>
      <c r="C61" s="27" t="inlineStr">
        <is>
          <t>Deferred tax inventory</t>
        </is>
      </c>
      <c r="D61" s="27" t="inlineStr">
        <is>
          <t>State tax credit</t>
        </is>
      </c>
      <c r="E61" s="27" t="inlineStr">
        <is>
          <t>2026-06-30</t>
        </is>
      </c>
      <c r="F61" s="27" t="inlineStr">
        <is>
          <t>Approved case</t>
        </is>
      </c>
      <c r="G61" s="27" t="inlineStr">
        <is>
          <t>Enacted measurement rate</t>
        </is>
      </c>
      <c r="H61" s="46" t="n">
        <v>1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TAX-00089</t>
        </is>
      </c>
      <c r="B62" s="27" t="inlineStr">
        <is>
          <t>Quarterly cash-tax and estimated-payment forecast</t>
        </is>
      </c>
      <c r="C62" s="27" t="inlineStr">
        <is>
          <t>Estimated-payment policy</t>
        </is>
      </c>
      <c r="D62" s="27" t="inlineStr">
        <is>
          <t>Alder Ridge</t>
        </is>
      </c>
      <c r="E62" s="27" t="inlineStr">
        <is>
          <t>Forecast horizon</t>
        </is>
      </c>
      <c r="F62" s="27" t="inlineStr">
        <is>
          <t>Approved case</t>
        </is>
      </c>
      <c r="G62" s="27" t="inlineStr">
        <is>
          <t>Federal tax rate</t>
        </is>
      </c>
      <c r="H62" s="46" t="n">
        <v>0.21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TAX-00090</t>
        </is>
      </c>
      <c r="B63" s="27" t="inlineStr">
        <is>
          <t>Quarterly cash-tax and estimated-payment forecast</t>
        </is>
      </c>
      <c r="C63" s="27" t="inlineStr">
        <is>
          <t>Estimated-payment policy</t>
        </is>
      </c>
      <c r="D63" s="27" t="inlineStr">
        <is>
          <t>Alder Ridge</t>
        </is>
      </c>
      <c r="E63" s="27" t="inlineStr">
        <is>
          <t>Forecast horizon</t>
        </is>
      </c>
      <c r="F63" s="27" t="inlineStr">
        <is>
          <t>Approved case</t>
        </is>
      </c>
      <c r="G63" s="27" t="inlineStr">
        <is>
          <t>State cash tax rate</t>
        </is>
      </c>
      <c r="H63" s="46" t="n">
        <v>0.058</v>
      </c>
      <c r="I63" s="27" t="inlineStr"/>
      <c r="J63" s="27" t="inlineStr">
        <is>
          <t>decimal ratio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TAX-00091</t>
        </is>
      </c>
      <c r="B64" s="27" t="inlineStr">
        <is>
          <t>Quarterly cash-tax and estimated-payment forecast</t>
        </is>
      </c>
      <c r="C64" s="27" t="inlineStr">
        <is>
          <t>Estimated-payment policy</t>
        </is>
      </c>
      <c r="D64" s="27" t="inlineStr">
        <is>
          <t>Alder Ridge</t>
        </is>
      </c>
      <c r="E64" s="27" t="inlineStr">
        <is>
          <t>Forecast horizon</t>
        </is>
      </c>
      <c r="F64" s="27" t="inlineStr">
        <is>
          <t>Approved case</t>
        </is>
      </c>
      <c r="G64" s="27" t="inlineStr">
        <is>
          <t>Opening federal prepaid</t>
        </is>
      </c>
      <c r="H64" s="46" t="n">
        <v>120000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TAX-00092</t>
        </is>
      </c>
      <c r="B65" s="27" t="inlineStr">
        <is>
          <t>Quarterly cash-tax and estimated-payment forecast</t>
        </is>
      </c>
      <c r="C65" s="27" t="inlineStr">
        <is>
          <t>Estimated-payment policy</t>
        </is>
      </c>
      <c r="D65" s="27" t="inlineStr">
        <is>
          <t>Alder Ridge</t>
        </is>
      </c>
      <c r="E65" s="27" t="inlineStr">
        <is>
          <t>Forecast horizon</t>
        </is>
      </c>
      <c r="F65" s="27" t="inlineStr">
        <is>
          <t>Approved case</t>
        </is>
      </c>
      <c r="G65" s="27" t="inlineStr">
        <is>
          <t>Opening state payable</t>
        </is>
      </c>
      <c r="H65" s="46" t="n">
        <v>45</v>
      </c>
      <c r="I65" s="27" t="inlineStr"/>
      <c r="J65" s="27" t="inlineStr">
        <is>
          <t>USD thousands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TAX-00093</t>
        </is>
      </c>
      <c r="B66" s="27" t="inlineStr">
        <is>
          <t>Quarterly cash-tax and estimated-payment forecast</t>
        </is>
      </c>
      <c r="C66" s="27" t="inlineStr">
        <is>
          <t>Estimated-payment policy</t>
        </is>
      </c>
      <c r="D66" s="27" t="inlineStr">
        <is>
          <t>Alder Ridge</t>
        </is>
      </c>
      <c r="E66" s="27" t="inlineStr">
        <is>
          <t>Forecast horizon</t>
        </is>
      </c>
      <c r="F66" s="27" t="inlineStr">
        <is>
          <t>Approved case</t>
        </is>
      </c>
      <c r="G66" s="27" t="inlineStr">
        <is>
          <t>Federal safe-harbor percent</t>
        </is>
      </c>
      <c r="H66" s="46" t="n">
        <v>0.9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TAX-00094</t>
        </is>
      </c>
      <c r="B67" s="27" t="inlineStr">
        <is>
          <t>Quarterly cash-tax and estimated-payment forecast</t>
        </is>
      </c>
      <c r="C67" s="27" t="inlineStr">
        <is>
          <t>Estimated-payment policy</t>
        </is>
      </c>
      <c r="D67" s="27" t="inlineStr">
        <is>
          <t>Alder Ridge</t>
        </is>
      </c>
      <c r="E67" s="27" t="inlineStr">
        <is>
          <t>Forecast horizon</t>
        </is>
      </c>
      <c r="F67" s="27" t="inlineStr">
        <is>
          <t>Approved case</t>
        </is>
      </c>
      <c r="G67" s="27" t="inlineStr">
        <is>
          <t>State safe-harbor percent</t>
        </is>
      </c>
      <c r="H67" s="46" t="n">
        <v>0.95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TAX-00221</t>
        </is>
      </c>
      <c r="B68" s="27" t="inlineStr">
        <is>
          <t>Deferred tax, NOL, and Section 163(j) roll-forward</t>
        </is>
      </c>
      <c r="C68" s="27" t="inlineStr">
        <is>
          <t>Deferred tax temporary differences</t>
        </is>
      </c>
      <c r="D68" s="27" t="inlineStr">
        <is>
          <t>Accelerated tax depreciation</t>
        </is>
      </c>
      <c r="E68" s="27" t="inlineStr">
        <is>
          <t>2026-06-30</t>
        </is>
      </c>
      <c r="F68" s="27" t="inlineStr">
        <is>
          <t>Approved case</t>
        </is>
      </c>
      <c r="G68" s="27" t="inlineStr">
        <is>
          <t>Temporary difference</t>
        </is>
      </c>
      <c r="H68" s="46" t="n">
        <v>2850000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TAX-00222</t>
        </is>
      </c>
      <c r="B69" s="27" t="inlineStr">
        <is>
          <t>Deferred tax, NOL, and Section 163(j) roll-forward</t>
        </is>
      </c>
      <c r="C69" s="27" t="inlineStr">
        <is>
          <t>Deferred tax temporary differences</t>
        </is>
      </c>
      <c r="D69" s="27" t="inlineStr">
        <is>
          <t>Accelerated tax depreciation</t>
        </is>
      </c>
      <c r="E69" s="27" t="inlineStr">
        <is>
          <t>2026-06-30</t>
        </is>
      </c>
      <c r="F69" s="27" t="inlineStr">
        <is>
          <t>Approved case</t>
        </is>
      </c>
      <c r="G69" s="27" t="inlineStr">
        <is>
          <t>Tax balance type</t>
        </is>
      </c>
      <c r="H69" s="46" t="inlineStr"/>
      <c r="I69" s="27" t="inlineStr">
        <is>
          <t>DTL</t>
        </is>
      </c>
      <c r="J69" s="27" t="inlineStr">
        <is>
          <t>classification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TAX-00223</t>
        </is>
      </c>
      <c r="B70" s="27" t="inlineStr">
        <is>
          <t>Deferred tax, NOL, and Section 163(j) roll-forward</t>
        </is>
      </c>
      <c r="C70" s="27" t="inlineStr">
        <is>
          <t>Deferred tax temporary differences</t>
        </is>
      </c>
      <c r="D70" s="27" t="inlineStr">
        <is>
          <t>Accelerated tax depreciation</t>
        </is>
      </c>
      <c r="E70" s="27" t="inlineStr">
        <is>
          <t>2026-06-30</t>
        </is>
      </c>
      <c r="F70" s="27" t="inlineStr">
        <is>
          <t>Approved case</t>
        </is>
      </c>
      <c r="G70" s="27" t="inlineStr">
        <is>
          <t>Enacted tax rate</t>
        </is>
      </c>
      <c r="H70" s="46" t="n">
        <v>0.26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TAX-00224</t>
        </is>
      </c>
      <c r="B71" s="27" t="inlineStr">
        <is>
          <t>Deferred tax, NOL, and Section 163(j) roll-forward</t>
        </is>
      </c>
      <c r="C71" s="27" t="inlineStr">
        <is>
          <t>Deferred tax temporary differences</t>
        </is>
      </c>
      <c r="D71" s="27" t="inlineStr">
        <is>
          <t>Deferred revenue</t>
        </is>
      </c>
      <c r="E71" s="27" t="inlineStr">
        <is>
          <t>2026-06-30</t>
        </is>
      </c>
      <c r="F71" s="27" t="inlineStr">
        <is>
          <t>Approved case</t>
        </is>
      </c>
      <c r="G71" s="27" t="inlineStr">
        <is>
          <t>Temporary difference</t>
        </is>
      </c>
      <c r="H71" s="46" t="n">
        <v>1420</v>
      </c>
      <c r="I71" s="27" t="inlineStr"/>
      <c r="J71" s="27" t="inlineStr">
        <is>
          <t>USD thousands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TAX-00225</t>
        </is>
      </c>
      <c r="B72" s="27" t="inlineStr">
        <is>
          <t>Deferred tax, NOL, and Section 163(j) roll-forward</t>
        </is>
      </c>
      <c r="C72" s="27" t="inlineStr">
        <is>
          <t>Deferred tax temporary differences</t>
        </is>
      </c>
      <c r="D72" s="27" t="inlineStr">
        <is>
          <t>Deferred revenue</t>
        </is>
      </c>
      <c r="E72" s="27" t="inlineStr">
        <is>
          <t>2026-06-30</t>
        </is>
      </c>
      <c r="F72" s="27" t="inlineStr">
        <is>
          <t>Approved case</t>
        </is>
      </c>
      <c r="G72" s="27" t="inlineStr">
        <is>
          <t>Tax balance type</t>
        </is>
      </c>
      <c r="H72" s="46" t="inlineStr"/>
      <c r="I72" s="27" t="inlineStr">
        <is>
          <t>DTA</t>
        </is>
      </c>
      <c r="J72" s="27" t="inlineStr">
        <is>
          <t>classification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TAX-00226</t>
        </is>
      </c>
      <c r="B73" s="27" t="inlineStr">
        <is>
          <t>Deferred tax, NOL, and Section 163(j) roll-forward</t>
        </is>
      </c>
      <c r="C73" s="27" t="inlineStr">
        <is>
          <t>Deferred tax temporary differences</t>
        </is>
      </c>
      <c r="D73" s="27" t="inlineStr">
        <is>
          <t>Deferred revenue</t>
        </is>
      </c>
      <c r="E73" s="27" t="inlineStr">
        <is>
          <t>2026-06-30</t>
        </is>
      </c>
      <c r="F73" s="27" t="inlineStr">
        <is>
          <t>Approved case</t>
        </is>
      </c>
      <c r="G73" s="27" t="inlineStr">
        <is>
          <t>Enacted tax rate</t>
        </is>
      </c>
      <c r="H73" s="46" t="n">
        <v>0.26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TAX-00227</t>
        </is>
      </c>
      <c r="B74" s="27" t="inlineStr">
        <is>
          <t>Deferred tax, NOL, and Section 163(j) roll-forward</t>
        </is>
      </c>
      <c r="C74" s="27" t="inlineStr">
        <is>
          <t>Deferred tax temporary differences</t>
        </is>
      </c>
      <c r="D74" s="27" t="inlineStr">
        <is>
          <t>Accrued compensation</t>
        </is>
      </c>
      <c r="E74" s="27" t="inlineStr">
        <is>
          <t>2026-06-30</t>
        </is>
      </c>
      <c r="F74" s="27" t="inlineStr">
        <is>
          <t>Approved case</t>
        </is>
      </c>
      <c r="G74" s="27" t="inlineStr">
        <is>
          <t>Temporary difference</t>
        </is>
      </c>
      <c r="H74" s="46" t="n">
        <v>780000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TAX-00228</t>
        </is>
      </c>
      <c r="B75" s="27" t="inlineStr">
        <is>
          <t>Deferred tax, NOL, and Section 163(j) roll-forward</t>
        </is>
      </c>
      <c r="C75" s="27" t="inlineStr">
        <is>
          <t>Deferred tax temporary differences</t>
        </is>
      </c>
      <c r="D75" s="27" t="inlineStr">
        <is>
          <t>Accrued compensation</t>
        </is>
      </c>
      <c r="E75" s="27" t="inlineStr">
        <is>
          <t>2026-06-30</t>
        </is>
      </c>
      <c r="F75" s="27" t="inlineStr">
        <is>
          <t>Approved case</t>
        </is>
      </c>
      <c r="G75" s="27" t="inlineStr">
        <is>
          <t>Tax balance type</t>
        </is>
      </c>
      <c r="H75" s="46" t="inlineStr"/>
      <c r="I75" s="27" t="inlineStr">
        <is>
          <t>DTA</t>
        </is>
      </c>
      <c r="J75" s="27" t="inlineStr">
        <is>
          <t>classification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TAX-00229</t>
        </is>
      </c>
      <c r="B76" s="27" t="inlineStr">
        <is>
          <t>Deferred tax, NOL, and Section 163(j) roll-forward</t>
        </is>
      </c>
      <c r="C76" s="27" t="inlineStr">
        <is>
          <t>Deferred tax temporary differences</t>
        </is>
      </c>
      <c r="D76" s="27" t="inlineStr">
        <is>
          <t>Accrued compensation</t>
        </is>
      </c>
      <c r="E76" s="27" t="inlineStr">
        <is>
          <t>2026-06-30</t>
        </is>
      </c>
      <c r="F76" s="27" t="inlineStr">
        <is>
          <t>Approved case</t>
        </is>
      </c>
      <c r="G76" s="27" t="inlineStr">
        <is>
          <t>Enacted tax rate</t>
        </is>
      </c>
      <c r="H76" s="46" t="n">
        <v>0.26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TAX-00230</t>
        </is>
      </c>
      <c r="B77" s="27" t="inlineStr">
        <is>
          <t>Deferred tax, NOL, and Section 163(j) roll-forward</t>
        </is>
      </c>
      <c r="C77" s="27" t="inlineStr">
        <is>
          <t>Deferred tax temporary differences</t>
        </is>
      </c>
      <c r="D77" s="27" t="inlineStr">
        <is>
          <t>Bad debt reserve</t>
        </is>
      </c>
      <c r="E77" s="27" t="inlineStr">
        <is>
          <t>2026-06-30</t>
        </is>
      </c>
      <c r="F77" s="27" t="inlineStr">
        <is>
          <t>Approved case</t>
        </is>
      </c>
      <c r="G77" s="27" t="inlineStr">
        <is>
          <t>Temporary difference</t>
        </is>
      </c>
      <c r="H77" s="46" t="n">
        <v>310000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TAX-00231</t>
        </is>
      </c>
      <c r="B78" s="27" t="inlineStr">
        <is>
          <t>Deferred tax, NOL, and Section 163(j) roll-forward</t>
        </is>
      </c>
      <c r="C78" s="27" t="inlineStr">
        <is>
          <t>Deferred tax temporary differences</t>
        </is>
      </c>
      <c r="D78" s="27" t="inlineStr">
        <is>
          <t>Bad debt reserve</t>
        </is>
      </c>
      <c r="E78" s="27" t="inlineStr">
        <is>
          <t>2026-06-30</t>
        </is>
      </c>
      <c r="F78" s="27" t="inlineStr">
        <is>
          <t>Approved case</t>
        </is>
      </c>
      <c r="G78" s="27" t="inlineStr">
        <is>
          <t>Tax balance type</t>
        </is>
      </c>
      <c r="H78" s="46" t="inlineStr"/>
      <c r="I78" s="27" t="inlineStr">
        <is>
          <t>DTA</t>
        </is>
      </c>
      <c r="J78" s="27" t="inlineStr">
        <is>
          <t>classification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TAX-00232</t>
        </is>
      </c>
      <c r="B79" s="27" t="inlineStr">
        <is>
          <t>Deferred tax, NOL, and Section 163(j) roll-forward</t>
        </is>
      </c>
      <c r="C79" s="27" t="inlineStr">
        <is>
          <t>Deferred tax temporary differences</t>
        </is>
      </c>
      <c r="D79" s="27" t="inlineStr">
        <is>
          <t>Bad debt reserve</t>
        </is>
      </c>
      <c r="E79" s="27" t="inlineStr">
        <is>
          <t>2026-06-30</t>
        </is>
      </c>
      <c r="F79" s="27" t="inlineStr">
        <is>
          <t>Approved case</t>
        </is>
      </c>
      <c r="G79" s="27" t="inlineStr">
        <is>
          <t>Enacted tax rate</t>
        </is>
      </c>
      <c r="H79" s="46" t="n">
        <v>0.26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TAX-00233</t>
        </is>
      </c>
      <c r="B80" s="27" t="inlineStr">
        <is>
          <t>Deferred tax, NOL, and Section 163(j) roll-forward</t>
        </is>
      </c>
      <c r="C80" s="27" t="inlineStr">
        <is>
          <t>Deferred tax temporary differences</t>
        </is>
      </c>
      <c r="D80" s="27" t="inlineStr">
        <is>
          <t>Indefinite-lived goodwill</t>
        </is>
      </c>
      <c r="E80" s="27" t="inlineStr">
        <is>
          <t>2026-06-30</t>
        </is>
      </c>
      <c r="F80" s="27" t="inlineStr">
        <is>
          <t>Approved case</t>
        </is>
      </c>
      <c r="G80" s="27" t="inlineStr">
        <is>
          <t>Temporary difference</t>
        </is>
      </c>
      <c r="H80" s="46" t="n">
        <v>640000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TAX-00234</t>
        </is>
      </c>
      <c r="B81" s="27" t="inlineStr">
        <is>
          <t>Deferred tax, NOL, and Section 163(j) roll-forward</t>
        </is>
      </c>
      <c r="C81" s="27" t="inlineStr">
        <is>
          <t>Deferred tax temporary differences</t>
        </is>
      </c>
      <c r="D81" s="27" t="inlineStr">
        <is>
          <t>Indefinite-lived goodwill</t>
        </is>
      </c>
      <c r="E81" s="27" t="inlineStr">
        <is>
          <t>2026-06-30</t>
        </is>
      </c>
      <c r="F81" s="27" t="inlineStr">
        <is>
          <t>Approved case</t>
        </is>
      </c>
      <c r="G81" s="27" t="inlineStr">
        <is>
          <t>Tax balance type</t>
        </is>
      </c>
      <c r="H81" s="46" t="inlineStr"/>
      <c r="I81" s="27" t="inlineStr">
        <is>
          <t>DTL</t>
        </is>
      </c>
      <c r="J81" s="27" t="inlineStr">
        <is>
          <t>classification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TAX-00235</t>
        </is>
      </c>
      <c r="B82" s="27" t="inlineStr">
        <is>
          <t>Deferred tax, NOL, and Section 163(j) roll-forward</t>
        </is>
      </c>
      <c r="C82" s="27" t="inlineStr">
        <is>
          <t>Deferred tax temporary differences</t>
        </is>
      </c>
      <c r="D82" s="27" t="inlineStr">
        <is>
          <t>Indefinite-lived goodwill</t>
        </is>
      </c>
      <c r="E82" s="27" t="inlineStr">
        <is>
          <t>2026-06-30</t>
        </is>
      </c>
      <c r="F82" s="27" t="inlineStr">
        <is>
          <t>Approved case</t>
        </is>
      </c>
      <c r="G82" s="27" t="inlineStr">
        <is>
          <t>Enacted tax rate</t>
        </is>
      </c>
      <c r="H82" s="46" t="n">
        <v>0.26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TAX-00236</t>
        </is>
      </c>
      <c r="B83" s="27" t="inlineStr">
        <is>
          <t>Deferred tax, NOL, and Section 163(j) roll-forward</t>
        </is>
      </c>
      <c r="C83" s="27" t="inlineStr">
        <is>
          <t>Deferred tax temporary differences</t>
        </is>
      </c>
      <c r="D83" s="27" t="inlineStr">
        <is>
          <t>State tax credit</t>
        </is>
      </c>
      <c r="E83" s="27" t="inlineStr">
        <is>
          <t>2026-06-30</t>
        </is>
      </c>
      <c r="F83" s="27" t="inlineStr">
        <is>
          <t>Approved case</t>
        </is>
      </c>
      <c r="G83" s="27" t="inlineStr">
        <is>
          <t>Temporary difference</t>
        </is>
      </c>
      <c r="H83" s="46" t="n">
        <v>225</v>
      </c>
      <c r="I83" s="27" t="inlineStr"/>
      <c r="J83" s="27" t="inlineStr">
        <is>
          <t>USD thousands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TAX-00237</t>
        </is>
      </c>
      <c r="B84" s="27" t="inlineStr">
        <is>
          <t>Deferred tax, NOL, and Section 163(j) roll-forward</t>
        </is>
      </c>
      <c r="C84" s="27" t="inlineStr">
        <is>
          <t>Deferred tax temporary differences</t>
        </is>
      </c>
      <c r="D84" s="27" t="inlineStr">
        <is>
          <t>State tax credit</t>
        </is>
      </c>
      <c r="E84" s="27" t="inlineStr">
        <is>
          <t>2026-06-30</t>
        </is>
      </c>
      <c r="F84" s="27" t="inlineStr">
        <is>
          <t>Approved case</t>
        </is>
      </c>
      <c r="G84" s="27" t="inlineStr">
        <is>
          <t>Tax balance type</t>
        </is>
      </c>
      <c r="H84" s="46" t="inlineStr"/>
      <c r="I84" s="27" t="inlineStr">
        <is>
          <t>DTA</t>
        </is>
      </c>
      <c r="J84" s="27" t="inlineStr">
        <is>
          <t>classification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TAX-00238</t>
        </is>
      </c>
      <c r="B85" s="27" t="inlineStr">
        <is>
          <t>Deferred tax, NOL, and Section 163(j) roll-forward</t>
        </is>
      </c>
      <c r="C85" s="27" t="inlineStr">
        <is>
          <t>Deferred tax temporary differences</t>
        </is>
      </c>
      <c r="D85" s="27" t="inlineStr">
        <is>
          <t>State tax credit</t>
        </is>
      </c>
      <c r="E85" s="27" t="inlineStr">
        <is>
          <t>2026-06-30</t>
        </is>
      </c>
      <c r="F85" s="27" t="inlineStr">
        <is>
          <t>Approved case</t>
        </is>
      </c>
      <c r="G85" s="27" t="inlineStr">
        <is>
          <t>Enacted tax rate</t>
        </is>
      </c>
      <c r="H85" s="46" t="n">
        <v>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TAX-00239</t>
        </is>
      </c>
      <c r="B86" s="27" t="inlineStr">
        <is>
          <t>Deferred tax, NOL, and Section 163(j) roll-forward</t>
        </is>
      </c>
      <c r="C86" s="27" t="inlineStr">
        <is>
          <t>Federal NOL vintages</t>
        </is>
      </c>
      <c r="D86" s="27" t="inlineStr">
        <is>
          <t>Alder Ridge</t>
        </is>
      </c>
      <c r="E86" s="27" t="inlineStr">
        <is>
          <t>2023</t>
        </is>
      </c>
      <c r="F86" s="27" t="inlineStr">
        <is>
          <t>Approved case</t>
        </is>
      </c>
      <c r="G86" s="27" t="inlineStr">
        <is>
          <t>NOL carryforward</t>
        </is>
      </c>
      <c r="H86" s="46" t="n">
        <v>920000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TAX-00240</t>
        </is>
      </c>
      <c r="B87" s="27" t="inlineStr">
        <is>
          <t>Deferred tax, NOL, and Section 163(j) roll-forward</t>
        </is>
      </c>
      <c r="C87" s="27" t="inlineStr">
        <is>
          <t>Federal NOL vintages</t>
        </is>
      </c>
      <c r="D87" s="27" t="inlineStr">
        <is>
          <t>Alder Ridge</t>
        </is>
      </c>
      <c r="E87" s="27" t="inlineStr">
        <is>
          <t>2024</t>
        </is>
      </c>
      <c r="F87" s="27" t="inlineStr">
        <is>
          <t>Approved case</t>
        </is>
      </c>
      <c r="G87" s="27" t="inlineStr">
        <is>
          <t>NOL carryforward</t>
        </is>
      </c>
      <c r="H87" s="46" t="n">
        <v>1150</v>
      </c>
      <c r="I87" s="27" t="inlineStr"/>
      <c r="J87" s="27" t="inlineStr">
        <is>
          <t>USD thousands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TAX-00241</t>
        </is>
      </c>
      <c r="B88" s="27" t="inlineStr">
        <is>
          <t>Deferred tax, NOL, and Section 163(j) roll-forward</t>
        </is>
      </c>
      <c r="C88" s="27" t="inlineStr">
        <is>
          <t>Federal NOL vintages</t>
        </is>
      </c>
      <c r="D88" s="27" t="inlineStr">
        <is>
          <t>Alder Ridge</t>
        </is>
      </c>
      <c r="E88" s="27" t="inlineStr">
        <is>
          <t>2025</t>
        </is>
      </c>
      <c r="F88" s="27" t="inlineStr">
        <is>
          <t>Approved case</t>
        </is>
      </c>
      <c r="G88" s="27" t="inlineStr">
        <is>
          <t>NOL carryforward</t>
        </is>
      </c>
      <c r="H88" s="46" t="n">
        <v>760000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TAX-00242</t>
        </is>
      </c>
      <c r="B89" s="27" t="inlineStr">
        <is>
          <t>Deferred tax, NOL, and Section 163(j) roll-forward</t>
        </is>
      </c>
      <c r="C89" s="27" t="inlineStr">
        <is>
          <t>Tax provision rollforward inputs</t>
        </is>
      </c>
      <c r="D89" s="27" t="inlineStr">
        <is>
          <t>Alder Ridge</t>
        </is>
      </c>
      <c r="E89" s="27" t="inlineStr">
        <is>
          <t>FY26</t>
        </is>
      </c>
      <c r="F89" s="27" t="inlineStr">
        <is>
          <t>Approved case</t>
        </is>
      </c>
      <c r="G89" s="27" t="inlineStr">
        <is>
          <t>Preliminary taxable income after full current interest deduction, before Section 163j addback</t>
        </is>
      </c>
      <c r="H89" s="46" t="n">
        <v>3950000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TAX-00243</t>
        </is>
      </c>
      <c r="B90" s="27" t="inlineStr">
        <is>
          <t>Deferred tax, NOL, and Section 163(j) roll-forward</t>
        </is>
      </c>
      <c r="C90" s="27" t="inlineStr">
        <is>
          <t>Tax provision rollforward inputs</t>
        </is>
      </c>
      <c r="D90" s="27" t="inlineStr">
        <is>
          <t>Alder Ridge</t>
        </is>
      </c>
      <c r="E90" s="27" t="inlineStr">
        <is>
          <t>FY26</t>
        </is>
      </c>
      <c r="F90" s="27" t="inlineStr">
        <is>
          <t>Approved case</t>
        </is>
      </c>
      <c r="G90" s="27" t="inlineStr">
        <is>
          <t>Business interest expense</t>
        </is>
      </c>
      <c r="H90" s="46" t="n">
        <v>1420000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TAX-00244</t>
        </is>
      </c>
      <c r="B91" s="27" t="inlineStr">
        <is>
          <t>Deferred tax, NOL, and Section 163(j) roll-forward</t>
        </is>
      </c>
      <c r="C91" s="27" t="inlineStr">
        <is>
          <t>Tax provision rollforward inputs</t>
        </is>
      </c>
      <c r="D91" s="27" t="inlineStr">
        <is>
          <t>Alder Ridge</t>
        </is>
      </c>
      <c r="E91" s="27" t="inlineStr">
        <is>
          <t>FY26</t>
        </is>
      </c>
      <c r="F91" s="27" t="inlineStr">
        <is>
          <t>Approved case</t>
        </is>
      </c>
      <c r="G91" s="27" t="inlineStr">
        <is>
          <t>Business interest income</t>
        </is>
      </c>
      <c r="H91" s="46" t="n">
        <v>90</v>
      </c>
      <c r="I91" s="27" t="inlineStr"/>
      <c r="J91" s="27" t="inlineStr">
        <is>
          <t>USD thousands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TAX-00245</t>
        </is>
      </c>
      <c r="B92" s="27" t="inlineStr">
        <is>
          <t>Deferred tax, NOL, and Section 163(j) roll-forward</t>
        </is>
      </c>
      <c r="C92" s="27" t="inlineStr">
        <is>
          <t>Tax provision rollforward inputs</t>
        </is>
      </c>
      <c r="D92" s="27" t="inlineStr">
        <is>
          <t>Alder Ridge</t>
        </is>
      </c>
      <c r="E92" s="27" t="inlineStr">
        <is>
          <t>FY26</t>
        </is>
      </c>
      <c r="F92" s="27" t="inlineStr">
        <is>
          <t>Approved case</t>
        </is>
      </c>
      <c r="G92" s="27" t="inlineStr">
        <is>
          <t>ATI before interest</t>
        </is>
      </c>
      <c r="H92" s="46" t="n">
        <v>4300000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TAX-00246</t>
        </is>
      </c>
      <c r="B93" s="27" t="inlineStr">
        <is>
          <t>Deferred tax, NOL, and Section 163(j) roll-forward</t>
        </is>
      </c>
      <c r="C93" s="27" t="inlineStr">
        <is>
          <t>Tax provision rollforward inputs</t>
        </is>
      </c>
      <c r="D93" s="27" t="inlineStr">
        <is>
          <t>Alder Ridge</t>
        </is>
      </c>
      <c r="E93" s="27" t="inlineStr">
        <is>
          <t>FY26</t>
        </is>
      </c>
      <c r="F93" s="27" t="inlineStr">
        <is>
          <t>Approved case</t>
        </is>
      </c>
      <c r="G93" s="27" t="inlineStr">
        <is>
          <t>Section 163j limit percent</t>
        </is>
      </c>
      <c r="H93" s="46" t="n">
        <v>0.3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TAX-00247</t>
        </is>
      </c>
      <c r="B94" s="27" t="inlineStr">
        <is>
          <t>Deferred tax, NOL, and Section 163(j) roll-forward</t>
        </is>
      </c>
      <c r="C94" s="27" t="inlineStr">
        <is>
          <t>Tax provision rollforward inputs</t>
        </is>
      </c>
      <c r="D94" s="27" t="inlineStr">
        <is>
          <t>Alder Ridge</t>
        </is>
      </c>
      <c r="E94" s="27" t="inlineStr">
        <is>
          <t>FY26</t>
        </is>
      </c>
      <c r="F94" s="27" t="inlineStr">
        <is>
          <t>Approved case</t>
        </is>
      </c>
      <c r="G94" s="27" t="inlineStr">
        <is>
          <t>Federal rate</t>
        </is>
      </c>
      <c r="H94" s="46" t="n">
        <v>0.21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TAX-00248</t>
        </is>
      </c>
      <c r="B95" s="27" t="inlineStr">
        <is>
          <t>Deferred tax, NOL, and Section 163(j) roll-forward</t>
        </is>
      </c>
      <c r="C95" s="27" t="inlineStr">
        <is>
          <t>Tax provision rollforward inputs</t>
        </is>
      </c>
      <c r="D95" s="27" t="inlineStr">
        <is>
          <t>Alder Ridge</t>
        </is>
      </c>
      <c r="E95" s="27" t="inlineStr">
        <is>
          <t>FY26</t>
        </is>
      </c>
      <c r="F95" s="27" t="inlineStr">
        <is>
          <t>Approved case</t>
        </is>
      </c>
      <c r="G95" s="27" t="inlineStr">
        <is>
          <t>Blended state rate net of federal benefit</t>
        </is>
      </c>
      <c r="H95" s="46" t="n">
        <v>0.05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TAX-00249</t>
        </is>
      </c>
      <c r="B96" s="27" t="inlineStr">
        <is>
          <t>Deferred tax, NOL, and Section 163(j) roll-forward</t>
        </is>
      </c>
      <c r="C96" s="27" t="inlineStr">
        <is>
          <t>Tax provision rollforward inputs</t>
        </is>
      </c>
      <c r="D96" s="27" t="inlineStr">
        <is>
          <t>Alder Ridge</t>
        </is>
      </c>
      <c r="E96" s="27" t="inlineStr">
        <is>
          <t>FY26</t>
        </is>
      </c>
      <c r="F96" s="27" t="inlineStr">
        <is>
          <t>Approved case</t>
        </is>
      </c>
      <c r="G96" s="27" t="inlineStr">
        <is>
          <t>Valuation allowance on state credit</t>
        </is>
      </c>
      <c r="H96" s="46" t="n">
        <v>0.4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TAX-00250</t>
        </is>
      </c>
      <c r="B97" s="27" t="inlineStr">
        <is>
          <t>Deferred tax, NOL, and Section 163(j) roll-forward</t>
        </is>
      </c>
      <c r="C97" s="27" t="inlineStr">
        <is>
          <t>Tax provision rollforward inputs</t>
        </is>
      </c>
      <c r="D97" s="27" t="inlineStr">
        <is>
          <t>Alder Ridge</t>
        </is>
      </c>
      <c r="E97" s="27" t="inlineStr">
        <is>
          <t>FY26</t>
        </is>
      </c>
      <c r="F97" s="27" t="inlineStr">
        <is>
          <t>Approved case</t>
        </is>
      </c>
      <c r="G97" s="27" t="inlineStr">
        <is>
          <t>Opening disallowed interest carryforward</t>
        </is>
      </c>
      <c r="H97" s="46" t="n">
        <v>360000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TAX-00265</t>
        </is>
      </c>
      <c r="B98" s="27" t="inlineStr">
        <is>
          <t>Deferred tax, NOL, and Section 163(j) roll-forward</t>
        </is>
      </c>
      <c r="C98" s="27" t="inlineStr">
        <is>
          <t>Tax attribute forecast</t>
        </is>
      </c>
      <c r="D98" s="27" t="inlineStr">
        <is>
          <t>Alder Ridge</t>
        </is>
      </c>
      <c r="E98" s="27" t="inlineStr">
        <is>
          <t>FY27</t>
        </is>
      </c>
      <c r="F98" s="27" t="inlineStr">
        <is>
          <t>Approved case</t>
        </is>
      </c>
      <c r="G98" s="27" t="inlineStr">
        <is>
          <t>Taxable income after full current interest deduction</t>
        </is>
      </c>
      <c r="H98" s="46" t="n">
        <v>4800000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TAX-00266</t>
        </is>
      </c>
      <c r="B99" s="27" t="inlineStr">
        <is>
          <t>Deferred tax, NOL, and Section 163(j) roll-forward</t>
        </is>
      </c>
      <c r="C99" s="27" t="inlineStr">
        <is>
          <t>Tax attribute forecast</t>
        </is>
      </c>
      <c r="D99" s="27" t="inlineStr">
        <is>
          <t>Alder Ridge</t>
        </is>
      </c>
      <c r="E99" s="27" t="inlineStr">
        <is>
          <t>FY27</t>
        </is>
      </c>
      <c r="F99" s="27" t="inlineStr">
        <is>
          <t>Approved case</t>
        </is>
      </c>
      <c r="G99" s="27" t="inlineStr">
        <is>
          <t>Current business interest expense</t>
        </is>
      </c>
      <c r="H99" s="46" t="n">
        <v>1520000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TAX-00267</t>
        </is>
      </c>
      <c r="B100" s="27" t="inlineStr">
        <is>
          <t>Deferred tax, NOL, and Section 163(j) roll-forward</t>
        </is>
      </c>
      <c r="C100" s="27" t="inlineStr">
        <is>
          <t>Tax attribute forecast</t>
        </is>
      </c>
      <c r="D100" s="27" t="inlineStr">
        <is>
          <t>Alder Ridge</t>
        </is>
      </c>
      <c r="E100" s="27" t="inlineStr">
        <is>
          <t>FY27</t>
        </is>
      </c>
      <c r="F100" s="27" t="inlineStr">
        <is>
          <t>Approved case</t>
        </is>
      </c>
      <c r="G100" s="27" t="inlineStr">
        <is>
          <t>ATI before interest</t>
        </is>
      </c>
      <c r="H100" s="46" t="n">
        <v>4950000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TAX-00268</t>
        </is>
      </c>
      <c r="B101" s="27" t="inlineStr">
        <is>
          <t>Deferred tax, NOL, and Section 163(j) roll-forward</t>
        </is>
      </c>
      <c r="C101" s="27" t="inlineStr">
        <is>
          <t>Tax attribute forecast</t>
        </is>
      </c>
      <c r="D101" s="27" t="inlineStr">
        <is>
          <t>Alder Ridge</t>
        </is>
      </c>
      <c r="E101" s="27" t="inlineStr">
        <is>
          <t>FY27</t>
        </is>
      </c>
      <c r="F101" s="27" t="inlineStr">
        <is>
          <t>Approved case</t>
        </is>
      </c>
      <c r="G101" s="27" t="inlineStr">
        <is>
          <t>Business interest income</t>
        </is>
      </c>
      <c r="H101" s="46" t="n">
        <v>110</v>
      </c>
      <c r="I101" s="27" t="inlineStr"/>
      <c r="J101" s="27" t="inlineStr">
        <is>
          <t>USD thousands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TAX-00269</t>
        </is>
      </c>
      <c r="B102" s="27" t="inlineStr">
        <is>
          <t>Deferred tax, NOL, and Section 163(j) roll-forward</t>
        </is>
      </c>
      <c r="C102" s="27" t="inlineStr">
        <is>
          <t>Tax attribute forecast</t>
        </is>
      </c>
      <c r="D102" s="27" t="inlineStr">
        <is>
          <t>Alder Ridge</t>
        </is>
      </c>
      <c r="E102" s="27" t="inlineStr">
        <is>
          <t>FY28</t>
        </is>
      </c>
      <c r="F102" s="27" t="inlineStr">
        <is>
          <t>Approved case</t>
        </is>
      </c>
      <c r="G102" s="27" t="inlineStr">
        <is>
          <t>Taxable income after full current interest deduction</t>
        </is>
      </c>
      <c r="H102" s="46" t="n">
        <v>5650000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TAX-00270</t>
        </is>
      </c>
      <c r="B103" s="27" t="inlineStr">
        <is>
          <t>Deferred tax, NOL, and Section 163(j) roll-forward</t>
        </is>
      </c>
      <c r="C103" s="27" t="inlineStr">
        <is>
          <t>Tax attribute forecast</t>
        </is>
      </c>
      <c r="D103" s="27" t="inlineStr">
        <is>
          <t>Alder Ridge</t>
        </is>
      </c>
      <c r="E103" s="27" t="inlineStr">
        <is>
          <t>FY28</t>
        </is>
      </c>
      <c r="F103" s="27" t="inlineStr">
        <is>
          <t>Approved case</t>
        </is>
      </c>
      <c r="G103" s="27" t="inlineStr">
        <is>
          <t>Current business interest expense</t>
        </is>
      </c>
      <c r="H103" s="46" t="n">
        <v>1410000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TAX-00271</t>
        </is>
      </c>
      <c r="B104" s="27" t="inlineStr">
        <is>
          <t>Deferred tax, NOL, and Section 163(j) roll-forward</t>
        </is>
      </c>
      <c r="C104" s="27" t="inlineStr">
        <is>
          <t>Tax attribute forecast</t>
        </is>
      </c>
      <c r="D104" s="27" t="inlineStr">
        <is>
          <t>Alder Ridge</t>
        </is>
      </c>
      <c r="E104" s="27" t="inlineStr">
        <is>
          <t>FY28</t>
        </is>
      </c>
      <c r="F104" s="27" t="inlineStr">
        <is>
          <t>Approved case</t>
        </is>
      </c>
      <c r="G104" s="27" t="inlineStr">
        <is>
          <t>ATI before interest</t>
        </is>
      </c>
      <c r="H104" s="46" t="n">
        <v>5700000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TAX-00272</t>
        </is>
      </c>
      <c r="B105" s="27" t="inlineStr">
        <is>
          <t>Deferred tax, NOL, and Section 163(j) roll-forward</t>
        </is>
      </c>
      <c r="C105" s="27" t="inlineStr">
        <is>
          <t>Tax attribute forecast</t>
        </is>
      </c>
      <c r="D105" s="27" t="inlineStr">
        <is>
          <t>Alder Ridge</t>
        </is>
      </c>
      <c r="E105" s="27" t="inlineStr">
        <is>
          <t>FY28</t>
        </is>
      </c>
      <c r="F105" s="27" t="inlineStr">
        <is>
          <t>Approved case</t>
        </is>
      </c>
      <c r="G105" s="27" t="inlineStr">
        <is>
          <t>Business interest income</t>
        </is>
      </c>
      <c r="H105" s="46" t="n">
        <v>125</v>
      </c>
      <c r="I105" s="27" t="inlineStr"/>
      <c r="J105" s="27" t="inlineStr">
        <is>
          <t>USD thousands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TAX-00273</t>
        </is>
      </c>
      <c r="B106" s="27" t="inlineStr">
        <is>
          <t>Deferred tax, NOL, and Section 163(j) roll-forward</t>
        </is>
      </c>
      <c r="C106" s="27" t="inlineStr">
        <is>
          <t>Tax attribute forecast</t>
        </is>
      </c>
      <c r="D106" s="27" t="inlineStr">
        <is>
          <t>Acquired business</t>
        </is>
      </c>
      <c r="E106" s="27" t="inlineStr">
        <is>
          <t>FY26 ending</t>
        </is>
      </c>
      <c r="F106" s="27" t="inlineStr">
        <is>
          <t>Approved case</t>
        </is>
      </c>
      <c r="G106" s="27" t="inlineStr">
        <is>
          <t>Section 382 limited NOL</t>
        </is>
      </c>
      <c r="H106" s="46" t="n">
        <v>1500000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TAX-00274</t>
        </is>
      </c>
      <c r="B107" s="27" t="inlineStr">
        <is>
          <t>Deferred tax, NOL, and Section 163(j) roll-forward</t>
        </is>
      </c>
      <c r="C107" s="27" t="inlineStr">
        <is>
          <t>Tax attribute forecast</t>
        </is>
      </c>
      <c r="D107" s="27" t="inlineStr">
        <is>
          <t>Acquired business</t>
        </is>
      </c>
      <c r="E107" s="27" t="inlineStr">
        <is>
          <t>Annual</t>
        </is>
      </c>
      <c r="F107" s="27" t="inlineStr">
        <is>
          <t>Approved case</t>
        </is>
      </c>
      <c r="G107" s="27" t="inlineStr">
        <is>
          <t>Section 382 annual limit</t>
        </is>
      </c>
      <c r="H107" s="46" t="n">
        <v>450000</v>
      </c>
      <c r="I107" s="27" t="inlineStr"/>
      <c r="J107" s="27" t="inlineStr">
        <is>
          <t>USD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</sheetData>
  <autoFilter ref="A4:M107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State Tax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TAX-00125</t>
        </is>
      </c>
      <c r="B5" s="27" t="inlineStr">
        <is>
          <t>Multistate income-tax apportionment</t>
        </is>
      </c>
      <c r="C5" s="27" t="inlineStr">
        <is>
          <t>Apportionment policy</t>
        </is>
      </c>
      <c r="D5" s="27" t="inlineStr">
        <is>
          <t>All states</t>
        </is>
      </c>
      <c r="E5" s="27" t="inlineStr">
        <is>
          <t>FY26</t>
        </is>
      </c>
      <c r="F5" s="27" t="inlineStr">
        <is>
          <t>Approved case</t>
        </is>
      </c>
      <c r="G5" s="27" t="inlineStr">
        <is>
          <t>Apportionable income</t>
        </is>
      </c>
      <c r="H5" s="46" t="n">
        <v>9600000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TAX-00126</t>
        </is>
      </c>
      <c r="B6" s="27" t="inlineStr">
        <is>
          <t>Multistate income-tax apportionment</t>
        </is>
      </c>
      <c r="C6" s="27" t="inlineStr">
        <is>
          <t>Apportionment policy</t>
        </is>
      </c>
      <c r="D6" s="27" t="inlineStr">
        <is>
          <t>All states</t>
        </is>
      </c>
      <c r="E6" s="27" t="inlineStr">
        <is>
          <t>FY26</t>
        </is>
      </c>
      <c r="F6" s="27" t="inlineStr">
        <is>
          <t>Approved case</t>
        </is>
      </c>
      <c r="G6" s="27" t="inlineStr">
        <is>
          <t>Sales factor weight</t>
        </is>
      </c>
      <c r="H6" s="46" t="n">
        <v>0.5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TAX-00127</t>
        </is>
      </c>
      <c r="B7" s="27" t="inlineStr">
        <is>
          <t>Multistate income-tax apportionment</t>
        </is>
      </c>
      <c r="C7" s="27" t="inlineStr">
        <is>
          <t>Apportionment policy</t>
        </is>
      </c>
      <c r="D7" s="27" t="inlineStr">
        <is>
          <t>All states</t>
        </is>
      </c>
      <c r="E7" s="27" t="inlineStr">
        <is>
          <t>FY26</t>
        </is>
      </c>
      <c r="F7" s="27" t="inlineStr">
        <is>
          <t>Approved case</t>
        </is>
      </c>
      <c r="G7" s="27" t="inlineStr">
        <is>
          <t>Property factor weight</t>
        </is>
      </c>
      <c r="H7" s="46" t="n">
        <v>0.25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TAX-00128</t>
        </is>
      </c>
      <c r="B8" s="27" t="inlineStr">
        <is>
          <t>Multistate income-tax apportionment</t>
        </is>
      </c>
      <c r="C8" s="27" t="inlineStr">
        <is>
          <t>Apportionment policy</t>
        </is>
      </c>
      <c r="D8" s="27" t="inlineStr">
        <is>
          <t>All states</t>
        </is>
      </c>
      <c r="E8" s="27" t="inlineStr">
        <is>
          <t>FY26</t>
        </is>
      </c>
      <c r="F8" s="27" t="inlineStr">
        <is>
          <t>Approved case</t>
        </is>
      </c>
      <c r="G8" s="27" t="inlineStr">
        <is>
          <t>Payroll factor weight</t>
        </is>
      </c>
      <c r="H8" s="46" t="n">
        <v>0.25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TAX-00129</t>
        </is>
      </c>
      <c r="B9" s="27" t="inlineStr">
        <is>
          <t>Multistate income-tax apportionment</t>
        </is>
      </c>
      <c r="C9" s="27" t="inlineStr">
        <is>
          <t>Apportionment policy</t>
        </is>
      </c>
      <c r="D9" s="27" t="inlineStr">
        <is>
          <t>All states</t>
        </is>
      </c>
      <c r="E9" s="27" t="inlineStr">
        <is>
          <t>FY26</t>
        </is>
      </c>
      <c r="F9" s="27" t="inlineStr">
        <is>
          <t>Approved case</t>
        </is>
      </c>
      <c r="G9" s="27" t="inlineStr">
        <is>
          <t>NOL utilization limit</t>
        </is>
      </c>
      <c r="H9" s="46" t="n">
        <v>0.8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TAX-00401</t>
        </is>
      </c>
      <c r="B10" s="27" t="inlineStr">
        <is>
          <t>Stock-versus-asset transaction tax structure</t>
        </is>
      </c>
      <c r="C10" s="27" t="inlineStr">
        <is>
          <t>Transaction tax structure</t>
        </is>
      </c>
      <c r="D10" s="27" t="inlineStr">
        <is>
          <t>Pioneer HVAC</t>
        </is>
      </c>
      <c r="E10" s="27" t="inlineStr">
        <is>
          <t>Closing</t>
        </is>
      </c>
      <c r="F10" s="27" t="inlineStr">
        <is>
          <t>Approved case</t>
        </is>
      </c>
      <c r="G10" s="27" t="inlineStr">
        <is>
          <t>Equity purchase price</t>
        </is>
      </c>
      <c r="H10" s="46" t="n">
        <v>32000000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TAX-00402</t>
        </is>
      </c>
      <c r="B11" s="27" t="inlineStr">
        <is>
          <t>Stock-versus-asset transaction tax structure</t>
        </is>
      </c>
      <c r="C11" s="27" t="inlineStr">
        <is>
          <t>Transaction tax structure</t>
        </is>
      </c>
      <c r="D11" s="27" t="inlineStr">
        <is>
          <t>Pioneer HVAC</t>
        </is>
      </c>
      <c r="E11" s="27" t="inlineStr">
        <is>
          <t>Closing</t>
        </is>
      </c>
      <c r="F11" s="27" t="inlineStr">
        <is>
          <t>Approved case</t>
        </is>
      </c>
      <c r="G11" s="27" t="inlineStr">
        <is>
          <t>Target tax basis in stock</t>
        </is>
      </c>
      <c r="H11" s="46" t="n">
        <v>12500000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TAX-00403</t>
        </is>
      </c>
      <c r="B12" s="27" t="inlineStr">
        <is>
          <t>Stock-versus-asset transaction tax structure</t>
        </is>
      </c>
      <c r="C12" s="27" t="inlineStr">
        <is>
          <t>Transaction tax structure</t>
        </is>
      </c>
      <c r="D12" s="27" t="inlineStr">
        <is>
          <t>Pioneer HVAC</t>
        </is>
      </c>
      <c r="E12" s="27" t="inlineStr">
        <is>
          <t>Closing</t>
        </is>
      </c>
      <c r="F12" s="27" t="inlineStr">
        <is>
          <t>Approved case</t>
        </is>
      </c>
      <c r="G12" s="27" t="inlineStr">
        <is>
          <t>Asset tax basis</t>
        </is>
      </c>
      <c r="H12" s="46" t="n">
        <v>14800000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TAX-00404</t>
        </is>
      </c>
      <c r="B13" s="27" t="inlineStr">
        <is>
          <t>Stock-versus-asset transaction tax structure</t>
        </is>
      </c>
      <c r="C13" s="27" t="inlineStr">
        <is>
          <t>Transaction tax structure</t>
        </is>
      </c>
      <c r="D13" s="27" t="inlineStr">
        <is>
          <t>Pioneer HVAC</t>
        </is>
      </c>
      <c r="E13" s="27" t="inlineStr">
        <is>
          <t>Closing</t>
        </is>
      </c>
      <c r="F13" s="27" t="inlineStr">
        <is>
          <t>Approved case</t>
        </is>
      </c>
      <c r="G13" s="27" t="inlineStr">
        <is>
          <t>Allocable asset purchase price</t>
        </is>
      </c>
      <c r="H13" s="46" t="n">
        <v>34500</v>
      </c>
      <c r="I13" s="27" t="inlineStr"/>
      <c r="J13" s="27" t="inlineStr">
        <is>
          <t>USD thousands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TAX-00405</t>
        </is>
      </c>
      <c r="B14" s="27" t="inlineStr">
        <is>
          <t>Stock-versus-asset transaction tax structure</t>
        </is>
      </c>
      <c r="C14" s="27" t="inlineStr">
        <is>
          <t>Transaction tax structure</t>
        </is>
      </c>
      <c r="D14" s="27" t="inlineStr">
        <is>
          <t>Pioneer HVAC</t>
        </is>
      </c>
      <c r="E14" s="27" t="inlineStr">
        <is>
          <t>Closing</t>
        </is>
      </c>
      <c r="F14" s="27" t="inlineStr">
        <is>
          <t>Approved case</t>
        </is>
      </c>
      <c r="G14" s="27" t="inlineStr">
        <is>
          <t>Depreciable step-up</t>
        </is>
      </c>
      <c r="H14" s="46" t="n">
        <v>12600000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TAX-00406</t>
        </is>
      </c>
      <c r="B15" s="27" t="inlineStr">
        <is>
          <t>Stock-versus-asset transaction tax structure</t>
        </is>
      </c>
      <c r="C15" s="27" t="inlineStr">
        <is>
          <t>Transaction tax structure</t>
        </is>
      </c>
      <c r="D15" s="27" t="inlineStr">
        <is>
          <t>Pioneer HVAC</t>
        </is>
      </c>
      <c r="E15" s="27" t="inlineStr">
        <is>
          <t>Closing</t>
        </is>
      </c>
      <c r="F15" s="27" t="inlineStr">
        <is>
          <t>Approved case</t>
        </is>
      </c>
      <c r="G15" s="27" t="inlineStr">
        <is>
          <t>Amortizable goodwill step-up</t>
        </is>
      </c>
      <c r="H15" s="46" t="n">
        <v>7100000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TAX-00407</t>
        </is>
      </c>
      <c r="B16" s="27" t="inlineStr">
        <is>
          <t>Stock-versus-asset transaction tax structure</t>
        </is>
      </c>
      <c r="C16" s="27" t="inlineStr">
        <is>
          <t>Transaction tax structure</t>
        </is>
      </c>
      <c r="D16" s="27" t="inlineStr">
        <is>
          <t>Pioneer HVAC</t>
        </is>
      </c>
      <c r="E16" s="27" t="inlineStr">
        <is>
          <t>Closing</t>
        </is>
      </c>
      <c r="F16" s="27" t="inlineStr">
        <is>
          <t>Approved case</t>
        </is>
      </c>
      <c r="G16" s="27" t="inlineStr">
        <is>
          <t>Depreciation life</t>
        </is>
      </c>
      <c r="H16" s="46" t="n">
        <v>7</v>
      </c>
      <c r="I16" s="27" t="inlineStr"/>
      <c r="J16" s="27" t="inlineStr">
        <is>
          <t>years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TAX-00408</t>
        </is>
      </c>
      <c r="B17" s="27" t="inlineStr">
        <is>
          <t>Stock-versus-asset transaction tax structure</t>
        </is>
      </c>
      <c r="C17" s="27" t="inlineStr">
        <is>
          <t>Transaction tax structure</t>
        </is>
      </c>
      <c r="D17" s="27" t="inlineStr">
        <is>
          <t>Pioneer HVAC</t>
        </is>
      </c>
      <c r="E17" s="27" t="inlineStr">
        <is>
          <t>Closing</t>
        </is>
      </c>
      <c r="F17" s="27" t="inlineStr">
        <is>
          <t>Approved case</t>
        </is>
      </c>
      <c r="G17" s="27" t="inlineStr">
        <is>
          <t>Goodwill amortization life</t>
        </is>
      </c>
      <c r="H17" s="46" t="n">
        <v>15</v>
      </c>
      <c r="I17" s="27" t="inlineStr"/>
      <c r="J17" s="27" t="inlineStr">
        <is>
          <t>years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TAX-00409</t>
        </is>
      </c>
      <c r="B18" s="27" t="inlineStr">
        <is>
          <t>Stock-versus-asset transaction tax structure</t>
        </is>
      </c>
      <c r="C18" s="27" t="inlineStr">
        <is>
          <t>Transaction tax structure</t>
        </is>
      </c>
      <c r="D18" s="27" t="inlineStr">
        <is>
          <t>Pioneer HVAC</t>
        </is>
      </c>
      <c r="E18" s="27" t="inlineStr">
        <is>
          <t>Closing</t>
        </is>
      </c>
      <c r="F18" s="27" t="inlineStr">
        <is>
          <t>Approved case</t>
        </is>
      </c>
      <c r="G18" s="27" t="inlineStr">
        <is>
          <t>Tax rate</t>
        </is>
      </c>
      <c r="H18" s="46" t="n">
        <v>0.26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TAX-00410</t>
        </is>
      </c>
      <c r="B19" s="27" t="inlineStr">
        <is>
          <t>Stock-versus-asset transaction tax structure</t>
        </is>
      </c>
      <c r="C19" s="27" t="inlineStr">
        <is>
          <t>Transaction tax structure</t>
        </is>
      </c>
      <c r="D19" s="27" t="inlineStr">
        <is>
          <t>Pioneer HVAC</t>
        </is>
      </c>
      <c r="E19" s="27" t="inlineStr">
        <is>
          <t>Closing</t>
        </is>
      </c>
      <c r="F19" s="27" t="inlineStr">
        <is>
          <t>Approved case</t>
        </is>
      </c>
      <c r="G19" s="27" t="inlineStr">
        <is>
          <t>Discount rate</t>
        </is>
      </c>
      <c r="H19" s="46" t="n">
        <v>0.1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TAX-00411</t>
        </is>
      </c>
      <c r="B20" s="27" t="inlineStr">
        <is>
          <t>Stock-versus-asset transaction tax structure</t>
        </is>
      </c>
      <c r="C20" s="27" t="inlineStr">
        <is>
          <t>Transaction tax structure</t>
        </is>
      </c>
      <c r="D20" s="27" t="inlineStr">
        <is>
          <t>Pioneer HVAC</t>
        </is>
      </c>
      <c r="E20" s="27" t="inlineStr">
        <is>
          <t>Closing</t>
        </is>
      </c>
      <c r="F20" s="27" t="inlineStr">
        <is>
          <t>Approved case</t>
        </is>
      </c>
      <c r="G20" s="27" t="inlineStr">
        <is>
          <t>Seller required asset-deal gross-up</t>
        </is>
      </c>
      <c r="H20" s="46" t="n">
        <v>2650000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TAX-00412</t>
        </is>
      </c>
      <c r="B21" s="27" t="inlineStr">
        <is>
          <t>Stock-versus-asset transaction tax structure</t>
        </is>
      </c>
      <c r="C21" s="27" t="inlineStr">
        <is>
          <t>Transaction tax structure</t>
        </is>
      </c>
      <c r="D21" s="27" t="inlineStr">
        <is>
          <t>Pioneer HVAC</t>
        </is>
      </c>
      <c r="E21" s="27" t="inlineStr">
        <is>
          <t>Closing</t>
        </is>
      </c>
      <c r="F21" s="27" t="inlineStr">
        <is>
          <t>Approved case</t>
        </is>
      </c>
      <c r="G21" s="27" t="inlineStr">
        <is>
          <t>Stock-deal transaction costs</t>
        </is>
      </c>
      <c r="H21" s="46" t="n">
        <v>720</v>
      </c>
      <c r="I21" s="27" t="inlineStr"/>
      <c r="J21" s="27" t="inlineStr">
        <is>
          <t>USD thousands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TAX-00413</t>
        </is>
      </c>
      <c r="B22" s="27" t="inlineStr">
        <is>
          <t>Stock-versus-asset transaction tax structure</t>
        </is>
      </c>
      <c r="C22" s="27" t="inlineStr">
        <is>
          <t>Transaction tax structure</t>
        </is>
      </c>
      <c r="D22" s="27" t="inlineStr">
        <is>
          <t>Pioneer HVAC</t>
        </is>
      </c>
      <c r="E22" s="27" t="inlineStr">
        <is>
          <t>Closing</t>
        </is>
      </c>
      <c r="F22" s="27" t="inlineStr">
        <is>
          <t>Approved case</t>
        </is>
      </c>
      <c r="G22" s="27" t="inlineStr">
        <is>
          <t>Asset-deal transaction costs</t>
        </is>
      </c>
      <c r="H22" s="46" t="n">
        <v>1050000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TAX-00414</t>
        </is>
      </c>
      <c r="B23" s="27" t="inlineStr">
        <is>
          <t>Stock-versus-asset transaction tax structure</t>
        </is>
      </c>
      <c r="C23" s="27" t="inlineStr">
        <is>
          <t>Transaction tax structure</t>
        </is>
      </c>
      <c r="D23" s="27" t="inlineStr">
        <is>
          <t>Pioneer HVAC</t>
        </is>
      </c>
      <c r="E23" s="27" t="inlineStr">
        <is>
          <t>Closing</t>
        </is>
      </c>
      <c r="F23" s="27" t="inlineStr">
        <is>
          <t>Approved case</t>
        </is>
      </c>
      <c r="G23" s="27" t="inlineStr">
        <is>
          <t>Section 338 election legal feasibility</t>
        </is>
      </c>
      <c r="H23" s="46" t="n">
        <v>1</v>
      </c>
      <c r="I23" s="27" t="inlineStr"/>
      <c r="J23" s="27" t="inlineStr">
        <is>
          <t>boolean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TAX-00415</t>
        </is>
      </c>
      <c r="B24" s="27" t="inlineStr">
        <is>
          <t>Stock-versus-asset transaction tax structure</t>
        </is>
      </c>
      <c r="C24" s="27" t="inlineStr">
        <is>
          <t>Transaction tax structure</t>
        </is>
      </c>
      <c r="D24" s="27" t="inlineStr">
        <is>
          <t>Pioneer HVAC</t>
        </is>
      </c>
      <c r="E24" s="27" t="inlineStr">
        <is>
          <t>Closing</t>
        </is>
      </c>
      <c r="F24" s="27" t="inlineStr">
        <is>
          <t>Approved case</t>
        </is>
      </c>
      <c r="G24" s="27" t="inlineStr">
        <is>
          <t>Maximum buyer incremental consideration</t>
        </is>
      </c>
      <c r="H24" s="46" t="n">
        <v>1800000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TAX-00428</t>
        </is>
      </c>
      <c r="B25" s="27" t="inlineStr">
        <is>
          <t>Stock-versus-asset transaction tax structure</t>
        </is>
      </c>
      <c r="C25" s="27" t="inlineStr">
        <is>
          <t>Tax step-up asset classes</t>
        </is>
      </c>
      <c r="D25" s="27" t="inlineStr">
        <is>
          <t>Machinery</t>
        </is>
      </c>
      <c r="E25" s="27" t="inlineStr">
        <is>
          <t>Closing</t>
        </is>
      </c>
      <c r="F25" s="27" t="inlineStr">
        <is>
          <t>Approved case</t>
        </is>
      </c>
      <c r="G25" s="27" t="inlineStr">
        <is>
          <t>Tax basis step-up</t>
        </is>
      </c>
      <c r="H25" s="46" t="n">
        <v>6400000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TAX-00429</t>
        </is>
      </c>
      <c r="B26" s="27" t="inlineStr">
        <is>
          <t>Stock-versus-asset transaction tax structure</t>
        </is>
      </c>
      <c r="C26" s="27" t="inlineStr">
        <is>
          <t>Tax step-up asset classes</t>
        </is>
      </c>
      <c r="D26" s="27" t="inlineStr">
        <is>
          <t>Machinery</t>
        </is>
      </c>
      <c r="E26" s="27" t="inlineStr">
        <is>
          <t>Closing</t>
        </is>
      </c>
      <c r="F26" s="27" t="inlineStr">
        <is>
          <t>Approved case</t>
        </is>
      </c>
      <c r="G26" s="27" t="inlineStr">
        <is>
          <t>Recovery life</t>
        </is>
      </c>
      <c r="H26" s="46" t="n">
        <v>5</v>
      </c>
      <c r="I26" s="27" t="inlineStr"/>
      <c r="J26" s="27" t="inlineStr">
        <is>
          <t>years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TAX-00430</t>
        </is>
      </c>
      <c r="B27" s="27" t="inlineStr">
        <is>
          <t>Stock-versus-asset transaction tax structure</t>
        </is>
      </c>
      <c r="C27" s="27" t="inlineStr">
        <is>
          <t>Tax step-up asset classes</t>
        </is>
      </c>
      <c r="D27" s="27" t="inlineStr">
        <is>
          <t>Machinery</t>
        </is>
      </c>
      <c r="E27" s="27" t="inlineStr">
        <is>
          <t>Closing</t>
        </is>
      </c>
      <c r="F27" s="27" t="inlineStr">
        <is>
          <t>Approved case</t>
        </is>
      </c>
      <c r="G27" s="27" t="inlineStr">
        <is>
          <t>Year 1 bonus percent</t>
        </is>
      </c>
      <c r="H27" s="46" t="n">
        <v>0.2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TAX-00431</t>
        </is>
      </c>
      <c r="B28" s="27" t="inlineStr">
        <is>
          <t>Stock-versus-asset transaction tax structure</t>
        </is>
      </c>
      <c r="C28" s="27" t="inlineStr">
        <is>
          <t>Tax step-up asset classes</t>
        </is>
      </c>
      <c r="D28" s="27" t="inlineStr">
        <is>
          <t>Machinery</t>
        </is>
      </c>
      <c r="E28" s="27" t="inlineStr">
        <is>
          <t>Closing</t>
        </is>
      </c>
      <c r="F28" s="27" t="inlineStr">
        <is>
          <t>Approved case</t>
        </is>
      </c>
      <c r="G28" s="27" t="inlineStr">
        <is>
          <t>Tax class</t>
        </is>
      </c>
      <c r="H28" s="46" t="inlineStr"/>
      <c r="I28" s="27" t="inlineStr">
        <is>
          <t>Depreciable</t>
        </is>
      </c>
      <c r="J28" s="27" t="inlineStr">
        <is>
          <t>classification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TAX-00432</t>
        </is>
      </c>
      <c r="B29" s="27" t="inlineStr">
        <is>
          <t>Stock-versus-asset transaction tax structure</t>
        </is>
      </c>
      <c r="C29" s="27" t="inlineStr">
        <is>
          <t>Tax step-up asset classes</t>
        </is>
      </c>
      <c r="D29" s="27" t="inlineStr">
        <is>
          <t>Building systems</t>
        </is>
      </c>
      <c r="E29" s="27" t="inlineStr">
        <is>
          <t>Closing</t>
        </is>
      </c>
      <c r="F29" s="27" t="inlineStr">
        <is>
          <t>Approved case</t>
        </is>
      </c>
      <c r="G29" s="27" t="inlineStr">
        <is>
          <t>Tax basis step-up</t>
        </is>
      </c>
      <c r="H29" s="46" t="n">
        <v>6200000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TAX-00433</t>
        </is>
      </c>
      <c r="B30" s="27" t="inlineStr">
        <is>
          <t>Stock-versus-asset transaction tax structure</t>
        </is>
      </c>
      <c r="C30" s="27" t="inlineStr">
        <is>
          <t>Tax step-up asset classes</t>
        </is>
      </c>
      <c r="D30" s="27" t="inlineStr">
        <is>
          <t>Building systems</t>
        </is>
      </c>
      <c r="E30" s="27" t="inlineStr">
        <is>
          <t>Closing</t>
        </is>
      </c>
      <c r="F30" s="27" t="inlineStr">
        <is>
          <t>Approved case</t>
        </is>
      </c>
      <c r="G30" s="27" t="inlineStr">
        <is>
          <t>Recovery life</t>
        </is>
      </c>
      <c r="H30" s="46" t="n">
        <v>15</v>
      </c>
      <c r="I30" s="27" t="inlineStr"/>
      <c r="J30" s="27" t="inlineStr">
        <is>
          <t>years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TAX-00434</t>
        </is>
      </c>
      <c r="B31" s="27" t="inlineStr">
        <is>
          <t>Stock-versus-asset transaction tax structure</t>
        </is>
      </c>
      <c r="C31" s="27" t="inlineStr">
        <is>
          <t>Tax step-up asset classes</t>
        </is>
      </c>
      <c r="D31" s="27" t="inlineStr">
        <is>
          <t>Building systems</t>
        </is>
      </c>
      <c r="E31" s="27" t="inlineStr">
        <is>
          <t>Closing</t>
        </is>
      </c>
      <c r="F31" s="27" t="inlineStr">
        <is>
          <t>Approved case</t>
        </is>
      </c>
      <c r="G31" s="27" t="inlineStr">
        <is>
          <t>Year 1 bonus percent</t>
        </is>
      </c>
      <c r="H31" s="46" t="n">
        <v>0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TAX-00435</t>
        </is>
      </c>
      <c r="B32" s="27" t="inlineStr">
        <is>
          <t>Stock-versus-asset transaction tax structure</t>
        </is>
      </c>
      <c r="C32" s="27" t="inlineStr">
        <is>
          <t>Tax step-up asset classes</t>
        </is>
      </c>
      <c r="D32" s="27" t="inlineStr">
        <is>
          <t>Building systems</t>
        </is>
      </c>
      <c r="E32" s="27" t="inlineStr">
        <is>
          <t>Closing</t>
        </is>
      </c>
      <c r="F32" s="27" t="inlineStr">
        <is>
          <t>Approved case</t>
        </is>
      </c>
      <c r="G32" s="27" t="inlineStr">
        <is>
          <t>Tax class</t>
        </is>
      </c>
      <c r="H32" s="46" t="inlineStr"/>
      <c r="I32" s="27" t="inlineStr">
        <is>
          <t>Depreciable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TAX-00436</t>
        </is>
      </c>
      <c r="B33" s="27" t="inlineStr">
        <is>
          <t>Stock-versus-asset transaction tax structure</t>
        </is>
      </c>
      <c r="C33" s="27" t="inlineStr">
        <is>
          <t>Tax step-up asset classes</t>
        </is>
      </c>
      <c r="D33" s="27" t="inlineStr">
        <is>
          <t>Customer relationships</t>
        </is>
      </c>
      <c r="E33" s="27" t="inlineStr">
        <is>
          <t>Closing</t>
        </is>
      </c>
      <c r="F33" s="27" t="inlineStr">
        <is>
          <t>Approved case</t>
        </is>
      </c>
      <c r="G33" s="27" t="inlineStr">
        <is>
          <t>Tax basis step-up</t>
        </is>
      </c>
      <c r="H33" s="46" t="n">
        <v>4100000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TAX-00437</t>
        </is>
      </c>
      <c r="B34" s="27" t="inlineStr">
        <is>
          <t>Stock-versus-asset transaction tax structure</t>
        </is>
      </c>
      <c r="C34" s="27" t="inlineStr">
        <is>
          <t>Tax step-up asset classes</t>
        </is>
      </c>
      <c r="D34" s="27" t="inlineStr">
        <is>
          <t>Customer relationships</t>
        </is>
      </c>
      <c r="E34" s="27" t="inlineStr">
        <is>
          <t>Closing</t>
        </is>
      </c>
      <c r="F34" s="27" t="inlineStr">
        <is>
          <t>Approved case</t>
        </is>
      </c>
      <c r="G34" s="27" t="inlineStr">
        <is>
          <t>Recovery life</t>
        </is>
      </c>
      <c r="H34" s="46" t="n">
        <v>15</v>
      </c>
      <c r="I34" s="27" t="inlineStr"/>
      <c r="J34" s="27" t="inlineStr">
        <is>
          <t>years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TAX-00438</t>
        </is>
      </c>
      <c r="B35" s="27" t="inlineStr">
        <is>
          <t>Stock-versus-asset transaction tax structure</t>
        </is>
      </c>
      <c r="C35" s="27" t="inlineStr">
        <is>
          <t>Tax step-up asset classes</t>
        </is>
      </c>
      <c r="D35" s="27" t="inlineStr">
        <is>
          <t>Customer relationships</t>
        </is>
      </c>
      <c r="E35" s="27" t="inlineStr">
        <is>
          <t>Closing</t>
        </is>
      </c>
      <c r="F35" s="27" t="inlineStr">
        <is>
          <t>Approved case</t>
        </is>
      </c>
      <c r="G35" s="27" t="inlineStr">
        <is>
          <t>Year 1 bonus percent</t>
        </is>
      </c>
      <c r="H35" s="46" t="n">
        <v>0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TAX-00439</t>
        </is>
      </c>
      <c r="B36" s="27" t="inlineStr">
        <is>
          <t>Stock-versus-asset transaction tax structure</t>
        </is>
      </c>
      <c r="C36" s="27" t="inlineStr">
        <is>
          <t>Tax step-up asset classes</t>
        </is>
      </c>
      <c r="D36" s="27" t="inlineStr">
        <is>
          <t>Customer relationships</t>
        </is>
      </c>
      <c r="E36" s="27" t="inlineStr">
        <is>
          <t>Closing</t>
        </is>
      </c>
      <c r="F36" s="27" t="inlineStr">
        <is>
          <t>Approved case</t>
        </is>
      </c>
      <c r="G36" s="27" t="inlineStr">
        <is>
          <t>Tax class</t>
        </is>
      </c>
      <c r="H36" s="46" t="inlineStr"/>
      <c r="I36" s="27" t="inlineStr">
        <is>
          <t>Amortizable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TAX-00440</t>
        </is>
      </c>
      <c r="B37" s="27" t="inlineStr">
        <is>
          <t>Stock-versus-asset transaction tax structure</t>
        </is>
      </c>
      <c r="C37" s="27" t="inlineStr">
        <is>
          <t>Tax step-up asset classes</t>
        </is>
      </c>
      <c r="D37" s="27" t="inlineStr">
        <is>
          <t>Goodwill</t>
        </is>
      </c>
      <c r="E37" s="27" t="inlineStr">
        <is>
          <t>Closing</t>
        </is>
      </c>
      <c r="F37" s="27" t="inlineStr">
        <is>
          <t>Approved case</t>
        </is>
      </c>
      <c r="G37" s="27" t="inlineStr">
        <is>
          <t>Tax basis step-up</t>
        </is>
      </c>
      <c r="H37" s="46" t="n">
        <v>3000000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TAX-00441</t>
        </is>
      </c>
      <c r="B38" s="27" t="inlineStr">
        <is>
          <t>Stock-versus-asset transaction tax structure</t>
        </is>
      </c>
      <c r="C38" s="27" t="inlineStr">
        <is>
          <t>Tax step-up asset classes</t>
        </is>
      </c>
      <c r="D38" s="27" t="inlineStr">
        <is>
          <t>Goodwill</t>
        </is>
      </c>
      <c r="E38" s="27" t="inlineStr">
        <is>
          <t>Closing</t>
        </is>
      </c>
      <c r="F38" s="27" t="inlineStr">
        <is>
          <t>Approved case</t>
        </is>
      </c>
      <c r="G38" s="27" t="inlineStr">
        <is>
          <t>Recovery life</t>
        </is>
      </c>
      <c r="H38" s="46" t="n">
        <v>15</v>
      </c>
      <c r="I38" s="27" t="inlineStr"/>
      <c r="J38" s="27" t="inlineStr">
        <is>
          <t>years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TAX-00442</t>
        </is>
      </c>
      <c r="B39" s="27" t="inlineStr">
        <is>
          <t>Stock-versus-asset transaction tax structure</t>
        </is>
      </c>
      <c r="C39" s="27" t="inlineStr">
        <is>
          <t>Tax step-up asset classes</t>
        </is>
      </c>
      <c r="D39" s="27" t="inlineStr">
        <is>
          <t>Goodwill</t>
        </is>
      </c>
      <c r="E39" s="27" t="inlineStr">
        <is>
          <t>Closing</t>
        </is>
      </c>
      <c r="F39" s="27" t="inlineStr">
        <is>
          <t>Approved case</t>
        </is>
      </c>
      <c r="G39" s="27" t="inlineStr">
        <is>
          <t>Year 1 bonus percent</t>
        </is>
      </c>
      <c r="H39" s="46" t="n">
        <v>0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TAX-00443</t>
        </is>
      </c>
      <c r="B40" s="27" t="inlineStr">
        <is>
          <t>Stock-versus-asset transaction tax structure</t>
        </is>
      </c>
      <c r="C40" s="27" t="inlineStr">
        <is>
          <t>Tax step-up asset classes</t>
        </is>
      </c>
      <c r="D40" s="27" t="inlineStr">
        <is>
          <t>Goodwill</t>
        </is>
      </c>
      <c r="E40" s="27" t="inlineStr">
        <is>
          <t>Closing</t>
        </is>
      </c>
      <c r="F40" s="27" t="inlineStr">
        <is>
          <t>Approved case</t>
        </is>
      </c>
      <c r="G40" s="27" t="inlineStr">
        <is>
          <t>Tax class</t>
        </is>
      </c>
      <c r="H40" s="46" t="inlineStr"/>
      <c r="I40" s="27" t="inlineStr">
        <is>
          <t>Amortizable</t>
        </is>
      </c>
      <c r="J40" s="27" t="inlineStr">
        <is>
          <t>classification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TAX-00444</t>
        </is>
      </c>
      <c r="B41" s="27" t="inlineStr">
        <is>
          <t>Stock-versus-asset transaction tax structure</t>
        </is>
      </c>
      <c r="C41" s="27" t="inlineStr">
        <is>
          <t>Transaction tax structure</t>
        </is>
      </c>
      <c r="D41" s="27" t="inlineStr">
        <is>
          <t>Pioneer HVAC</t>
        </is>
      </c>
      <c r="E41" s="27" t="inlineStr">
        <is>
          <t>Closing</t>
        </is>
      </c>
      <c r="F41" s="27" t="inlineStr">
        <is>
          <t>Approved case</t>
        </is>
      </c>
      <c r="G41" s="27" t="inlineStr">
        <is>
          <t>Mid-year convention factor</t>
        </is>
      </c>
      <c r="H41" s="46" t="n">
        <v>0.5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TAX-096S001</t>
        </is>
      </c>
      <c r="B42" s="27" t="inlineStr">
        <is>
          <t>Stock-versus-asset transaction tax structure</t>
        </is>
      </c>
      <c r="C42" s="27" t="inlineStr">
        <is>
          <t>Transaction tax protection register</t>
        </is>
      </c>
      <c r="D42" s="27" t="inlineStr">
        <is>
          <t>Section 1060 allocation protocol</t>
        </is>
      </c>
      <c r="E42" s="27" t="inlineStr">
        <is>
          <t>Management review</t>
        </is>
      </c>
      <c r="F42" s="27" t="inlineStr">
        <is>
          <t>Approved case</t>
        </is>
      </c>
      <c r="G42" s="27" t="inlineStr">
        <is>
          <t>Cash cost</t>
        </is>
      </c>
      <c r="H42" s="46" t="n">
        <v>165000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TAX-096S002</t>
        </is>
      </c>
      <c r="B43" s="27" t="inlineStr">
        <is>
          <t>Stock-versus-asset transaction tax structure</t>
        </is>
      </c>
      <c r="C43" s="27" t="inlineStr">
        <is>
          <t>Transaction tax protection register</t>
        </is>
      </c>
      <c r="D43" s="27" t="inlineStr">
        <is>
          <t>Section 1060 allocation protocol</t>
        </is>
      </c>
      <c r="E43" s="27" t="inlineStr">
        <is>
          <t>Management review</t>
        </is>
      </c>
      <c r="F43" s="27" t="inlineStr">
        <is>
          <t>Approved case</t>
        </is>
      </c>
      <c r="G43" s="27" t="inlineStr">
        <is>
          <t>Gross financial effect</t>
        </is>
      </c>
      <c r="H43" s="46" t="n">
        <v>690000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TAX-096S003</t>
        </is>
      </c>
      <c r="B44" s="27" t="inlineStr">
        <is>
          <t>Stock-versus-asset transaction tax structure</t>
        </is>
      </c>
      <c r="C44" s="27" t="inlineStr">
        <is>
          <t>Transaction tax protection register</t>
        </is>
      </c>
      <c r="D44" s="27" t="inlineStr">
        <is>
          <t>Section 1060 allocation protocol</t>
        </is>
      </c>
      <c r="E44" s="27" t="inlineStr">
        <is>
          <t>Management review</t>
        </is>
      </c>
      <c r="F44" s="27" t="inlineStr">
        <is>
          <t>Approved case</t>
        </is>
      </c>
      <c r="G44" s="27" t="inlineStr">
        <is>
          <t>Realization probability</t>
        </is>
      </c>
      <c r="H44" s="46" t="n">
        <v>0.86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TAX-096S004</t>
        </is>
      </c>
      <c r="B45" s="27" t="inlineStr">
        <is>
          <t>Stock-versus-asset transaction tax structure</t>
        </is>
      </c>
      <c r="C45" s="27" t="inlineStr">
        <is>
          <t>Transaction tax protection register</t>
        </is>
      </c>
      <c r="D45" s="27" t="inlineStr">
        <is>
          <t>Section 1060 allocation protocol</t>
        </is>
      </c>
      <c r="E45" s="27" t="inlineStr">
        <is>
          <t>Management review</t>
        </is>
      </c>
      <c r="F45" s="27" t="inlineStr">
        <is>
          <t>Approved case</t>
        </is>
      </c>
      <c r="G45" s="27" t="inlineStr">
        <is>
          <t>Capacity units</t>
        </is>
      </c>
      <c r="H45" s="46" t="n">
        <v>280</v>
      </c>
      <c r="I45" s="27" t="inlineStr"/>
      <c r="J45" s="27" t="inlineStr">
        <is>
          <t>tax-diligence hours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TAX-096S005</t>
        </is>
      </c>
      <c r="B46" s="27" t="inlineStr">
        <is>
          <t>Stock-versus-asset transaction tax structure</t>
        </is>
      </c>
      <c r="C46" s="27" t="inlineStr">
        <is>
          <t>Transaction tax protection register</t>
        </is>
      </c>
      <c r="D46" s="27" t="inlineStr">
        <is>
          <t>Section 1060 allocation protocol</t>
        </is>
      </c>
      <c r="E46" s="27" t="inlineStr">
        <is>
          <t>Management review</t>
        </is>
      </c>
      <c r="F46" s="27" t="inlineStr">
        <is>
          <t>Approved case</t>
        </is>
      </c>
      <c r="G46" s="27" t="inlineStr">
        <is>
          <t>Status</t>
        </is>
      </c>
      <c r="H46" s="46" t="inlineStr"/>
      <c r="I46" s="27" t="inlineStr">
        <is>
          <t>Approved</t>
        </is>
      </c>
      <c r="J46" s="27" t="inlineStr">
        <is>
          <t>classification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TAX-096S006</t>
        </is>
      </c>
      <c r="B47" s="27" t="inlineStr">
        <is>
          <t>Stock-versus-asset transaction tax structure</t>
        </is>
      </c>
      <c r="C47" s="27" t="inlineStr">
        <is>
          <t>Transaction tax protection register</t>
        </is>
      </c>
      <c r="D47" s="27" t="inlineStr">
        <is>
          <t>Section 1060 allocation protocol</t>
        </is>
      </c>
      <c r="E47" s="27" t="inlineStr">
        <is>
          <t>Management review</t>
        </is>
      </c>
      <c r="F47" s="27" t="inlineStr">
        <is>
          <t>Approved case</t>
        </is>
      </c>
      <c r="G47" s="27" t="inlineStr">
        <is>
          <t>Dependency</t>
        </is>
      </c>
      <c r="H47" s="46" t="inlineStr"/>
      <c r="I47" s="27" t="inlineStr"/>
      <c r="J47" s="27" t="inlineStr">
        <is>
          <t>classification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TAX-096S007</t>
        </is>
      </c>
      <c r="B48" s="27" t="inlineStr">
        <is>
          <t>Stock-versus-asset transaction tax structure</t>
        </is>
      </c>
      <c r="C48" s="27" t="inlineStr">
        <is>
          <t>Transaction tax protection register</t>
        </is>
      </c>
      <c r="D48" s="27" t="inlineStr">
        <is>
          <t>Seller gross-up cap</t>
        </is>
      </c>
      <c r="E48" s="27" t="inlineStr">
        <is>
          <t>Management review</t>
        </is>
      </c>
      <c r="F48" s="27" t="inlineStr">
        <is>
          <t>Approved case</t>
        </is>
      </c>
      <c r="G48" s="27" t="inlineStr">
        <is>
          <t>Cash cost</t>
        </is>
      </c>
      <c r="H48" s="46" t="n">
        <v>120000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TAX-096S008</t>
        </is>
      </c>
      <c r="B49" s="27" t="inlineStr">
        <is>
          <t>Stock-versus-asset transaction tax structure</t>
        </is>
      </c>
      <c r="C49" s="27" t="inlineStr">
        <is>
          <t>Transaction tax protection register</t>
        </is>
      </c>
      <c r="D49" s="27" t="inlineStr">
        <is>
          <t>Seller gross-up cap</t>
        </is>
      </c>
      <c r="E49" s="27" t="inlineStr">
        <is>
          <t>Management review</t>
        </is>
      </c>
      <c r="F49" s="27" t="inlineStr">
        <is>
          <t>Approved case</t>
        </is>
      </c>
      <c r="G49" s="27" t="inlineStr">
        <is>
          <t>Gross financial effect</t>
        </is>
      </c>
      <c r="H49" s="46" t="n">
        <v>540</v>
      </c>
      <c r="I49" s="27" t="inlineStr"/>
      <c r="J49" s="27" t="inlineStr">
        <is>
          <t>USD thousands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TAX-096S009</t>
        </is>
      </c>
      <c r="B50" s="27" t="inlineStr">
        <is>
          <t>Stock-versus-asset transaction tax structure</t>
        </is>
      </c>
      <c r="C50" s="27" t="inlineStr">
        <is>
          <t>Transaction tax protection register</t>
        </is>
      </c>
      <c r="D50" s="27" t="inlineStr">
        <is>
          <t>Seller gross-up cap</t>
        </is>
      </c>
      <c r="E50" s="27" t="inlineStr">
        <is>
          <t>Management review</t>
        </is>
      </c>
      <c r="F50" s="27" t="inlineStr">
        <is>
          <t>Approved case</t>
        </is>
      </c>
      <c r="G50" s="27" t="inlineStr">
        <is>
          <t>Realization probability</t>
        </is>
      </c>
      <c r="H50" s="46" t="n">
        <v>0.84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TAX-096S010</t>
        </is>
      </c>
      <c r="B51" s="27" t="inlineStr">
        <is>
          <t>Stock-versus-asset transaction tax structure</t>
        </is>
      </c>
      <c r="C51" s="27" t="inlineStr">
        <is>
          <t>Transaction tax protection register</t>
        </is>
      </c>
      <c r="D51" s="27" t="inlineStr">
        <is>
          <t>Seller gross-up cap</t>
        </is>
      </c>
      <c r="E51" s="27" t="inlineStr">
        <is>
          <t>Management review</t>
        </is>
      </c>
      <c r="F51" s="27" t="inlineStr">
        <is>
          <t>Approved case</t>
        </is>
      </c>
      <c r="G51" s="27" t="inlineStr">
        <is>
          <t>Capacity units</t>
        </is>
      </c>
      <c r="H51" s="46" t="n">
        <v>220</v>
      </c>
      <c r="I51" s="27" t="inlineStr"/>
      <c r="J51" s="27" t="inlineStr">
        <is>
          <t>tax-diligence hours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TAX-096S011</t>
        </is>
      </c>
      <c r="B52" s="27" t="inlineStr">
        <is>
          <t>Stock-versus-asset transaction tax structure</t>
        </is>
      </c>
      <c r="C52" s="27" t="inlineStr">
        <is>
          <t>Transaction tax protection register</t>
        </is>
      </c>
      <c r="D52" s="27" t="inlineStr">
        <is>
          <t>Seller gross-up cap</t>
        </is>
      </c>
      <c r="E52" s="27" t="inlineStr">
        <is>
          <t>Management review</t>
        </is>
      </c>
      <c r="F52" s="27" t="inlineStr">
        <is>
          <t>Approved case</t>
        </is>
      </c>
      <c r="G52" s="27" t="inlineStr">
        <is>
          <t>Status</t>
        </is>
      </c>
      <c r="H52" s="46" t="inlineStr"/>
      <c r="I52" s="27" t="inlineStr">
        <is>
          <t>Approved</t>
        </is>
      </c>
      <c r="J52" s="27" t="inlineStr">
        <is>
          <t>classification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TAX-096S012</t>
        </is>
      </c>
      <c r="B53" s="27" t="inlineStr">
        <is>
          <t>Stock-versus-asset transaction tax structure</t>
        </is>
      </c>
      <c r="C53" s="27" t="inlineStr">
        <is>
          <t>Transaction tax protection register</t>
        </is>
      </c>
      <c r="D53" s="27" t="inlineStr">
        <is>
          <t>Seller gross-up cap</t>
        </is>
      </c>
      <c r="E53" s="27" t="inlineStr">
        <is>
          <t>Management review</t>
        </is>
      </c>
      <c r="F53" s="27" t="inlineStr">
        <is>
          <t>Approved case</t>
        </is>
      </c>
      <c r="G53" s="27" t="inlineStr">
        <is>
          <t>Dependency</t>
        </is>
      </c>
      <c r="H53" s="46" t="inlineStr"/>
      <c r="I53" s="27" t="inlineStr"/>
      <c r="J53" s="27" t="inlineStr">
        <is>
          <t>classification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TAX-096S013</t>
        </is>
      </c>
      <c r="B54" s="27" t="inlineStr">
        <is>
          <t>Stock-versus-asset transaction tax structure</t>
        </is>
      </c>
      <c r="C54" s="27" t="inlineStr">
        <is>
          <t>Transaction tax protection register</t>
        </is>
      </c>
      <c r="D54" s="27" t="inlineStr">
        <is>
          <t>Transfer-tax diligence</t>
        </is>
      </c>
      <c r="E54" s="27" t="inlineStr">
        <is>
          <t>Management review</t>
        </is>
      </c>
      <c r="F54" s="27" t="inlineStr">
        <is>
          <t>Approved case</t>
        </is>
      </c>
      <c r="G54" s="27" t="inlineStr">
        <is>
          <t>Cash cost</t>
        </is>
      </c>
      <c r="H54" s="46" t="n">
        <v>145000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TAX-096S014</t>
        </is>
      </c>
      <c r="B55" s="27" t="inlineStr">
        <is>
          <t>Stock-versus-asset transaction tax structure</t>
        </is>
      </c>
      <c r="C55" s="27" t="inlineStr">
        <is>
          <t>Transaction tax protection register</t>
        </is>
      </c>
      <c r="D55" s="27" t="inlineStr">
        <is>
          <t>Transfer-tax diligence</t>
        </is>
      </c>
      <c r="E55" s="27" t="inlineStr">
        <is>
          <t>Management review</t>
        </is>
      </c>
      <c r="F55" s="27" t="inlineStr">
        <is>
          <t>Approved case</t>
        </is>
      </c>
      <c r="G55" s="27" t="inlineStr">
        <is>
          <t>Gross financial effect</t>
        </is>
      </c>
      <c r="H55" s="46" t="n">
        <v>430000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TAX-096S015</t>
        </is>
      </c>
      <c r="B56" s="27" t="inlineStr">
        <is>
          <t>Stock-versus-asset transaction tax structure</t>
        </is>
      </c>
      <c r="C56" s="27" t="inlineStr">
        <is>
          <t>Transaction tax protection register</t>
        </is>
      </c>
      <c r="D56" s="27" t="inlineStr">
        <is>
          <t>Transfer-tax diligence</t>
        </is>
      </c>
      <c r="E56" s="27" t="inlineStr">
        <is>
          <t>Management review</t>
        </is>
      </c>
      <c r="F56" s="27" t="inlineStr">
        <is>
          <t>Approved case</t>
        </is>
      </c>
      <c r="G56" s="27" t="inlineStr">
        <is>
          <t>Realization probability</t>
        </is>
      </c>
      <c r="H56" s="46" t="n">
        <v>0.73</v>
      </c>
      <c r="I56" s="27" t="inlineStr"/>
      <c r="J56" s="27" t="inlineStr">
        <is>
          <t>decimal ratio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TAX-096S016</t>
        </is>
      </c>
      <c r="B57" s="27" t="inlineStr">
        <is>
          <t>Stock-versus-asset transaction tax structure</t>
        </is>
      </c>
      <c r="C57" s="27" t="inlineStr">
        <is>
          <t>Transaction tax protection register</t>
        </is>
      </c>
      <c r="D57" s="27" t="inlineStr">
        <is>
          <t>Transfer-tax diligence</t>
        </is>
      </c>
      <c r="E57" s="27" t="inlineStr">
        <is>
          <t>Management review</t>
        </is>
      </c>
      <c r="F57" s="27" t="inlineStr">
        <is>
          <t>Approved case</t>
        </is>
      </c>
      <c r="G57" s="27" t="inlineStr">
        <is>
          <t>Capacity units</t>
        </is>
      </c>
      <c r="H57" s="46" t="n">
        <v>260</v>
      </c>
      <c r="I57" s="27" t="inlineStr"/>
      <c r="J57" s="27" t="inlineStr">
        <is>
          <t>tax-diligence hours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TAX-096S017</t>
        </is>
      </c>
      <c r="B58" s="27" t="inlineStr">
        <is>
          <t>Stock-versus-asset transaction tax structure</t>
        </is>
      </c>
      <c r="C58" s="27" t="inlineStr">
        <is>
          <t>Transaction tax protection register</t>
        </is>
      </c>
      <c r="D58" s="27" t="inlineStr">
        <is>
          <t>Transfer-tax diligence</t>
        </is>
      </c>
      <c r="E58" s="27" t="inlineStr">
        <is>
          <t>Management review</t>
        </is>
      </c>
      <c r="F58" s="27" t="inlineStr">
        <is>
          <t>Approved case</t>
        </is>
      </c>
      <c r="G58" s="27" t="inlineStr">
        <is>
          <t>Status</t>
        </is>
      </c>
      <c r="H58" s="46" t="inlineStr"/>
      <c r="I58" s="27" t="inlineStr">
        <is>
          <t>Approved</t>
        </is>
      </c>
      <c r="J58" s="27" t="inlineStr">
        <is>
          <t>classification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TAX-096S018</t>
        </is>
      </c>
      <c r="B59" s="27" t="inlineStr">
        <is>
          <t>Stock-versus-asset transaction tax structure</t>
        </is>
      </c>
      <c r="C59" s="27" t="inlineStr">
        <is>
          <t>Transaction tax protection register</t>
        </is>
      </c>
      <c r="D59" s="27" t="inlineStr">
        <is>
          <t>Transfer-tax diligence</t>
        </is>
      </c>
      <c r="E59" s="27" t="inlineStr">
        <is>
          <t>Management review</t>
        </is>
      </c>
      <c r="F59" s="27" t="inlineStr">
        <is>
          <t>Approved case</t>
        </is>
      </c>
      <c r="G59" s="27" t="inlineStr">
        <is>
          <t>Dependency</t>
        </is>
      </c>
      <c r="H59" s="46" t="inlineStr"/>
      <c r="I59" s="27" t="inlineStr"/>
      <c r="J59" s="27" t="inlineStr">
        <is>
          <t>classification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TAX-096S019</t>
        </is>
      </c>
      <c r="B60" s="27" t="inlineStr">
        <is>
          <t>Stock-versus-asset transaction tax structure</t>
        </is>
      </c>
      <c r="C60" s="27" t="inlineStr">
        <is>
          <t>Transaction tax protection register</t>
        </is>
      </c>
      <c r="D60" s="27" t="inlineStr">
        <is>
          <t>Tax indemnity insurance</t>
        </is>
      </c>
      <c r="E60" s="27" t="inlineStr">
        <is>
          <t>Management review</t>
        </is>
      </c>
      <c r="F60" s="27" t="inlineStr">
        <is>
          <t>Approved case</t>
        </is>
      </c>
      <c r="G60" s="27" t="inlineStr">
        <is>
          <t>Cash cost</t>
        </is>
      </c>
      <c r="H60" s="46" t="n">
        <v>230000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TAX-096S020</t>
        </is>
      </c>
      <c r="B61" s="27" t="inlineStr">
        <is>
          <t>Stock-versus-asset transaction tax structure</t>
        </is>
      </c>
      <c r="C61" s="27" t="inlineStr">
        <is>
          <t>Transaction tax protection register</t>
        </is>
      </c>
      <c r="D61" s="27" t="inlineStr">
        <is>
          <t>Tax indemnity insurance</t>
        </is>
      </c>
      <c r="E61" s="27" t="inlineStr">
        <is>
          <t>Management review</t>
        </is>
      </c>
      <c r="F61" s="27" t="inlineStr">
        <is>
          <t>Approved case</t>
        </is>
      </c>
      <c r="G61" s="27" t="inlineStr">
        <is>
          <t>Gross financial effect</t>
        </is>
      </c>
      <c r="H61" s="46" t="n">
        <v>820</v>
      </c>
      <c r="I61" s="27" t="inlineStr"/>
      <c r="J61" s="27" t="inlineStr">
        <is>
          <t>USD thousands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TAX-096S021</t>
        </is>
      </c>
      <c r="B62" s="27" t="inlineStr">
        <is>
          <t>Stock-versus-asset transaction tax structure</t>
        </is>
      </c>
      <c r="C62" s="27" t="inlineStr">
        <is>
          <t>Transaction tax protection register</t>
        </is>
      </c>
      <c r="D62" s="27" t="inlineStr">
        <is>
          <t>Tax indemnity insurance</t>
        </is>
      </c>
      <c r="E62" s="27" t="inlineStr">
        <is>
          <t>Management review</t>
        </is>
      </c>
      <c r="F62" s="27" t="inlineStr">
        <is>
          <t>Approved case</t>
        </is>
      </c>
      <c r="G62" s="27" t="inlineStr">
        <is>
          <t>Realization probability</t>
        </is>
      </c>
      <c r="H62" s="46" t="n">
        <v>0.6899999999999999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TAX-096S022</t>
        </is>
      </c>
      <c r="B63" s="27" t="inlineStr">
        <is>
          <t>Stock-versus-asset transaction tax structure</t>
        </is>
      </c>
      <c r="C63" s="27" t="inlineStr">
        <is>
          <t>Transaction tax protection register</t>
        </is>
      </c>
      <c r="D63" s="27" t="inlineStr">
        <is>
          <t>Tax indemnity insurance</t>
        </is>
      </c>
      <c r="E63" s="27" t="inlineStr">
        <is>
          <t>Management review</t>
        </is>
      </c>
      <c r="F63" s="27" t="inlineStr">
        <is>
          <t>Approved case</t>
        </is>
      </c>
      <c r="G63" s="27" t="inlineStr">
        <is>
          <t>Capacity units</t>
        </is>
      </c>
      <c r="H63" s="46" t="n">
        <v>390</v>
      </c>
      <c r="I63" s="27" t="inlineStr"/>
      <c r="J63" s="27" t="inlineStr">
        <is>
          <t>tax-diligence hours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TAX-096S023</t>
        </is>
      </c>
      <c r="B64" s="27" t="inlineStr">
        <is>
          <t>Stock-versus-asset transaction tax structure</t>
        </is>
      </c>
      <c r="C64" s="27" t="inlineStr">
        <is>
          <t>Transaction tax protection register</t>
        </is>
      </c>
      <c r="D64" s="27" t="inlineStr">
        <is>
          <t>Tax indemnity insurance</t>
        </is>
      </c>
      <c r="E64" s="27" t="inlineStr">
        <is>
          <t>Management review</t>
        </is>
      </c>
      <c r="F64" s="27" t="inlineStr">
        <is>
          <t>Approved case</t>
        </is>
      </c>
      <c r="G64" s="27" t="inlineStr">
        <is>
          <t>Status</t>
        </is>
      </c>
      <c r="H64" s="46" t="inlineStr"/>
      <c r="I64" s="27" t="inlineStr">
        <is>
          <t>Approved</t>
        </is>
      </c>
      <c r="J64" s="27" t="inlineStr">
        <is>
          <t>classification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TAX-096S024</t>
        </is>
      </c>
      <c r="B65" s="27" t="inlineStr">
        <is>
          <t>Stock-versus-asset transaction tax structure</t>
        </is>
      </c>
      <c r="C65" s="27" t="inlineStr">
        <is>
          <t>Transaction tax protection register</t>
        </is>
      </c>
      <c r="D65" s="27" t="inlineStr">
        <is>
          <t>Tax indemnity insurance</t>
        </is>
      </c>
      <c r="E65" s="27" t="inlineStr">
        <is>
          <t>Management review</t>
        </is>
      </c>
      <c r="F65" s="27" t="inlineStr">
        <is>
          <t>Approved case</t>
        </is>
      </c>
      <c r="G65" s="27" t="inlineStr">
        <is>
          <t>Dependency</t>
        </is>
      </c>
      <c r="H65" s="46" t="inlineStr"/>
      <c r="I65" s="27" t="inlineStr"/>
      <c r="J65" s="27" t="inlineStr">
        <is>
          <t>classification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TAX-096S025</t>
        </is>
      </c>
      <c r="B66" s="27" t="inlineStr">
        <is>
          <t>Stock-versus-asset transaction tax structure</t>
        </is>
      </c>
      <c r="C66" s="27" t="inlineStr">
        <is>
          <t>Transaction tax protection register</t>
        </is>
      </c>
      <c r="D66" s="27" t="inlineStr">
        <is>
          <t>Rollover-equity structuring</t>
        </is>
      </c>
      <c r="E66" s="27" t="inlineStr">
        <is>
          <t>Management review</t>
        </is>
      </c>
      <c r="F66" s="27" t="inlineStr">
        <is>
          <t>Approved case</t>
        </is>
      </c>
      <c r="G66" s="27" t="inlineStr">
        <is>
          <t>Cash cost</t>
        </is>
      </c>
      <c r="H66" s="46" t="n">
        <v>260000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TAX-096S026</t>
        </is>
      </c>
      <c r="B67" s="27" t="inlineStr">
        <is>
          <t>Stock-versus-asset transaction tax structure</t>
        </is>
      </c>
      <c r="C67" s="27" t="inlineStr">
        <is>
          <t>Transaction tax protection register</t>
        </is>
      </c>
      <c r="D67" s="27" t="inlineStr">
        <is>
          <t>Rollover-equity structuring</t>
        </is>
      </c>
      <c r="E67" s="27" t="inlineStr">
        <is>
          <t>Management review</t>
        </is>
      </c>
      <c r="F67" s="27" t="inlineStr">
        <is>
          <t>Approved case</t>
        </is>
      </c>
      <c r="G67" s="27" t="inlineStr">
        <is>
          <t>Gross financial effect</t>
        </is>
      </c>
      <c r="H67" s="46" t="n">
        <v>960000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TAX-096S027</t>
        </is>
      </c>
      <c r="B68" s="27" t="inlineStr">
        <is>
          <t>Stock-versus-asset transaction tax structure</t>
        </is>
      </c>
      <c r="C68" s="27" t="inlineStr">
        <is>
          <t>Transaction tax protection register</t>
        </is>
      </c>
      <c r="D68" s="27" t="inlineStr">
        <is>
          <t>Rollover-equity structuring</t>
        </is>
      </c>
      <c r="E68" s="27" t="inlineStr">
        <is>
          <t>Management review</t>
        </is>
      </c>
      <c r="F68" s="27" t="inlineStr">
        <is>
          <t>Approved case</t>
        </is>
      </c>
      <c r="G68" s="27" t="inlineStr">
        <is>
          <t>Realization probability</t>
        </is>
      </c>
      <c r="H68" s="46" t="n">
        <v>0.61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TAX-096S028</t>
        </is>
      </c>
      <c r="B69" s="27" t="inlineStr">
        <is>
          <t>Stock-versus-asset transaction tax structure</t>
        </is>
      </c>
      <c r="C69" s="27" t="inlineStr">
        <is>
          <t>Transaction tax protection register</t>
        </is>
      </c>
      <c r="D69" s="27" t="inlineStr">
        <is>
          <t>Rollover-equity structuring</t>
        </is>
      </c>
      <c r="E69" s="27" t="inlineStr">
        <is>
          <t>Management review</t>
        </is>
      </c>
      <c r="F69" s="27" t="inlineStr">
        <is>
          <t>Approved case</t>
        </is>
      </c>
      <c r="G69" s="27" t="inlineStr">
        <is>
          <t>Capacity units</t>
        </is>
      </c>
      <c r="H69" s="46" t="n">
        <v>440</v>
      </c>
      <c r="I69" s="27" t="inlineStr"/>
      <c r="J69" s="27" t="inlineStr">
        <is>
          <t>tax-diligence hours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TAX-096S029</t>
        </is>
      </c>
      <c r="B70" s="27" t="inlineStr">
        <is>
          <t>Stock-versus-asset transaction tax structure</t>
        </is>
      </c>
      <c r="C70" s="27" t="inlineStr">
        <is>
          <t>Transaction tax protection register</t>
        </is>
      </c>
      <c r="D70" s="27" t="inlineStr">
        <is>
          <t>Rollover-equity structuring</t>
        </is>
      </c>
      <c r="E70" s="27" t="inlineStr">
        <is>
          <t>Management review</t>
        </is>
      </c>
      <c r="F70" s="27" t="inlineStr">
        <is>
          <t>Approved case</t>
        </is>
      </c>
      <c r="G70" s="27" t="inlineStr">
        <is>
          <t>Status</t>
        </is>
      </c>
      <c r="H70" s="46" t="inlineStr"/>
      <c r="I70" s="27" t="inlineStr">
        <is>
          <t>Conditional</t>
        </is>
      </c>
      <c r="J70" s="27" t="inlineStr">
        <is>
          <t>classification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TAX-096S030</t>
        </is>
      </c>
      <c r="B71" s="27" t="inlineStr">
        <is>
          <t>Stock-versus-asset transaction tax structure</t>
        </is>
      </c>
      <c r="C71" s="27" t="inlineStr">
        <is>
          <t>Transaction tax protection register</t>
        </is>
      </c>
      <c r="D71" s="27" t="inlineStr">
        <is>
          <t>Rollover-equity structuring</t>
        </is>
      </c>
      <c r="E71" s="27" t="inlineStr">
        <is>
          <t>Management review</t>
        </is>
      </c>
      <c r="F71" s="27" t="inlineStr">
        <is>
          <t>Approved case</t>
        </is>
      </c>
      <c r="G71" s="27" t="inlineStr">
        <is>
          <t>Dependency</t>
        </is>
      </c>
      <c r="H71" s="46" t="inlineStr"/>
      <c r="I71" s="27" t="inlineStr">
        <is>
          <t>Section 1060 allocation protocol</t>
        </is>
      </c>
      <c r="J71" s="27" t="inlineStr">
        <is>
          <t>classification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TAX-096S031</t>
        </is>
      </c>
      <c r="B72" s="27" t="inlineStr">
        <is>
          <t>Stock-versus-asset transaction tax structure</t>
        </is>
      </c>
      <c r="C72" s="27" t="inlineStr">
        <is>
          <t>Transaction tax protection register</t>
        </is>
      </c>
      <c r="D72" s="27" t="inlineStr">
        <is>
          <t>Portfolio policy</t>
        </is>
      </c>
      <c r="E72" s="27" t="inlineStr">
        <is>
          <t>Management review</t>
        </is>
      </c>
      <c r="F72" s="27" t="inlineStr">
        <is>
          <t>Approved case</t>
        </is>
      </c>
      <c r="G72" s="27" t="inlineStr">
        <is>
          <t>Cash budget</t>
        </is>
      </c>
      <c r="H72" s="46" t="n">
        <v>680000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TAX-096S032</t>
        </is>
      </c>
      <c r="B73" s="27" t="inlineStr">
        <is>
          <t>Stock-versus-asset transaction tax structure</t>
        </is>
      </c>
      <c r="C73" s="27" t="inlineStr">
        <is>
          <t>Transaction tax protection register</t>
        </is>
      </c>
      <c r="D73" s="27" t="inlineStr">
        <is>
          <t>Portfolio policy</t>
        </is>
      </c>
      <c r="E73" s="27" t="inlineStr">
        <is>
          <t>Management review</t>
        </is>
      </c>
      <c r="F73" s="27" t="inlineStr">
        <is>
          <t>Approved case</t>
        </is>
      </c>
      <c r="G73" s="27" t="inlineStr">
        <is>
          <t>Capacity limit</t>
        </is>
      </c>
      <c r="H73" s="46" t="n">
        <v>1100</v>
      </c>
      <c r="I73" s="27" t="inlineStr"/>
      <c r="J73" s="27" t="inlineStr">
        <is>
          <t>tax-diligence hours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TAX-096S033</t>
        </is>
      </c>
      <c r="B74" s="27" t="inlineStr">
        <is>
          <t>Stock-versus-asset transaction tax structure</t>
        </is>
      </c>
      <c r="C74" s="27" t="inlineStr">
        <is>
          <t>Transaction tax protection register</t>
        </is>
      </c>
      <c r="D74" s="27" t="inlineStr">
        <is>
          <t>Portfolio policy</t>
        </is>
      </c>
      <c r="E74" s="27" t="inlineStr">
        <is>
          <t>Management review</t>
        </is>
      </c>
      <c r="F74" s="27" t="inlineStr">
        <is>
          <t>Approved case</t>
        </is>
      </c>
      <c r="G74" s="27" t="inlineStr">
        <is>
          <t>Maximum actions</t>
        </is>
      </c>
      <c r="H74" s="46" t="n">
        <v>3</v>
      </c>
      <c r="I74" s="27" t="inlineStr"/>
      <c r="J74" s="27" t="inlineStr">
        <is>
          <t>count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TAX-096S034</t>
        </is>
      </c>
      <c r="B75" s="27" t="inlineStr">
        <is>
          <t>Stock-versus-asset transaction tax structure</t>
        </is>
      </c>
      <c r="C75" s="27" t="inlineStr">
        <is>
          <t>Transaction tax protection register</t>
        </is>
      </c>
      <c r="D75" s="27" t="inlineStr">
        <is>
          <t>Portfolio policy</t>
        </is>
      </c>
      <c r="E75" s="27" t="inlineStr">
        <is>
          <t>Management review</t>
        </is>
      </c>
      <c r="F75" s="27" t="inlineStr">
        <is>
          <t>Approved case</t>
        </is>
      </c>
      <c r="G75" s="27" t="inlineStr">
        <is>
          <t>Minimum expected net effect</t>
        </is>
      </c>
      <c r="H75" s="46" t="n">
        <v>500000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TAX-096S035</t>
        </is>
      </c>
      <c r="B76" s="27" t="inlineStr">
        <is>
          <t>Stock-versus-asset transaction tax structure</t>
        </is>
      </c>
      <c r="C76" s="27" t="inlineStr">
        <is>
          <t>Transaction tax protection register</t>
        </is>
      </c>
      <c r="D76" s="27" t="inlineStr">
        <is>
          <t>Portfolio policy</t>
        </is>
      </c>
      <c r="E76" s="27" t="inlineStr">
        <is>
          <t>Management review</t>
        </is>
      </c>
      <c r="F76" s="27" t="inlineStr">
        <is>
          <t>Approved case</t>
        </is>
      </c>
      <c r="G76" s="27" t="inlineStr">
        <is>
          <t>Effect basis</t>
        </is>
      </c>
      <c r="H76" s="46" t="inlineStr"/>
      <c r="I76" s="27" t="inlineStr">
        <is>
          <t>protected after-tax transaction value</t>
        </is>
      </c>
      <c r="J76" s="27" t="inlineStr">
        <is>
          <t>classification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TAX-096S036</t>
        </is>
      </c>
      <c r="B77" s="27" t="inlineStr">
        <is>
          <t>Stock-versus-asset transaction tax structure</t>
        </is>
      </c>
      <c r="C77" s="27" t="inlineStr">
        <is>
          <t>Transaction tax protection register</t>
        </is>
      </c>
      <c r="D77" s="27" t="inlineStr">
        <is>
          <t>Portfolio policy</t>
        </is>
      </c>
      <c r="E77" s="27" t="inlineStr">
        <is>
          <t>Management review</t>
        </is>
      </c>
      <c r="F77" s="27" t="inlineStr">
        <is>
          <t>Approved case</t>
        </is>
      </c>
      <c r="G77" s="27" t="inlineStr">
        <is>
          <t>Eligible statuses</t>
        </is>
      </c>
      <c r="H77" s="46" t="inlineStr"/>
      <c r="I77" s="27" t="inlineStr">
        <is>
          <t>Approved; Conditional</t>
        </is>
      </c>
      <c r="J77" s="27" t="inlineStr">
        <is>
          <t>classification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TAX-096S047</t>
        </is>
      </c>
      <c r="B78" s="27" t="inlineStr">
        <is>
          <t>Stock-versus-asset transaction tax structure</t>
        </is>
      </c>
      <c r="C78" s="27" t="inlineStr">
        <is>
          <t>Transaction tax protection register scenario controls</t>
        </is>
      </c>
      <c r="D78" s="27" t="inlineStr">
        <is>
          <t>Steering base</t>
        </is>
      </c>
      <c r="E78" s="27" t="inlineStr">
        <is>
          <t>Management review</t>
        </is>
      </c>
      <c r="F78" s="27" t="inlineStr">
        <is>
          <t>Approved case</t>
        </is>
      </c>
      <c r="G78" s="27" t="inlineStr">
        <is>
          <t>Gross effect factor</t>
        </is>
      </c>
      <c r="H78" s="46" t="n">
        <v>1</v>
      </c>
      <c r="I78" s="27" t="inlineStr"/>
      <c r="J78" s="27" t="inlineStr">
        <is>
          <t>decimal ratio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TAX-096S048</t>
        </is>
      </c>
      <c r="B79" s="27" t="inlineStr">
        <is>
          <t>Stock-versus-asset transaction tax structure</t>
        </is>
      </c>
      <c r="C79" s="27" t="inlineStr">
        <is>
          <t>Transaction tax protection register scenario controls</t>
        </is>
      </c>
      <c r="D79" s="27" t="inlineStr">
        <is>
          <t>Steering base</t>
        </is>
      </c>
      <c r="E79" s="27" t="inlineStr">
        <is>
          <t>Management review</t>
        </is>
      </c>
      <c r="F79" s="27" t="inlineStr">
        <is>
          <t>Approved case</t>
        </is>
      </c>
      <c r="G79" s="27" t="inlineStr">
        <is>
          <t>Probability factor</t>
        </is>
      </c>
      <c r="H79" s="46" t="n">
        <v>1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TAX-096S049</t>
        </is>
      </c>
      <c r="B80" s="27" t="inlineStr">
        <is>
          <t>Stock-versus-asset transaction tax structure</t>
        </is>
      </c>
      <c r="C80" s="27" t="inlineStr">
        <is>
          <t>Transaction tax protection register scenario controls</t>
        </is>
      </c>
      <c r="D80" s="27" t="inlineStr">
        <is>
          <t>Steering base</t>
        </is>
      </c>
      <c r="E80" s="27" t="inlineStr">
        <is>
          <t>Management review</t>
        </is>
      </c>
      <c r="F80" s="27" t="inlineStr">
        <is>
          <t>Approved case</t>
        </is>
      </c>
      <c r="G80" s="27" t="inlineStr">
        <is>
          <t>Cash cost factor</t>
        </is>
      </c>
      <c r="H80" s="46" t="n">
        <v>1</v>
      </c>
      <c r="I80" s="27" t="inlineStr"/>
      <c r="J80" s="27" t="inlineStr">
        <is>
          <t>decimal ratio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TAX-096S050</t>
        </is>
      </c>
      <c r="B81" s="27" t="inlineStr">
        <is>
          <t>Stock-versus-asset transaction tax structure</t>
        </is>
      </c>
      <c r="C81" s="27" t="inlineStr">
        <is>
          <t>Transaction tax protection register scenario controls</t>
        </is>
      </c>
      <c r="D81" s="27" t="inlineStr">
        <is>
          <t>Steering base</t>
        </is>
      </c>
      <c r="E81" s="27" t="inlineStr">
        <is>
          <t>Management review</t>
        </is>
      </c>
      <c r="F81" s="27" t="inlineStr">
        <is>
          <t>Approved case</t>
        </is>
      </c>
      <c r="G81" s="27" t="inlineStr">
        <is>
          <t>Capacity factor</t>
        </is>
      </c>
      <c r="H81" s="46" t="n">
        <v>1</v>
      </c>
      <c r="I81" s="27" t="inlineStr"/>
      <c r="J81" s="27" t="inlineStr">
        <is>
          <t>decimal ratio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TAX-096S051</t>
        </is>
      </c>
      <c r="B82" s="27" t="inlineStr">
        <is>
          <t>Stock-versus-asset transaction tax structure</t>
        </is>
      </c>
      <c r="C82" s="27" t="inlineStr">
        <is>
          <t>Transaction tax protection register scenario controls</t>
        </is>
      </c>
      <c r="D82" s="27" t="inlineStr">
        <is>
          <t>Steering base</t>
        </is>
      </c>
      <c r="E82" s="27" t="inlineStr">
        <is>
          <t>Management review</t>
        </is>
      </c>
      <c r="F82" s="27" t="inlineStr">
        <is>
          <t>Approved case</t>
        </is>
      </c>
      <c r="G82" s="27" t="inlineStr">
        <is>
          <t>Cash budget factor</t>
        </is>
      </c>
      <c r="H82" s="46" t="n">
        <v>1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TAX-096S052</t>
        </is>
      </c>
      <c r="B83" s="27" t="inlineStr">
        <is>
          <t>Stock-versus-asset transaction tax structure</t>
        </is>
      </c>
      <c r="C83" s="27" t="inlineStr">
        <is>
          <t>Transaction tax protection register scenario controls</t>
        </is>
      </c>
      <c r="D83" s="27" t="inlineStr">
        <is>
          <t>Steering base</t>
        </is>
      </c>
      <c r="E83" s="27" t="inlineStr">
        <is>
          <t>Management review</t>
        </is>
      </c>
      <c r="F83" s="27" t="inlineStr">
        <is>
          <t>Approved case</t>
        </is>
      </c>
      <c r="G83" s="27" t="inlineStr">
        <is>
          <t>Capacity limit factor</t>
        </is>
      </c>
      <c r="H83" s="46" t="n">
        <v>1</v>
      </c>
      <c r="I83" s="27" t="inlineStr"/>
      <c r="J83" s="27" t="inlineStr">
        <is>
          <t>decimal ratio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TAX-096S053</t>
        </is>
      </c>
      <c r="B84" s="27" t="inlineStr">
        <is>
          <t>Stock-versus-asset transaction tax structure</t>
        </is>
      </c>
      <c r="C84" s="27" t="inlineStr">
        <is>
          <t>Transaction tax protection register scenario controls</t>
        </is>
      </c>
      <c r="D84" s="27" t="inlineStr">
        <is>
          <t>Steering base</t>
        </is>
      </c>
      <c r="E84" s="27" t="inlineStr">
        <is>
          <t>Management review</t>
        </is>
      </c>
      <c r="F84" s="27" t="inlineStr">
        <is>
          <t>Approved case</t>
        </is>
      </c>
      <c r="G84" s="27" t="inlineStr">
        <is>
          <t>Maximum actions</t>
        </is>
      </c>
      <c r="H84" s="46" t="n">
        <v>3</v>
      </c>
      <c r="I84" s="27" t="inlineStr"/>
      <c r="J84" s="27" t="inlineStr">
        <is>
          <t>count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TAX-096S054</t>
        </is>
      </c>
      <c r="B85" s="27" t="inlineStr">
        <is>
          <t>Stock-versus-asset transaction tax structure</t>
        </is>
      </c>
      <c r="C85" s="27" t="inlineStr">
        <is>
          <t>Transaction tax protection register scenario controls</t>
        </is>
      </c>
      <c r="D85" s="27" t="inlineStr">
        <is>
          <t>Steering base</t>
        </is>
      </c>
      <c r="E85" s="27" t="inlineStr">
        <is>
          <t>Management review</t>
        </is>
      </c>
      <c r="F85" s="27" t="inlineStr">
        <is>
          <t>Approved case</t>
        </is>
      </c>
      <c r="G85" s="27" t="inlineStr">
        <is>
          <t>Conditional actions allowed</t>
        </is>
      </c>
      <c r="H85" s="46" t="inlineStr"/>
      <c r="I85" s="27" t="inlineStr">
        <is>
          <t>Yes</t>
        </is>
      </c>
      <c r="J85" s="27" t="inlineStr">
        <is>
          <t>classification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TAX-096S055</t>
        </is>
      </c>
      <c r="B86" s="27" t="inlineStr">
        <is>
          <t>Stock-versus-asset transaction tax structure</t>
        </is>
      </c>
      <c r="C86" s="27" t="inlineStr">
        <is>
          <t>Transaction tax protection register scenario controls</t>
        </is>
      </c>
      <c r="D86" s="27" t="inlineStr">
        <is>
          <t>Consideration and legal-form delay</t>
        </is>
      </c>
      <c r="E86" s="27" t="inlineStr">
        <is>
          <t>Management review</t>
        </is>
      </c>
      <c r="F86" s="27" t="inlineStr">
        <is>
          <t>Approved case</t>
        </is>
      </c>
      <c r="G86" s="27" t="inlineStr">
        <is>
          <t>Gross effect factor</t>
        </is>
      </c>
      <c r="H86" s="46" t="n">
        <v>0.82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TAX-096S056</t>
        </is>
      </c>
      <c r="B87" s="27" t="inlineStr">
        <is>
          <t>Stock-versus-asset transaction tax structure</t>
        </is>
      </c>
      <c r="C87" s="27" t="inlineStr">
        <is>
          <t>Transaction tax protection register scenario controls</t>
        </is>
      </c>
      <c r="D87" s="27" t="inlineStr">
        <is>
          <t>Consideration and legal-form delay</t>
        </is>
      </c>
      <c r="E87" s="27" t="inlineStr">
        <is>
          <t>Management review</t>
        </is>
      </c>
      <c r="F87" s="27" t="inlineStr">
        <is>
          <t>Approved case</t>
        </is>
      </c>
      <c r="G87" s="27" t="inlineStr">
        <is>
          <t>Probability factor</t>
        </is>
      </c>
      <c r="H87" s="46" t="n">
        <v>0.78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TAX-096S057</t>
        </is>
      </c>
      <c r="B88" s="27" t="inlineStr">
        <is>
          <t>Stock-versus-asset transaction tax structure</t>
        </is>
      </c>
      <c r="C88" s="27" t="inlineStr">
        <is>
          <t>Transaction tax protection register scenario controls</t>
        </is>
      </c>
      <c r="D88" s="27" t="inlineStr">
        <is>
          <t>Consideration and legal-form delay</t>
        </is>
      </c>
      <c r="E88" s="27" t="inlineStr">
        <is>
          <t>Management review</t>
        </is>
      </c>
      <c r="F88" s="27" t="inlineStr">
        <is>
          <t>Approved case</t>
        </is>
      </c>
      <c r="G88" s="27" t="inlineStr">
        <is>
          <t>Cash cost factor</t>
        </is>
      </c>
      <c r="H88" s="46" t="n">
        <v>1.1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TAX-096S058</t>
        </is>
      </c>
      <c r="B89" s="27" t="inlineStr">
        <is>
          <t>Stock-versus-asset transaction tax structure</t>
        </is>
      </c>
      <c r="C89" s="27" t="inlineStr">
        <is>
          <t>Transaction tax protection register scenario controls</t>
        </is>
      </c>
      <c r="D89" s="27" t="inlineStr">
        <is>
          <t>Consideration and legal-form delay</t>
        </is>
      </c>
      <c r="E89" s="27" t="inlineStr">
        <is>
          <t>Management review</t>
        </is>
      </c>
      <c r="F89" s="27" t="inlineStr">
        <is>
          <t>Approved case</t>
        </is>
      </c>
      <c r="G89" s="27" t="inlineStr">
        <is>
          <t>Capacity factor</t>
        </is>
      </c>
      <c r="H89" s="46" t="n">
        <v>1.08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TAX-096S059</t>
        </is>
      </c>
      <c r="B90" s="27" t="inlineStr">
        <is>
          <t>Stock-versus-asset transaction tax structure</t>
        </is>
      </c>
      <c r="C90" s="27" t="inlineStr">
        <is>
          <t>Transaction tax protection register scenario controls</t>
        </is>
      </c>
      <c r="D90" s="27" t="inlineStr">
        <is>
          <t>Consideration and legal-form delay</t>
        </is>
      </c>
      <c r="E90" s="27" t="inlineStr">
        <is>
          <t>Management review</t>
        </is>
      </c>
      <c r="F90" s="27" t="inlineStr">
        <is>
          <t>Approved case</t>
        </is>
      </c>
      <c r="G90" s="27" t="inlineStr">
        <is>
          <t>Cash budget factor</t>
        </is>
      </c>
      <c r="H90" s="46" t="n">
        <v>0.84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TAX-096S060</t>
        </is>
      </c>
      <c r="B91" s="27" t="inlineStr">
        <is>
          <t>Stock-versus-asset transaction tax structure</t>
        </is>
      </c>
      <c r="C91" s="27" t="inlineStr">
        <is>
          <t>Transaction tax protection register scenario controls</t>
        </is>
      </c>
      <c r="D91" s="27" t="inlineStr">
        <is>
          <t>Consideration and legal-form delay</t>
        </is>
      </c>
      <c r="E91" s="27" t="inlineStr">
        <is>
          <t>Management review</t>
        </is>
      </c>
      <c r="F91" s="27" t="inlineStr">
        <is>
          <t>Approved case</t>
        </is>
      </c>
      <c r="G91" s="27" t="inlineStr">
        <is>
          <t>Capacity limit factor</t>
        </is>
      </c>
      <c r="H91" s="46" t="n">
        <v>0.82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TAX-096S061</t>
        </is>
      </c>
      <c r="B92" s="27" t="inlineStr">
        <is>
          <t>Stock-versus-asset transaction tax structure</t>
        </is>
      </c>
      <c r="C92" s="27" t="inlineStr">
        <is>
          <t>Transaction tax protection register scenario controls</t>
        </is>
      </c>
      <c r="D92" s="27" t="inlineStr">
        <is>
          <t>Consideration and legal-form delay</t>
        </is>
      </c>
      <c r="E92" s="27" t="inlineStr">
        <is>
          <t>Management review</t>
        </is>
      </c>
      <c r="F92" s="27" t="inlineStr">
        <is>
          <t>Approved case</t>
        </is>
      </c>
      <c r="G92" s="27" t="inlineStr">
        <is>
          <t>Maximum actions</t>
        </is>
      </c>
      <c r="H92" s="46" t="n">
        <v>2</v>
      </c>
      <c r="I92" s="27" t="inlineStr"/>
      <c r="J92" s="27" t="inlineStr">
        <is>
          <t>count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TAX-096S062</t>
        </is>
      </c>
      <c r="B93" s="27" t="inlineStr">
        <is>
          <t>Stock-versus-asset transaction tax structure</t>
        </is>
      </c>
      <c r="C93" s="27" t="inlineStr">
        <is>
          <t>Transaction tax protection register scenario controls</t>
        </is>
      </c>
      <c r="D93" s="27" t="inlineStr">
        <is>
          <t>Consideration and legal-form delay</t>
        </is>
      </c>
      <c r="E93" s="27" t="inlineStr">
        <is>
          <t>Management review</t>
        </is>
      </c>
      <c r="F93" s="27" t="inlineStr">
        <is>
          <t>Approved case</t>
        </is>
      </c>
      <c r="G93" s="27" t="inlineStr">
        <is>
          <t>Conditional actions allowed</t>
        </is>
      </c>
      <c r="H93" s="46" t="inlineStr"/>
      <c r="I93" s="27" t="inlineStr">
        <is>
          <t>No</t>
        </is>
      </c>
      <c r="J93" s="27" t="inlineStr">
        <is>
          <t>classification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TAX-096S063</t>
        </is>
      </c>
      <c r="B94" s="27" t="inlineStr">
        <is>
          <t>Stock-versus-asset transaction tax structure</t>
        </is>
      </c>
      <c r="C94" s="27" t="inlineStr">
        <is>
          <t>Transaction tax protection register scenario controls</t>
        </is>
      </c>
      <c r="D94" s="27" t="inlineStr">
        <is>
          <t>Combined tax-close downside</t>
        </is>
      </c>
      <c r="E94" s="27" t="inlineStr">
        <is>
          <t>Management review</t>
        </is>
      </c>
      <c r="F94" s="27" t="inlineStr">
        <is>
          <t>Approved case</t>
        </is>
      </c>
      <c r="G94" s="27" t="inlineStr">
        <is>
          <t>Gross effect factor</t>
        </is>
      </c>
      <c r="H94" s="46" t="n">
        <v>0.66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TAX-096S064</t>
        </is>
      </c>
      <c r="B95" s="27" t="inlineStr">
        <is>
          <t>Stock-versus-asset transaction tax structure</t>
        </is>
      </c>
      <c r="C95" s="27" t="inlineStr">
        <is>
          <t>Transaction tax protection register scenario controls</t>
        </is>
      </c>
      <c r="D95" s="27" t="inlineStr">
        <is>
          <t>Combined tax-close downside</t>
        </is>
      </c>
      <c r="E95" s="27" t="inlineStr">
        <is>
          <t>Management review</t>
        </is>
      </c>
      <c r="F95" s="27" t="inlineStr">
        <is>
          <t>Approved case</t>
        </is>
      </c>
      <c r="G95" s="27" t="inlineStr">
        <is>
          <t>Probability factor</t>
        </is>
      </c>
      <c r="H95" s="46" t="n">
        <v>0.7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TAX-096S065</t>
        </is>
      </c>
      <c r="B96" s="27" t="inlineStr">
        <is>
          <t>Stock-versus-asset transaction tax structure</t>
        </is>
      </c>
      <c r="C96" s="27" t="inlineStr">
        <is>
          <t>Transaction tax protection register scenario controls</t>
        </is>
      </c>
      <c r="D96" s="27" t="inlineStr">
        <is>
          <t>Combined tax-close downside</t>
        </is>
      </c>
      <c r="E96" s="27" t="inlineStr">
        <is>
          <t>Management review</t>
        </is>
      </c>
      <c r="F96" s="27" t="inlineStr">
        <is>
          <t>Approved case</t>
        </is>
      </c>
      <c r="G96" s="27" t="inlineStr">
        <is>
          <t>Cash cost factor</t>
        </is>
      </c>
      <c r="H96" s="46" t="n">
        <v>1.18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TAX-096S066</t>
        </is>
      </c>
      <c r="B97" s="27" t="inlineStr">
        <is>
          <t>Stock-versus-asset transaction tax structure</t>
        </is>
      </c>
      <c r="C97" s="27" t="inlineStr">
        <is>
          <t>Transaction tax protection register scenario controls</t>
        </is>
      </c>
      <c r="D97" s="27" t="inlineStr">
        <is>
          <t>Combined tax-close downside</t>
        </is>
      </c>
      <c r="E97" s="27" t="inlineStr">
        <is>
          <t>Management review</t>
        </is>
      </c>
      <c r="F97" s="27" t="inlineStr">
        <is>
          <t>Approved case</t>
        </is>
      </c>
      <c r="G97" s="27" t="inlineStr">
        <is>
          <t>Capacity factor</t>
        </is>
      </c>
      <c r="H97" s="46" t="n">
        <v>1.16</v>
      </c>
      <c r="I97" s="27" t="inlineStr"/>
      <c r="J97" s="27" t="inlineStr">
        <is>
          <t>decimal ratio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TAX-096S067</t>
        </is>
      </c>
      <c r="B98" s="27" t="inlineStr">
        <is>
          <t>Stock-versus-asset transaction tax structure</t>
        </is>
      </c>
      <c r="C98" s="27" t="inlineStr">
        <is>
          <t>Transaction tax protection register scenario controls</t>
        </is>
      </c>
      <c r="D98" s="27" t="inlineStr">
        <is>
          <t>Combined tax-close downside</t>
        </is>
      </c>
      <c r="E98" s="27" t="inlineStr">
        <is>
          <t>Management review</t>
        </is>
      </c>
      <c r="F98" s="27" t="inlineStr">
        <is>
          <t>Approved case</t>
        </is>
      </c>
      <c r="G98" s="27" t="inlineStr">
        <is>
          <t>Cash budget factor</t>
        </is>
      </c>
      <c r="H98" s="46" t="n">
        <v>0.72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TAX-096S068</t>
        </is>
      </c>
      <c r="B99" s="27" t="inlineStr">
        <is>
          <t>Stock-versus-asset transaction tax structure</t>
        </is>
      </c>
      <c r="C99" s="27" t="inlineStr">
        <is>
          <t>Transaction tax protection register scenario controls</t>
        </is>
      </c>
      <c r="D99" s="27" t="inlineStr">
        <is>
          <t>Combined tax-close downside</t>
        </is>
      </c>
      <c r="E99" s="27" t="inlineStr">
        <is>
          <t>Management review</t>
        </is>
      </c>
      <c r="F99" s="27" t="inlineStr">
        <is>
          <t>Approved case</t>
        </is>
      </c>
      <c r="G99" s="27" t="inlineStr">
        <is>
          <t>Capacity limit factor</t>
        </is>
      </c>
      <c r="H99" s="46" t="n">
        <v>0.68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TAX-096S069</t>
        </is>
      </c>
      <c r="B100" s="27" t="inlineStr">
        <is>
          <t>Stock-versus-asset transaction tax structure</t>
        </is>
      </c>
      <c r="C100" s="27" t="inlineStr">
        <is>
          <t>Transaction tax protection register scenario controls</t>
        </is>
      </c>
      <c r="D100" s="27" t="inlineStr">
        <is>
          <t>Combined tax-close downside</t>
        </is>
      </c>
      <c r="E100" s="27" t="inlineStr">
        <is>
          <t>Management review</t>
        </is>
      </c>
      <c r="F100" s="27" t="inlineStr">
        <is>
          <t>Approved case</t>
        </is>
      </c>
      <c r="G100" s="27" t="inlineStr">
        <is>
          <t>Maximum actions</t>
        </is>
      </c>
      <c r="H100" s="46" t="n">
        <v>1</v>
      </c>
      <c r="I100" s="27" t="inlineStr"/>
      <c r="J100" s="27" t="inlineStr">
        <is>
          <t>count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TAX-096S070</t>
        </is>
      </c>
      <c r="B101" s="27" t="inlineStr">
        <is>
          <t>Stock-versus-asset transaction tax structure</t>
        </is>
      </c>
      <c r="C101" s="27" t="inlineStr">
        <is>
          <t>Transaction tax protection register scenario controls</t>
        </is>
      </c>
      <c r="D101" s="27" t="inlineStr">
        <is>
          <t>Combined tax-close downside</t>
        </is>
      </c>
      <c r="E101" s="27" t="inlineStr">
        <is>
          <t>Management review</t>
        </is>
      </c>
      <c r="F101" s="27" t="inlineStr">
        <is>
          <t>Approved case</t>
        </is>
      </c>
      <c r="G101" s="27" t="inlineStr">
        <is>
          <t>Conditional actions allowed</t>
        </is>
      </c>
      <c r="H101" s="46" t="inlineStr"/>
      <c r="I101" s="27" t="inlineStr">
        <is>
          <t>No</t>
        </is>
      </c>
      <c r="J101" s="27" t="inlineStr">
        <is>
          <t>classification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</sheetData>
  <autoFilter ref="A4:M101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Non-GAAP and Revenue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TAX-00142</t>
        </is>
      </c>
      <c r="B5" s="27" t="inlineStr">
        <is>
          <t>Adjusted EBITDA and non-GAAP reconciliation</t>
        </is>
      </c>
      <c r="C5" s="27" t="inlineStr">
        <is>
          <t>GAAP bridge</t>
        </is>
      </c>
      <c r="D5" s="27" t="inlineStr">
        <is>
          <t>Alder Ridge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Depreciation and amortization</t>
        </is>
      </c>
      <c r="H5" s="46" t="n">
        <v>420000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TAX-00143</t>
        </is>
      </c>
      <c r="B6" s="27" t="inlineStr">
        <is>
          <t>Adjusted EBITDA and non-GAAP reconciliation</t>
        </is>
      </c>
      <c r="C6" s="27" t="inlineStr">
        <is>
          <t>GAAP bridge</t>
        </is>
      </c>
      <c r="D6" s="27" t="inlineStr">
        <is>
          <t>Alder Ridge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Interest expense</t>
        </is>
      </c>
      <c r="H6" s="46" t="n">
        <v>310</v>
      </c>
      <c r="I6" s="27" t="inlineStr"/>
      <c r="J6" s="27" t="inlineStr">
        <is>
          <t>USD thousands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TAX-00144</t>
        </is>
      </c>
      <c r="B7" s="27" t="inlineStr">
        <is>
          <t>Adjusted EBITDA and non-GAAP reconciliation</t>
        </is>
      </c>
      <c r="C7" s="27" t="inlineStr">
        <is>
          <t>GAAP bridge</t>
        </is>
      </c>
      <c r="D7" s="27" t="inlineStr">
        <is>
          <t>Alder Ridge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Income tax expense</t>
        </is>
      </c>
      <c r="H7" s="46" t="n">
        <v>578783.85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TAX-00145</t>
        </is>
      </c>
      <c r="B8" s="27" t="inlineStr">
        <is>
          <t>Adjusted EBITDA and non-GAAP reconciliation</t>
        </is>
      </c>
      <c r="C8" s="27" t="inlineStr">
        <is>
          <t>Non-GAAP adjustment register</t>
        </is>
      </c>
      <c r="D8" s="27" t="inlineStr">
        <is>
          <t>Acquisition diligence costs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Proposed adjustment</t>
        </is>
      </c>
      <c r="H8" s="46" t="n">
        <v>260000</v>
      </c>
      <c r="I8" s="27" t="inlineStr"/>
      <c r="J8" s="27" t="inlineStr">
        <is>
          <t>USD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TAX-00146</t>
        </is>
      </c>
      <c r="B9" s="27" t="inlineStr">
        <is>
          <t>Adjusted EBITDA and non-GAAP reconciliation</t>
        </is>
      </c>
      <c r="C9" s="27" t="inlineStr">
        <is>
          <t>Non-GAAP adjustment register</t>
        </is>
      </c>
      <c r="D9" s="27" t="inlineStr">
        <is>
          <t>Acquisition diligence costs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Policy conclusion</t>
        </is>
      </c>
      <c r="H9" s="46" t="inlineStr"/>
      <c r="I9" s="27" t="inlineStr">
        <is>
          <t>Accepted</t>
        </is>
      </c>
      <c r="J9" s="27" t="inlineStr">
        <is>
          <t>classification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TAX-00147</t>
        </is>
      </c>
      <c r="B10" s="27" t="inlineStr">
        <is>
          <t>Adjusted EBITDA and non-GAAP reconciliation</t>
        </is>
      </c>
      <c r="C10" s="27" t="inlineStr">
        <is>
          <t>Non-GAAP adjustment register</t>
        </is>
      </c>
      <c r="D10" s="27" t="inlineStr">
        <is>
          <t>Executed restructuring severance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Proposed adjustment</t>
        </is>
      </c>
      <c r="H10" s="46" t="n">
        <v>340</v>
      </c>
      <c r="I10" s="27" t="inlineStr"/>
      <c r="J10" s="27" t="inlineStr">
        <is>
          <t>USD thousands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TAX-00148</t>
        </is>
      </c>
      <c r="B11" s="27" t="inlineStr">
        <is>
          <t>Adjusted EBITDA and non-GAAP reconciliation</t>
        </is>
      </c>
      <c r="C11" s="27" t="inlineStr">
        <is>
          <t>Non-GAAP adjustment register</t>
        </is>
      </c>
      <c r="D11" s="27" t="inlineStr">
        <is>
          <t>Executed restructuring severance</t>
        </is>
      </c>
      <c r="E11" s="27" t="inlineStr">
        <is>
          <t>LTM 2026-06-30</t>
        </is>
      </c>
      <c r="F11" s="27" t="inlineStr">
        <is>
          <t>Approved case</t>
        </is>
      </c>
      <c r="G11" s="27" t="inlineStr">
        <is>
          <t>Policy conclusion</t>
        </is>
      </c>
      <c r="H11" s="46" t="inlineStr"/>
      <c r="I11" s="27" t="inlineStr">
        <is>
          <t>Accepted</t>
        </is>
      </c>
      <c r="J11" s="27" t="inlineStr">
        <is>
          <t>classification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TAX-00149</t>
        </is>
      </c>
      <c r="B12" s="27" t="inlineStr">
        <is>
          <t>Adjusted EBITDA and non-GAAP reconciliation</t>
        </is>
      </c>
      <c r="C12" s="27" t="inlineStr">
        <is>
          <t>Non-GAAP adjustment register</t>
        </is>
      </c>
      <c r="D12" s="27" t="inlineStr">
        <is>
          <t>Flood loss net of insurance recovery</t>
        </is>
      </c>
      <c r="E12" s="27" t="inlineStr">
        <is>
          <t>LTM 2026-06-30</t>
        </is>
      </c>
      <c r="F12" s="27" t="inlineStr">
        <is>
          <t>Approved case</t>
        </is>
      </c>
      <c r="G12" s="27" t="inlineStr">
        <is>
          <t>Proposed adjustment</t>
        </is>
      </c>
      <c r="H12" s="46" t="n">
        <v>190000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TAX-00150</t>
        </is>
      </c>
      <c r="B13" s="27" t="inlineStr">
        <is>
          <t>Adjusted EBITDA and non-GAAP reconciliation</t>
        </is>
      </c>
      <c r="C13" s="27" t="inlineStr">
        <is>
          <t>Non-GAAP adjustment register</t>
        </is>
      </c>
      <c r="D13" s="27" t="inlineStr">
        <is>
          <t>Flood loss net of insurance recovery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Policy conclusion</t>
        </is>
      </c>
      <c r="H13" s="46" t="inlineStr"/>
      <c r="I13" s="27" t="inlineStr">
        <is>
          <t>Accepted</t>
        </is>
      </c>
      <c r="J13" s="27" t="inlineStr">
        <is>
          <t>classification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TAX-00151</t>
        </is>
      </c>
      <c r="B14" s="27" t="inlineStr">
        <is>
          <t>Adjusted EBITDA and non-GAAP reconciliation</t>
        </is>
      </c>
      <c r="C14" s="27" t="inlineStr">
        <is>
          <t>Non-GAAP adjustment register</t>
        </is>
      </c>
      <c r="D14" s="27" t="inlineStr">
        <is>
          <t>ERP implementation cost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Proposed adjustment</t>
        </is>
      </c>
      <c r="H14" s="46" t="n">
        <v>410</v>
      </c>
      <c r="I14" s="27" t="inlineStr"/>
      <c r="J14" s="27" t="inlineStr">
        <is>
          <t>USD thousands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TAX-00152</t>
        </is>
      </c>
      <c r="B15" s="27" t="inlineStr">
        <is>
          <t>Adjusted EBITDA and non-GAAP reconciliation</t>
        </is>
      </c>
      <c r="C15" s="27" t="inlineStr">
        <is>
          <t>Non-GAAP adjustment register</t>
        </is>
      </c>
      <c r="D15" s="27" t="inlineStr">
        <is>
          <t>ERP implementation cost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Policy conclusion</t>
        </is>
      </c>
      <c r="H15" s="46" t="inlineStr"/>
      <c r="I15" s="27" t="inlineStr">
        <is>
          <t>Rejected</t>
        </is>
      </c>
      <c r="J15" s="27" t="inlineStr">
        <is>
          <t>classification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TAX-00153</t>
        </is>
      </c>
      <c r="B16" s="27" t="inlineStr">
        <is>
          <t>Adjusted EBITDA and non-GAAP reconciliation</t>
        </is>
      </c>
      <c r="C16" s="27" t="inlineStr">
        <is>
          <t>Non-GAAP adjustment register</t>
        </is>
      </c>
      <c r="D16" s="27" t="inlineStr">
        <is>
          <t>Normal recruiting expense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Proposed adjustment</t>
        </is>
      </c>
      <c r="H16" s="46" t="n">
        <v>175000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TAX-00154</t>
        </is>
      </c>
      <c r="B17" s="27" t="inlineStr">
        <is>
          <t>Adjusted EBITDA and non-GAAP reconciliation</t>
        </is>
      </c>
      <c r="C17" s="27" t="inlineStr">
        <is>
          <t>Non-GAAP adjustment register</t>
        </is>
      </c>
      <c r="D17" s="27" t="inlineStr">
        <is>
          <t>Normal recruiting expense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Policy conclusion</t>
        </is>
      </c>
      <c r="H17" s="46" t="inlineStr"/>
      <c r="I17" s="27" t="inlineStr">
        <is>
          <t>Rejected</t>
        </is>
      </c>
      <c r="J17" s="27" t="inlineStr">
        <is>
          <t>classification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TAX-00210</t>
        </is>
      </c>
      <c r="B18" s="27" t="inlineStr">
        <is>
          <t>Service deferred-revenue recognition forecast</t>
        </is>
      </c>
      <c r="C18" s="27" t="inlineStr">
        <is>
          <t>Deferred revenue tie</t>
        </is>
      </c>
      <c r="D18" s="27" t="inlineStr">
        <is>
          <t>Active service agreements</t>
        </is>
      </c>
      <c r="E18" s="27" t="inlineStr">
        <is>
          <t>2026-06-30</t>
        </is>
      </c>
      <c r="F18" s="27" t="inlineStr">
        <is>
          <t>Approved case</t>
        </is>
      </c>
      <c r="G18" s="27" t="inlineStr">
        <is>
          <t>Opening ARR</t>
        </is>
      </c>
      <c r="H18" s="46" t="n">
        <v>1</v>
      </c>
      <c r="I18" s="27" t="inlineStr"/>
      <c r="J18" s="27" t="inlineStr">
        <is>
          <t>ledger allocation factor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>
        <is>
          <t>Vista ERP service agreements active at 2026-06-30; annual value</t>
        </is>
      </c>
    </row>
    <row r="19">
      <c r="A19" s="36" t="inlineStr">
        <is>
          <t>TAX-00281</t>
        </is>
      </c>
      <c r="B19" s="27" t="inlineStr">
        <is>
          <t>Contract modification, SSP, and revenue bridge</t>
        </is>
      </c>
      <c r="C19" s="27" t="inlineStr">
        <is>
          <t>Contract performance obligations</t>
        </is>
      </c>
      <c r="D19" s="27" t="inlineStr">
        <is>
          <t>Equipment</t>
        </is>
      </c>
      <c r="E19" s="27" t="inlineStr">
        <is>
          <t>Modification date</t>
        </is>
      </c>
      <c r="F19" s="27" t="inlineStr">
        <is>
          <t>Approved case</t>
        </is>
      </c>
      <c r="G19" s="27" t="inlineStr">
        <is>
          <t>Original SSP</t>
        </is>
      </c>
      <c r="H19" s="46" t="n">
        <v>2400000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TAX-00282</t>
        </is>
      </c>
      <c r="B20" s="27" t="inlineStr">
        <is>
          <t>Contract modification, SSP, and revenue bridge</t>
        </is>
      </c>
      <c r="C20" s="27" t="inlineStr">
        <is>
          <t>Contract performance obligations</t>
        </is>
      </c>
      <c r="D20" s="27" t="inlineStr">
        <is>
          <t>Equipment</t>
        </is>
      </c>
      <c r="E20" s="27" t="inlineStr">
        <is>
          <t>Modification date</t>
        </is>
      </c>
      <c r="F20" s="27" t="inlineStr">
        <is>
          <t>Approved case</t>
        </is>
      </c>
      <c r="G20" s="27" t="inlineStr">
        <is>
          <t>Modification-date SSP</t>
        </is>
      </c>
      <c r="H20" s="46" t="n">
        <v>2550000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TAX-00283</t>
        </is>
      </c>
      <c r="B21" s="27" t="inlineStr">
        <is>
          <t>Contract modification, SSP, and revenue bridge</t>
        </is>
      </c>
      <c r="C21" s="27" t="inlineStr">
        <is>
          <t>Contract performance obligations</t>
        </is>
      </c>
      <c r="D21" s="27" t="inlineStr">
        <is>
          <t>Equipment</t>
        </is>
      </c>
      <c r="E21" s="27" t="inlineStr">
        <is>
          <t>Modification date</t>
        </is>
      </c>
      <c r="F21" s="27" t="inlineStr">
        <is>
          <t>Approved case</t>
        </is>
      </c>
      <c r="G21" s="27" t="inlineStr">
        <is>
          <t>Recognition pattern</t>
        </is>
      </c>
      <c r="H21" s="46" t="inlineStr"/>
      <c r="I21" s="27" t="inlineStr">
        <is>
          <t>Point in time</t>
        </is>
      </c>
      <c r="J21" s="27" t="inlineStr">
        <is>
          <t>classification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TAX-00284</t>
        </is>
      </c>
      <c r="B22" s="27" t="inlineStr">
        <is>
          <t>Contract modification, SSP, and revenue bridge</t>
        </is>
      </c>
      <c r="C22" s="27" t="inlineStr">
        <is>
          <t>Contract performance obligations</t>
        </is>
      </c>
      <c r="D22" s="27" t="inlineStr">
        <is>
          <t>Installation</t>
        </is>
      </c>
      <c r="E22" s="27" t="inlineStr">
        <is>
          <t>Modification date</t>
        </is>
      </c>
      <c r="F22" s="27" t="inlineStr">
        <is>
          <t>Approved case</t>
        </is>
      </c>
      <c r="G22" s="27" t="inlineStr">
        <is>
          <t>Original SSP</t>
        </is>
      </c>
      <c r="H22" s="46" t="n">
        <v>1050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TAX-00285</t>
        </is>
      </c>
      <c r="B23" s="27" t="inlineStr">
        <is>
          <t>Contract modification, SSP, and revenue bridge</t>
        </is>
      </c>
      <c r="C23" s="27" t="inlineStr">
        <is>
          <t>Contract performance obligations</t>
        </is>
      </c>
      <c r="D23" s="27" t="inlineStr">
        <is>
          <t>Installation</t>
        </is>
      </c>
      <c r="E23" s="27" t="inlineStr">
        <is>
          <t>Modification date</t>
        </is>
      </c>
      <c r="F23" s="27" t="inlineStr">
        <is>
          <t>Approved case</t>
        </is>
      </c>
      <c r="G23" s="27" t="inlineStr">
        <is>
          <t>Modification-date SSP</t>
        </is>
      </c>
      <c r="H23" s="46" t="n">
        <v>1180000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TAX-00286</t>
        </is>
      </c>
      <c r="B24" s="27" t="inlineStr">
        <is>
          <t>Contract modification, SSP, and revenue bridge</t>
        </is>
      </c>
      <c r="C24" s="27" t="inlineStr">
        <is>
          <t>Contract performance obligations</t>
        </is>
      </c>
      <c r="D24" s="27" t="inlineStr">
        <is>
          <t>Installation</t>
        </is>
      </c>
      <c r="E24" s="27" t="inlineStr">
        <is>
          <t>Modification date</t>
        </is>
      </c>
      <c r="F24" s="27" t="inlineStr">
        <is>
          <t>Approved case</t>
        </is>
      </c>
      <c r="G24" s="27" t="inlineStr">
        <is>
          <t>Recognition pattern</t>
        </is>
      </c>
      <c r="H24" s="46" t="inlineStr"/>
      <c r="I24" s="27" t="inlineStr">
        <is>
          <t>Over time</t>
        </is>
      </c>
      <c r="J24" s="27" t="inlineStr">
        <is>
          <t>classification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TAX-00287</t>
        </is>
      </c>
      <c r="B25" s="27" t="inlineStr">
        <is>
          <t>Contract modification, SSP, and revenue bridge</t>
        </is>
      </c>
      <c r="C25" s="27" t="inlineStr">
        <is>
          <t>Contract performance obligations</t>
        </is>
      </c>
      <c r="D25" s="27" t="inlineStr">
        <is>
          <t>Three-year monitoring</t>
        </is>
      </c>
      <c r="E25" s="27" t="inlineStr">
        <is>
          <t>Modification date</t>
        </is>
      </c>
      <c r="F25" s="27" t="inlineStr">
        <is>
          <t>Approved case</t>
        </is>
      </c>
      <c r="G25" s="27" t="inlineStr">
        <is>
          <t>Original SSP</t>
        </is>
      </c>
      <c r="H25" s="46" t="n">
        <v>720000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TAX-00288</t>
        </is>
      </c>
      <c r="B26" s="27" t="inlineStr">
        <is>
          <t>Contract modification, SSP, and revenue bridge</t>
        </is>
      </c>
      <c r="C26" s="27" t="inlineStr">
        <is>
          <t>Contract performance obligations</t>
        </is>
      </c>
      <c r="D26" s="27" t="inlineStr">
        <is>
          <t>Three-year monitoring</t>
        </is>
      </c>
      <c r="E26" s="27" t="inlineStr">
        <is>
          <t>Modification date</t>
        </is>
      </c>
      <c r="F26" s="27" t="inlineStr">
        <is>
          <t>Approved case</t>
        </is>
      </c>
      <c r="G26" s="27" t="inlineStr">
        <is>
          <t>Modification-date SSP</t>
        </is>
      </c>
      <c r="H26" s="46" t="n">
        <v>840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TAX-00289</t>
        </is>
      </c>
      <c r="B27" s="27" t="inlineStr">
        <is>
          <t>Contract modification, SSP, and revenue bridge</t>
        </is>
      </c>
      <c r="C27" s="27" t="inlineStr">
        <is>
          <t>Contract performance obligations</t>
        </is>
      </c>
      <c r="D27" s="27" t="inlineStr">
        <is>
          <t>Three-year monitoring</t>
        </is>
      </c>
      <c r="E27" s="27" t="inlineStr">
        <is>
          <t>Modification date</t>
        </is>
      </c>
      <c r="F27" s="27" t="inlineStr">
        <is>
          <t>Approved case</t>
        </is>
      </c>
      <c r="G27" s="27" t="inlineStr">
        <is>
          <t>Recognition pattern</t>
        </is>
      </c>
      <c r="H27" s="46" t="inlineStr"/>
      <c r="I27" s="27" t="inlineStr">
        <is>
          <t>Over time</t>
        </is>
      </c>
      <c r="J27" s="27" t="inlineStr">
        <is>
          <t>classification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TAX-00290</t>
        </is>
      </c>
      <c r="B28" s="27" t="inlineStr">
        <is>
          <t>Contract modification, SSP, and revenue bridge</t>
        </is>
      </c>
      <c r="C28" s="27" t="inlineStr">
        <is>
          <t>Contract performance obligations</t>
        </is>
      </c>
      <c r="D28" s="27" t="inlineStr">
        <is>
          <t>Training</t>
        </is>
      </c>
      <c r="E28" s="27" t="inlineStr">
        <is>
          <t>Modification date</t>
        </is>
      </c>
      <c r="F28" s="27" t="inlineStr">
        <is>
          <t>Approved case</t>
        </is>
      </c>
      <c r="G28" s="27" t="inlineStr">
        <is>
          <t>Original SSP</t>
        </is>
      </c>
      <c r="H28" s="46" t="n">
        <v>180000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TAX-00291</t>
        </is>
      </c>
      <c r="B29" s="27" t="inlineStr">
        <is>
          <t>Contract modification, SSP, and revenue bridge</t>
        </is>
      </c>
      <c r="C29" s="27" t="inlineStr">
        <is>
          <t>Contract performance obligations</t>
        </is>
      </c>
      <c r="D29" s="27" t="inlineStr">
        <is>
          <t>Training</t>
        </is>
      </c>
      <c r="E29" s="27" t="inlineStr">
        <is>
          <t>Modification date</t>
        </is>
      </c>
      <c r="F29" s="27" t="inlineStr">
        <is>
          <t>Approved case</t>
        </is>
      </c>
      <c r="G29" s="27" t="inlineStr">
        <is>
          <t>Modification-date SSP</t>
        </is>
      </c>
      <c r="H29" s="46" t="n">
        <v>210000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TAX-00292</t>
        </is>
      </c>
      <c r="B30" s="27" t="inlineStr">
        <is>
          <t>Contract modification, SSP, and revenue bridge</t>
        </is>
      </c>
      <c r="C30" s="27" t="inlineStr">
        <is>
          <t>Contract performance obligations</t>
        </is>
      </c>
      <c r="D30" s="27" t="inlineStr">
        <is>
          <t>Training</t>
        </is>
      </c>
      <c r="E30" s="27" t="inlineStr">
        <is>
          <t>Modification date</t>
        </is>
      </c>
      <c r="F30" s="27" t="inlineStr">
        <is>
          <t>Approved case</t>
        </is>
      </c>
      <c r="G30" s="27" t="inlineStr">
        <is>
          <t>Recognition pattern</t>
        </is>
      </c>
      <c r="H30" s="46" t="inlineStr"/>
      <c r="I30" s="27" t="inlineStr">
        <is>
          <t>Point in time</t>
        </is>
      </c>
      <c r="J30" s="27" t="inlineStr">
        <is>
          <t>classification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TAX-00293</t>
        </is>
      </c>
      <c r="B31" s="27" t="inlineStr">
        <is>
          <t>Contract modification, SSP, and revenue bridge</t>
        </is>
      </c>
      <c r="C31" s="27" t="inlineStr">
        <is>
          <t>Contract modification facts</t>
        </is>
      </c>
      <c r="D31" s="27" t="inlineStr">
        <is>
          <t>Helix Data Center</t>
        </is>
      </c>
      <c r="E31" s="27" t="inlineStr">
        <is>
          <t>2026-06-30</t>
        </is>
      </c>
      <c r="F31" s="27" t="inlineStr">
        <is>
          <t>Approved case</t>
        </is>
      </c>
      <c r="G31" s="27" t="inlineStr">
        <is>
          <t>Original contract price</t>
        </is>
      </c>
      <c r="H31" s="46" t="n">
        <v>3900000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TAX-00294</t>
        </is>
      </c>
      <c r="B32" s="27" t="inlineStr">
        <is>
          <t>Contract modification, SSP, and revenue bridge</t>
        </is>
      </c>
      <c r="C32" s="27" t="inlineStr">
        <is>
          <t>Contract modification facts</t>
        </is>
      </c>
      <c r="D32" s="27" t="inlineStr">
        <is>
          <t>Helix Data Center</t>
        </is>
      </c>
      <c r="E32" s="27" t="inlineStr">
        <is>
          <t>2026-06-30</t>
        </is>
      </c>
      <c r="F32" s="27" t="inlineStr">
        <is>
          <t>Approved case</t>
        </is>
      </c>
      <c r="G32" s="27" t="inlineStr">
        <is>
          <t>Modification consideration</t>
        </is>
      </c>
      <c r="H32" s="46" t="n">
        <v>760000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TAX-00295</t>
        </is>
      </c>
      <c r="B33" s="27" t="inlineStr">
        <is>
          <t>Contract modification, SSP, and revenue bridge</t>
        </is>
      </c>
      <c r="C33" s="27" t="inlineStr">
        <is>
          <t>Contract modification facts</t>
        </is>
      </c>
      <c r="D33" s="27" t="inlineStr">
        <is>
          <t>Helix Data Center</t>
        </is>
      </c>
      <c r="E33" s="27" t="inlineStr">
        <is>
          <t>2026-06-30</t>
        </is>
      </c>
      <c r="F33" s="27" t="inlineStr">
        <is>
          <t>Approved case</t>
        </is>
      </c>
      <c r="G33" s="27" t="inlineStr">
        <is>
          <t>Equipment delivered percent</t>
        </is>
      </c>
      <c r="H33" s="46" t="n">
        <v>1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TAX-00296</t>
        </is>
      </c>
      <c r="B34" s="27" t="inlineStr">
        <is>
          <t>Contract modification, SSP, and revenue bridge</t>
        </is>
      </c>
      <c r="C34" s="27" t="inlineStr">
        <is>
          <t>Contract modification facts</t>
        </is>
      </c>
      <c r="D34" s="27" t="inlineStr">
        <is>
          <t>Helix Data Center</t>
        </is>
      </c>
      <c r="E34" s="27" t="inlineStr">
        <is>
          <t>2026-06-30</t>
        </is>
      </c>
      <c r="F34" s="27" t="inlineStr">
        <is>
          <t>Approved case</t>
        </is>
      </c>
      <c r="G34" s="27" t="inlineStr">
        <is>
          <t>Installation complete percent</t>
        </is>
      </c>
      <c r="H34" s="46" t="n">
        <v>0.55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TAX-00297</t>
        </is>
      </c>
      <c r="B35" s="27" t="inlineStr">
        <is>
          <t>Contract modification, SSP, and revenue bridge</t>
        </is>
      </c>
      <c r="C35" s="27" t="inlineStr">
        <is>
          <t>Contract modification facts</t>
        </is>
      </c>
      <c r="D35" s="27" t="inlineStr">
        <is>
          <t>Helix Data Center</t>
        </is>
      </c>
      <c r="E35" s="27" t="inlineStr">
        <is>
          <t>2026-06-30</t>
        </is>
      </c>
      <c r="F35" s="27" t="inlineStr">
        <is>
          <t>Approved case</t>
        </is>
      </c>
      <c r="G35" s="27" t="inlineStr">
        <is>
          <t>Monitoring months delivered before modification</t>
        </is>
      </c>
      <c r="H35" s="46" t="n">
        <v>8</v>
      </c>
      <c r="I35" s="27" t="inlineStr"/>
      <c r="J35" s="27" t="inlineStr">
        <is>
          <t>months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TAX-00298</t>
        </is>
      </c>
      <c r="B36" s="27" t="inlineStr">
        <is>
          <t>Contract modification, SSP, and revenue bridge</t>
        </is>
      </c>
      <c r="C36" s="27" t="inlineStr">
        <is>
          <t>Contract modification facts</t>
        </is>
      </c>
      <c r="D36" s="27" t="inlineStr">
        <is>
          <t>Helix Data Center</t>
        </is>
      </c>
      <c r="E36" s="27" t="inlineStr">
        <is>
          <t>2026-06-30</t>
        </is>
      </c>
      <c r="F36" s="27" t="inlineStr">
        <is>
          <t>Approved case</t>
        </is>
      </c>
      <c r="G36" s="27" t="inlineStr">
        <is>
          <t>Original monitoring months</t>
        </is>
      </c>
      <c r="H36" s="46" t="n">
        <v>36</v>
      </c>
      <c r="I36" s="27" t="inlineStr"/>
      <c r="J36" s="27" t="inlineStr">
        <is>
          <t>months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TAX-00299</t>
        </is>
      </c>
      <c r="B37" s="27" t="inlineStr">
        <is>
          <t>Contract modification, SSP, and revenue bridge</t>
        </is>
      </c>
      <c r="C37" s="27" t="inlineStr">
        <is>
          <t>Contract modification facts</t>
        </is>
      </c>
      <c r="D37" s="27" t="inlineStr">
        <is>
          <t>Helix Data Center</t>
        </is>
      </c>
      <c r="E37" s="27" t="inlineStr">
        <is>
          <t>2026-06-30</t>
        </is>
      </c>
      <c r="F37" s="27" t="inlineStr">
        <is>
          <t>Approved case</t>
        </is>
      </c>
      <c r="G37" s="27" t="inlineStr">
        <is>
          <t>Training delivered</t>
        </is>
      </c>
      <c r="H37" s="46" t="n">
        <v>0</v>
      </c>
      <c r="I37" s="27" t="inlineStr"/>
      <c r="J37" s="27" t="inlineStr">
        <is>
          <t>boolean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TAX-00300</t>
        </is>
      </c>
      <c r="B38" s="27" t="inlineStr">
        <is>
          <t>Contract modification, SSP, and revenue bridge</t>
        </is>
      </c>
      <c r="C38" s="27" t="inlineStr">
        <is>
          <t>Contract modification facts</t>
        </is>
      </c>
      <c r="D38" s="27" t="inlineStr">
        <is>
          <t>Helix Data Center</t>
        </is>
      </c>
      <c r="E38" s="27" t="inlineStr">
        <is>
          <t>2026-06-30</t>
        </is>
      </c>
      <c r="F38" s="27" t="inlineStr">
        <is>
          <t>Approved case</t>
        </is>
      </c>
      <c r="G38" s="27" t="inlineStr">
        <is>
          <t>Modification adds distinct training</t>
        </is>
      </c>
      <c r="H38" s="46" t="n">
        <v>1</v>
      </c>
      <c r="I38" s="27" t="inlineStr"/>
      <c r="J38" s="27" t="inlineStr">
        <is>
          <t>boolean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TAX-00301</t>
        </is>
      </c>
      <c r="B39" s="27" t="inlineStr">
        <is>
          <t>Contract modification, SSP, and revenue bridge</t>
        </is>
      </c>
      <c r="C39" s="27" t="inlineStr">
        <is>
          <t>Contract modification facts</t>
        </is>
      </c>
      <c r="D39" s="27" t="inlineStr">
        <is>
          <t>Helix Data Center</t>
        </is>
      </c>
      <c r="E39" s="27" t="inlineStr">
        <is>
          <t>2026-06-30</t>
        </is>
      </c>
      <c r="F39" s="27" t="inlineStr">
        <is>
          <t>Approved case</t>
        </is>
      </c>
      <c r="G39" s="27" t="inlineStr">
        <is>
          <t>Modification adds monitoring months</t>
        </is>
      </c>
      <c r="H39" s="46" t="n">
        <v>12</v>
      </c>
      <c r="I39" s="27" t="inlineStr"/>
      <c r="J39" s="27" t="inlineStr">
        <is>
          <t>months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TAX-00302</t>
        </is>
      </c>
      <c r="B40" s="27" t="inlineStr">
        <is>
          <t>Contract modification, SSP, and revenue bridge</t>
        </is>
      </c>
      <c r="C40" s="27" t="inlineStr">
        <is>
          <t>Contract modification facts</t>
        </is>
      </c>
      <c r="D40" s="27" t="inlineStr">
        <is>
          <t>Helix Data Center</t>
        </is>
      </c>
      <c r="E40" s="27" t="inlineStr">
        <is>
          <t>2026-06-30</t>
        </is>
      </c>
      <c r="F40" s="27" t="inlineStr">
        <is>
          <t>Approved case</t>
        </is>
      </c>
      <c r="G40" s="27" t="inlineStr">
        <is>
          <t>Modification priced at standalone selling price</t>
        </is>
      </c>
      <c r="H40" s="46" t="n">
        <v>0</v>
      </c>
      <c r="I40" s="27" t="inlineStr"/>
      <c r="J40" s="27" t="inlineStr">
        <is>
          <t>boolean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TAX-00303</t>
        </is>
      </c>
      <c r="B41" s="27" t="inlineStr">
        <is>
          <t>Contract modification, SSP, and revenue bridge</t>
        </is>
      </c>
      <c r="C41" s="27" t="inlineStr">
        <is>
          <t>Contract modification facts</t>
        </is>
      </c>
      <c r="D41" s="27" t="inlineStr">
        <is>
          <t>Helix Data Center</t>
        </is>
      </c>
      <c r="E41" s="27" t="inlineStr">
        <is>
          <t>2026-06-30</t>
        </is>
      </c>
      <c r="F41" s="27" t="inlineStr">
        <is>
          <t>Approved case</t>
        </is>
      </c>
      <c r="G41" s="27" t="inlineStr">
        <is>
          <t>Remaining goods distinct from delivered goods</t>
        </is>
      </c>
      <c r="H41" s="46" t="n">
        <v>1</v>
      </c>
      <c r="I41" s="27" t="inlineStr"/>
      <c r="J41" s="27" t="inlineStr">
        <is>
          <t>boolean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TAX-00304</t>
        </is>
      </c>
      <c r="B42" s="27" t="inlineStr">
        <is>
          <t>Contract modification, SSP, and revenue bridge</t>
        </is>
      </c>
      <c r="C42" s="27" t="inlineStr">
        <is>
          <t>Contract modification facts</t>
        </is>
      </c>
      <c r="D42" s="27" t="inlineStr">
        <is>
          <t>Helix Data Center</t>
        </is>
      </c>
      <c r="E42" s="27" t="inlineStr">
        <is>
          <t>2026-06-30</t>
        </is>
      </c>
      <c r="F42" s="27" t="inlineStr">
        <is>
          <t>Approved case</t>
        </is>
      </c>
      <c r="G42" s="27" t="inlineStr">
        <is>
          <t>Cash billed through modification</t>
        </is>
      </c>
      <c r="H42" s="46" t="n">
        <v>3250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TAX-00319</t>
        </is>
      </c>
      <c r="B43" s="27" t="inlineStr">
        <is>
          <t>Contract modification, SSP, and revenue bridge</t>
        </is>
      </c>
      <c r="C43" s="27" t="inlineStr">
        <is>
          <t>Post-modification revenue schedule</t>
        </is>
      </c>
      <c r="D43" s="27" t="inlineStr">
        <is>
          <t>Helix Data Center</t>
        </is>
      </c>
      <c r="E43" s="27" t="inlineStr">
        <is>
          <t>Q3 FY26</t>
        </is>
      </c>
      <c r="F43" s="27" t="inlineStr">
        <is>
          <t>Approved case</t>
        </is>
      </c>
      <c r="G43" s="27" t="inlineStr">
        <is>
          <t>Cumulative installation completion</t>
        </is>
      </c>
      <c r="H43" s="46" t="n">
        <v>0.85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TAX-00320</t>
        </is>
      </c>
      <c r="B44" s="27" t="inlineStr">
        <is>
          <t>Contract modification, SSP, and revenue bridge</t>
        </is>
      </c>
      <c r="C44" s="27" t="inlineStr">
        <is>
          <t>Post-modification revenue schedule</t>
        </is>
      </c>
      <c r="D44" s="27" t="inlineStr">
        <is>
          <t>Helix Data Center</t>
        </is>
      </c>
      <c r="E44" s="27" t="inlineStr">
        <is>
          <t>Q3 FY26</t>
        </is>
      </c>
      <c r="F44" s="27" t="inlineStr">
        <is>
          <t>Approved case</t>
        </is>
      </c>
      <c r="G44" s="27" t="inlineStr">
        <is>
          <t>Monitoring months delivered</t>
        </is>
      </c>
      <c r="H44" s="46" t="n">
        <v>3</v>
      </c>
      <c r="I44" s="27" t="inlineStr"/>
      <c r="J44" s="27" t="inlineStr">
        <is>
          <t>months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TAX-00321</t>
        </is>
      </c>
      <c r="B45" s="27" t="inlineStr">
        <is>
          <t>Contract modification, SSP, and revenue bridge</t>
        </is>
      </c>
      <c r="C45" s="27" t="inlineStr">
        <is>
          <t>Post-modification revenue schedule</t>
        </is>
      </c>
      <c r="D45" s="27" t="inlineStr">
        <is>
          <t>Helix Data Center</t>
        </is>
      </c>
      <c r="E45" s="27" t="inlineStr">
        <is>
          <t>Q3 FY26</t>
        </is>
      </c>
      <c r="F45" s="27" t="inlineStr">
        <is>
          <t>Approved case</t>
        </is>
      </c>
      <c r="G45" s="27" t="inlineStr">
        <is>
          <t>Training obligations delivered</t>
        </is>
      </c>
      <c r="H45" s="46" t="n">
        <v>1</v>
      </c>
      <c r="I45" s="27" t="inlineStr"/>
      <c r="J45" s="27" t="inlineStr">
        <is>
          <t>count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TAX-00322</t>
        </is>
      </c>
      <c r="B46" s="27" t="inlineStr">
        <is>
          <t>Contract modification, SSP, and revenue bridge</t>
        </is>
      </c>
      <c r="C46" s="27" t="inlineStr">
        <is>
          <t>Post-modification revenue schedule</t>
        </is>
      </c>
      <c r="D46" s="27" t="inlineStr">
        <is>
          <t>Helix Data Center</t>
        </is>
      </c>
      <c r="E46" s="27" t="inlineStr">
        <is>
          <t>Q3 FY26</t>
        </is>
      </c>
      <c r="F46" s="27" t="inlineStr">
        <is>
          <t>Approved case</t>
        </is>
      </c>
      <c r="G46" s="27" t="inlineStr">
        <is>
          <t>Cash billings</t>
        </is>
      </c>
      <c r="H46" s="46" t="n">
        <v>520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TAX-00323</t>
        </is>
      </c>
      <c r="B47" s="27" t="inlineStr">
        <is>
          <t>Contract modification, SSP, and revenue bridge</t>
        </is>
      </c>
      <c r="C47" s="27" t="inlineStr">
        <is>
          <t>Post-modification revenue schedule</t>
        </is>
      </c>
      <c r="D47" s="27" t="inlineStr">
        <is>
          <t>Helix Data Center</t>
        </is>
      </c>
      <c r="E47" s="27" t="inlineStr">
        <is>
          <t>Q4 FY26</t>
        </is>
      </c>
      <c r="F47" s="27" t="inlineStr">
        <is>
          <t>Approved case</t>
        </is>
      </c>
      <c r="G47" s="27" t="inlineStr">
        <is>
          <t>Cumulative installation completion</t>
        </is>
      </c>
      <c r="H47" s="46" t="n">
        <v>1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TAX-00324</t>
        </is>
      </c>
      <c r="B48" s="27" t="inlineStr">
        <is>
          <t>Contract modification, SSP, and revenue bridge</t>
        </is>
      </c>
      <c r="C48" s="27" t="inlineStr">
        <is>
          <t>Post-modification revenue schedule</t>
        </is>
      </c>
      <c r="D48" s="27" t="inlineStr">
        <is>
          <t>Helix Data Center</t>
        </is>
      </c>
      <c r="E48" s="27" t="inlineStr">
        <is>
          <t>Q4 FY26</t>
        </is>
      </c>
      <c r="F48" s="27" t="inlineStr">
        <is>
          <t>Approved case</t>
        </is>
      </c>
      <c r="G48" s="27" t="inlineStr">
        <is>
          <t>Monitoring months delivered</t>
        </is>
      </c>
      <c r="H48" s="46" t="n">
        <v>3</v>
      </c>
      <c r="I48" s="27" t="inlineStr"/>
      <c r="J48" s="27" t="inlineStr">
        <is>
          <t>months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TAX-00325</t>
        </is>
      </c>
      <c r="B49" s="27" t="inlineStr">
        <is>
          <t>Contract modification, SSP, and revenue bridge</t>
        </is>
      </c>
      <c r="C49" s="27" t="inlineStr">
        <is>
          <t>Post-modification revenue schedule</t>
        </is>
      </c>
      <c r="D49" s="27" t="inlineStr">
        <is>
          <t>Helix Data Center</t>
        </is>
      </c>
      <c r="E49" s="27" t="inlineStr">
        <is>
          <t>Q4 FY26</t>
        </is>
      </c>
      <c r="F49" s="27" t="inlineStr">
        <is>
          <t>Approved case</t>
        </is>
      </c>
      <c r="G49" s="27" t="inlineStr">
        <is>
          <t>Training obligations delivered</t>
        </is>
      </c>
      <c r="H49" s="46" t="n">
        <v>1</v>
      </c>
      <c r="I49" s="27" t="inlineStr"/>
      <c r="J49" s="27" t="inlineStr">
        <is>
          <t>count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TAX-00326</t>
        </is>
      </c>
      <c r="B50" s="27" t="inlineStr">
        <is>
          <t>Contract modification, SSP, and revenue bridge</t>
        </is>
      </c>
      <c r="C50" s="27" t="inlineStr">
        <is>
          <t>Post-modification revenue schedule</t>
        </is>
      </c>
      <c r="D50" s="27" t="inlineStr">
        <is>
          <t>Helix Data Center</t>
        </is>
      </c>
      <c r="E50" s="27" t="inlineStr">
        <is>
          <t>Q4 FY26</t>
        </is>
      </c>
      <c r="F50" s="27" t="inlineStr">
        <is>
          <t>Approved case</t>
        </is>
      </c>
      <c r="G50" s="27" t="inlineStr">
        <is>
          <t>Cash billings</t>
        </is>
      </c>
      <c r="H50" s="46" t="n">
        <v>610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TAX-00327</t>
        </is>
      </c>
      <c r="B51" s="27" t="inlineStr">
        <is>
          <t>Contract modification, SSP, and revenue bridge</t>
        </is>
      </c>
      <c r="C51" s="27" t="inlineStr">
        <is>
          <t>Post-modification variable consideration</t>
        </is>
      </c>
      <c r="D51" s="27" t="inlineStr">
        <is>
          <t>Helix Data Center</t>
        </is>
      </c>
      <c r="E51" s="27" t="inlineStr">
        <is>
          <t>FY26</t>
        </is>
      </c>
      <c r="F51" s="27" t="inlineStr">
        <is>
          <t>Approved case</t>
        </is>
      </c>
      <c r="G51" s="27" t="inlineStr">
        <is>
          <t>Variable consideration opportunity</t>
        </is>
      </c>
      <c r="H51" s="46" t="n">
        <v>180000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TAX-00328</t>
        </is>
      </c>
      <c r="B52" s="27" t="inlineStr">
        <is>
          <t>Contract modification, SSP, and revenue bridge</t>
        </is>
      </c>
      <c r="C52" s="27" t="inlineStr">
        <is>
          <t>Post-modification variable consideration</t>
        </is>
      </c>
      <c r="D52" s="27" t="inlineStr">
        <is>
          <t>Helix Data Center</t>
        </is>
      </c>
      <c r="E52" s="27" t="inlineStr">
        <is>
          <t>FY26</t>
        </is>
      </c>
      <c r="F52" s="27" t="inlineStr">
        <is>
          <t>Approved case</t>
        </is>
      </c>
      <c r="G52" s="27" t="inlineStr">
        <is>
          <t>Achievement probability</t>
        </is>
      </c>
      <c r="H52" s="46" t="n">
        <v>0.7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TAX-00329</t>
        </is>
      </c>
      <c r="B53" s="27" t="inlineStr">
        <is>
          <t>Contract modification, SSP, and revenue bridge</t>
        </is>
      </c>
      <c r="C53" s="27" t="inlineStr">
        <is>
          <t>Post-modification variable consideration</t>
        </is>
      </c>
      <c r="D53" s="27" t="inlineStr">
        <is>
          <t>Helix Data Center</t>
        </is>
      </c>
      <c r="E53" s="27" t="inlineStr">
        <is>
          <t>FY26</t>
        </is>
      </c>
      <c r="F53" s="27" t="inlineStr">
        <is>
          <t>Approved case</t>
        </is>
      </c>
      <c r="G53" s="27" t="inlineStr">
        <is>
          <t>Constraint inclusion threshold</t>
        </is>
      </c>
      <c r="H53" s="46" t="n">
        <v>0.75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TAX-00336</t>
        </is>
      </c>
      <c r="B54" s="27" t="inlineStr">
        <is>
          <t>Free-cash-flow and non-GAAP policy reconciliation</t>
        </is>
      </c>
      <c r="C54" s="27" t="inlineStr">
        <is>
          <t>Non-GAAP reconciliation items</t>
        </is>
      </c>
      <c r="D54" s="27" t="inlineStr">
        <is>
          <t>GAAP net income</t>
        </is>
      </c>
      <c r="E54" s="27" t="inlineStr">
        <is>
          <t>LTM 2026-06-30</t>
        </is>
      </c>
      <c r="F54" s="27" t="inlineStr">
        <is>
          <t>Approved case</t>
        </is>
      </c>
      <c r="G54" s="27" t="inlineStr">
        <is>
          <t>Amount</t>
        </is>
      </c>
      <c r="H54" s="46" t="n">
        <v>3420000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TAX-00337</t>
        </is>
      </c>
      <c r="B55" s="27" t="inlineStr">
        <is>
          <t>Free-cash-flow and non-GAAP policy reconciliation</t>
        </is>
      </c>
      <c r="C55" s="27" t="inlineStr">
        <is>
          <t>Non-GAAP reconciliation items</t>
        </is>
      </c>
      <c r="D55" s="27" t="inlineStr">
        <is>
          <t>GAAP net income</t>
        </is>
      </c>
      <c r="E55" s="27" t="inlineStr">
        <is>
          <t>LTM 2026-06-30</t>
        </is>
      </c>
      <c r="F55" s="27" t="inlineStr">
        <is>
          <t>Approved case</t>
        </is>
      </c>
      <c r="G55" s="27" t="inlineStr">
        <is>
          <t>Policy classification</t>
        </is>
      </c>
      <c r="H55" s="46" t="inlineStr"/>
      <c r="I55" s="27" t="inlineStr">
        <is>
          <t>Starting metric</t>
        </is>
      </c>
      <c r="J55" s="27" t="inlineStr">
        <is>
          <t>classification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TAX-00338</t>
        </is>
      </c>
      <c r="B56" s="27" t="inlineStr">
        <is>
          <t>Free-cash-flow and non-GAAP policy reconciliation</t>
        </is>
      </c>
      <c r="C56" s="27" t="inlineStr">
        <is>
          <t>Non-GAAP reconciliation items</t>
        </is>
      </c>
      <c r="D56" s="27" t="inlineStr">
        <is>
          <t>GAAP net income</t>
        </is>
      </c>
      <c r="E56" s="27" t="inlineStr">
        <is>
          <t>LTM 2026-06-30</t>
        </is>
      </c>
      <c r="F56" s="27" t="inlineStr">
        <is>
          <t>Approved case</t>
        </is>
      </c>
      <c r="G56" s="27" t="inlineStr">
        <is>
          <t>Include in adjusted EBITDA</t>
        </is>
      </c>
      <c r="H56" s="46" t="n">
        <v>1</v>
      </c>
      <c r="I56" s="27" t="inlineStr"/>
      <c r="J56" s="27" t="inlineStr">
        <is>
          <t>boolean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TAX-00339</t>
        </is>
      </c>
      <c r="B57" s="27" t="inlineStr">
        <is>
          <t>Free-cash-flow and non-GAAP policy reconciliation</t>
        </is>
      </c>
      <c r="C57" s="27" t="inlineStr">
        <is>
          <t>Non-GAAP reconciliation items</t>
        </is>
      </c>
      <c r="D57" s="27" t="inlineStr">
        <is>
          <t>Depreciation and amortization</t>
        </is>
      </c>
      <c r="E57" s="27" t="inlineStr">
        <is>
          <t>LTM 2026-06-30</t>
        </is>
      </c>
      <c r="F57" s="27" t="inlineStr">
        <is>
          <t>Approved case</t>
        </is>
      </c>
      <c r="G57" s="27" t="inlineStr">
        <is>
          <t>Amount</t>
        </is>
      </c>
      <c r="H57" s="46" t="n">
        <v>1180</v>
      </c>
      <c r="I57" s="27" t="inlineStr"/>
      <c r="J57" s="27" t="inlineStr">
        <is>
          <t>USD thousands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TAX-00340</t>
        </is>
      </c>
      <c r="B58" s="27" t="inlineStr">
        <is>
          <t>Free-cash-flow and non-GAAP policy reconciliation</t>
        </is>
      </c>
      <c r="C58" s="27" t="inlineStr">
        <is>
          <t>Non-GAAP reconciliation items</t>
        </is>
      </c>
      <c r="D58" s="27" t="inlineStr">
        <is>
          <t>Depreciation and amortization</t>
        </is>
      </c>
      <c r="E58" s="27" t="inlineStr">
        <is>
          <t>LTM 2026-06-30</t>
        </is>
      </c>
      <c r="F58" s="27" t="inlineStr">
        <is>
          <t>Approved case</t>
        </is>
      </c>
      <c r="G58" s="27" t="inlineStr">
        <is>
          <t>Policy classification</t>
        </is>
      </c>
      <c r="H58" s="46" t="inlineStr"/>
      <c r="I58" s="27" t="inlineStr">
        <is>
          <t>D&amp;A</t>
        </is>
      </c>
      <c r="J58" s="27" t="inlineStr">
        <is>
          <t>classification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TAX-00341</t>
        </is>
      </c>
      <c r="B59" s="27" t="inlineStr">
        <is>
          <t>Free-cash-flow and non-GAAP policy reconciliation</t>
        </is>
      </c>
      <c r="C59" s="27" t="inlineStr">
        <is>
          <t>Non-GAAP reconciliation items</t>
        </is>
      </c>
      <c r="D59" s="27" t="inlineStr">
        <is>
          <t>Depreciation and amortization</t>
        </is>
      </c>
      <c r="E59" s="27" t="inlineStr">
        <is>
          <t>LTM 2026-06-30</t>
        </is>
      </c>
      <c r="F59" s="27" t="inlineStr">
        <is>
          <t>Approved case</t>
        </is>
      </c>
      <c r="G59" s="27" t="inlineStr">
        <is>
          <t>Include in adjusted EBITDA</t>
        </is>
      </c>
      <c r="H59" s="46" t="n">
        <v>1</v>
      </c>
      <c r="I59" s="27" t="inlineStr"/>
      <c r="J59" s="27" t="inlineStr">
        <is>
          <t>boolean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TAX-00342</t>
        </is>
      </c>
      <c r="B60" s="27" t="inlineStr">
        <is>
          <t>Free-cash-flow and non-GAAP policy reconciliation</t>
        </is>
      </c>
      <c r="C60" s="27" t="inlineStr">
        <is>
          <t>Non-GAAP reconciliation items</t>
        </is>
      </c>
      <c r="D60" s="27" t="inlineStr">
        <is>
          <t>Cash interest</t>
        </is>
      </c>
      <c r="E60" s="27" t="inlineStr">
        <is>
          <t>LTM 2026-06-30</t>
        </is>
      </c>
      <c r="F60" s="27" t="inlineStr">
        <is>
          <t>Approved case</t>
        </is>
      </c>
      <c r="G60" s="27" t="inlineStr">
        <is>
          <t>Amount</t>
        </is>
      </c>
      <c r="H60" s="46" t="n">
        <v>610000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TAX-00343</t>
        </is>
      </c>
      <c r="B61" s="27" t="inlineStr">
        <is>
          <t>Free-cash-flow and non-GAAP policy reconciliation</t>
        </is>
      </c>
      <c r="C61" s="27" t="inlineStr">
        <is>
          <t>Non-GAAP reconciliation items</t>
        </is>
      </c>
      <c r="D61" s="27" t="inlineStr">
        <is>
          <t>Cash interest</t>
        </is>
      </c>
      <c r="E61" s="27" t="inlineStr">
        <is>
          <t>LTM 2026-06-30</t>
        </is>
      </c>
      <c r="F61" s="27" t="inlineStr">
        <is>
          <t>Approved case</t>
        </is>
      </c>
      <c r="G61" s="27" t="inlineStr">
        <is>
          <t>Policy classification</t>
        </is>
      </c>
      <c r="H61" s="46" t="inlineStr"/>
      <c r="I61" s="27" t="inlineStr">
        <is>
          <t>Interest</t>
        </is>
      </c>
      <c r="J61" s="27" t="inlineStr">
        <is>
          <t>classification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TAX-00344</t>
        </is>
      </c>
      <c r="B62" s="27" t="inlineStr">
        <is>
          <t>Free-cash-flow and non-GAAP policy reconciliation</t>
        </is>
      </c>
      <c r="C62" s="27" t="inlineStr">
        <is>
          <t>Non-GAAP reconciliation items</t>
        </is>
      </c>
      <c r="D62" s="27" t="inlineStr">
        <is>
          <t>Cash interest</t>
        </is>
      </c>
      <c r="E62" s="27" t="inlineStr">
        <is>
          <t>LTM 2026-06-30</t>
        </is>
      </c>
      <c r="F62" s="27" t="inlineStr">
        <is>
          <t>Approved case</t>
        </is>
      </c>
      <c r="G62" s="27" t="inlineStr">
        <is>
          <t>Include in adjusted EBITDA</t>
        </is>
      </c>
      <c r="H62" s="46" t="n">
        <v>1</v>
      </c>
      <c r="I62" s="27" t="inlineStr"/>
      <c r="J62" s="27" t="inlineStr">
        <is>
          <t>boolean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TAX-00345</t>
        </is>
      </c>
      <c r="B63" s="27" t="inlineStr">
        <is>
          <t>Free-cash-flow and non-GAAP policy reconciliation</t>
        </is>
      </c>
      <c r="C63" s="27" t="inlineStr">
        <is>
          <t>Non-GAAP reconciliation items</t>
        </is>
      </c>
      <c r="D63" s="27" t="inlineStr">
        <is>
          <t>Income tax expense</t>
        </is>
      </c>
      <c r="E63" s="27" t="inlineStr">
        <is>
          <t>LTM 2026-06-30</t>
        </is>
      </c>
      <c r="F63" s="27" t="inlineStr">
        <is>
          <t>Approved case</t>
        </is>
      </c>
      <c r="G63" s="27" t="inlineStr">
        <is>
          <t>Amount</t>
        </is>
      </c>
      <c r="H63" s="46" t="n">
        <v>920000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TAX-00346</t>
        </is>
      </c>
      <c r="B64" s="27" t="inlineStr">
        <is>
          <t>Free-cash-flow and non-GAAP policy reconciliation</t>
        </is>
      </c>
      <c r="C64" s="27" t="inlineStr">
        <is>
          <t>Non-GAAP reconciliation items</t>
        </is>
      </c>
      <c r="D64" s="27" t="inlineStr">
        <is>
          <t>Income tax expense</t>
        </is>
      </c>
      <c r="E64" s="27" t="inlineStr">
        <is>
          <t>LTM 2026-06-30</t>
        </is>
      </c>
      <c r="F64" s="27" t="inlineStr">
        <is>
          <t>Approved case</t>
        </is>
      </c>
      <c r="G64" s="27" t="inlineStr">
        <is>
          <t>Policy classification</t>
        </is>
      </c>
      <c r="H64" s="46" t="inlineStr"/>
      <c r="I64" s="27" t="inlineStr">
        <is>
          <t>Tax</t>
        </is>
      </c>
      <c r="J64" s="27" t="inlineStr">
        <is>
          <t>classification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TAX-00347</t>
        </is>
      </c>
      <c r="B65" s="27" t="inlineStr">
        <is>
          <t>Free-cash-flow and non-GAAP policy reconciliation</t>
        </is>
      </c>
      <c r="C65" s="27" t="inlineStr">
        <is>
          <t>Non-GAAP reconciliation items</t>
        </is>
      </c>
      <c r="D65" s="27" t="inlineStr">
        <is>
          <t>Income tax expense</t>
        </is>
      </c>
      <c r="E65" s="27" t="inlineStr">
        <is>
          <t>LTM 2026-06-30</t>
        </is>
      </c>
      <c r="F65" s="27" t="inlineStr">
        <is>
          <t>Approved case</t>
        </is>
      </c>
      <c r="G65" s="27" t="inlineStr">
        <is>
          <t>Include in adjusted EBITDA</t>
        </is>
      </c>
      <c r="H65" s="46" t="n">
        <v>1</v>
      </c>
      <c r="I65" s="27" t="inlineStr"/>
      <c r="J65" s="27" t="inlineStr">
        <is>
          <t>boolean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TAX-00348</t>
        </is>
      </c>
      <c r="B66" s="27" t="inlineStr">
        <is>
          <t>Free-cash-flow and non-GAAP policy reconciliation</t>
        </is>
      </c>
      <c r="C66" s="27" t="inlineStr">
        <is>
          <t>Non-GAAP reconciliation items</t>
        </is>
      </c>
      <c r="D66" s="27" t="inlineStr">
        <is>
          <t>Acquisition integration cost</t>
        </is>
      </c>
      <c r="E66" s="27" t="inlineStr">
        <is>
          <t>LTM 2026-06-30</t>
        </is>
      </c>
      <c r="F66" s="27" t="inlineStr">
        <is>
          <t>Approved case</t>
        </is>
      </c>
      <c r="G66" s="27" t="inlineStr">
        <is>
          <t>Amount</t>
        </is>
      </c>
      <c r="H66" s="46" t="n">
        <v>460000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TAX-00349</t>
        </is>
      </c>
      <c r="B67" s="27" t="inlineStr">
        <is>
          <t>Free-cash-flow and non-GAAP policy reconciliation</t>
        </is>
      </c>
      <c r="C67" s="27" t="inlineStr">
        <is>
          <t>Non-GAAP reconciliation items</t>
        </is>
      </c>
      <c r="D67" s="27" t="inlineStr">
        <is>
          <t>Acquisition integration cost</t>
        </is>
      </c>
      <c r="E67" s="27" t="inlineStr">
        <is>
          <t>LTM 2026-06-30</t>
        </is>
      </c>
      <c r="F67" s="27" t="inlineStr">
        <is>
          <t>Approved case</t>
        </is>
      </c>
      <c r="G67" s="27" t="inlineStr">
        <is>
          <t>Policy classification</t>
        </is>
      </c>
      <c r="H67" s="46" t="inlineStr"/>
      <c r="I67" s="27" t="inlineStr">
        <is>
          <t>Permitted nonrecurring</t>
        </is>
      </c>
      <c r="J67" s="27" t="inlineStr">
        <is>
          <t>classification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TAX-00350</t>
        </is>
      </c>
      <c r="B68" s="27" t="inlineStr">
        <is>
          <t>Free-cash-flow and non-GAAP policy reconciliation</t>
        </is>
      </c>
      <c r="C68" s="27" t="inlineStr">
        <is>
          <t>Non-GAAP reconciliation items</t>
        </is>
      </c>
      <c r="D68" s="27" t="inlineStr">
        <is>
          <t>Acquisition integration cost</t>
        </is>
      </c>
      <c r="E68" s="27" t="inlineStr">
        <is>
          <t>LTM 2026-06-30</t>
        </is>
      </c>
      <c r="F68" s="27" t="inlineStr">
        <is>
          <t>Approved case</t>
        </is>
      </c>
      <c r="G68" s="27" t="inlineStr">
        <is>
          <t>Include in adjusted EBITDA</t>
        </is>
      </c>
      <c r="H68" s="46" t="n">
        <v>1</v>
      </c>
      <c r="I68" s="27" t="inlineStr"/>
      <c r="J68" s="27" t="inlineStr">
        <is>
          <t>boolean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TAX-00351</t>
        </is>
      </c>
      <c r="B69" s="27" t="inlineStr">
        <is>
          <t>Free-cash-flow and non-GAAP policy reconciliation</t>
        </is>
      </c>
      <c r="C69" s="27" t="inlineStr">
        <is>
          <t>Non-GAAP reconciliation items</t>
        </is>
      </c>
      <c r="D69" s="27" t="inlineStr">
        <is>
          <t>Routine recruiting cost</t>
        </is>
      </c>
      <c r="E69" s="27" t="inlineStr">
        <is>
          <t>LTM 2026-06-30</t>
        </is>
      </c>
      <c r="F69" s="27" t="inlineStr">
        <is>
          <t>Approved case</t>
        </is>
      </c>
      <c r="G69" s="27" t="inlineStr">
        <is>
          <t>Amount</t>
        </is>
      </c>
      <c r="H69" s="46" t="n">
        <v>190</v>
      </c>
      <c r="I69" s="27" t="inlineStr"/>
      <c r="J69" s="27" t="inlineStr">
        <is>
          <t>USD thousands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TAX-00352</t>
        </is>
      </c>
      <c r="B70" s="27" t="inlineStr">
        <is>
          <t>Free-cash-flow and non-GAAP policy reconciliation</t>
        </is>
      </c>
      <c r="C70" s="27" t="inlineStr">
        <is>
          <t>Non-GAAP reconciliation items</t>
        </is>
      </c>
      <c r="D70" s="27" t="inlineStr">
        <is>
          <t>Routine recruiting cost</t>
        </is>
      </c>
      <c r="E70" s="27" t="inlineStr">
        <is>
          <t>LTM 2026-06-30</t>
        </is>
      </c>
      <c r="F70" s="27" t="inlineStr">
        <is>
          <t>Approved case</t>
        </is>
      </c>
      <c r="G70" s="27" t="inlineStr">
        <is>
          <t>Policy classification</t>
        </is>
      </c>
      <c r="H70" s="46" t="inlineStr"/>
      <c r="I70" s="27" t="inlineStr">
        <is>
          <t>Ordinary operating</t>
        </is>
      </c>
      <c r="J70" s="27" t="inlineStr">
        <is>
          <t>classification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TAX-00353</t>
        </is>
      </c>
      <c r="B71" s="27" t="inlineStr">
        <is>
          <t>Free-cash-flow and non-GAAP policy reconciliation</t>
        </is>
      </c>
      <c r="C71" s="27" t="inlineStr">
        <is>
          <t>Non-GAAP reconciliation items</t>
        </is>
      </c>
      <c r="D71" s="27" t="inlineStr">
        <is>
          <t>Routine recruiting cost</t>
        </is>
      </c>
      <c r="E71" s="27" t="inlineStr">
        <is>
          <t>LTM 2026-06-30</t>
        </is>
      </c>
      <c r="F71" s="27" t="inlineStr">
        <is>
          <t>Approved case</t>
        </is>
      </c>
      <c r="G71" s="27" t="inlineStr">
        <is>
          <t>Include in adjusted EBITDA</t>
        </is>
      </c>
      <c r="H71" s="46" t="n">
        <v>0</v>
      </c>
      <c r="I71" s="27" t="inlineStr"/>
      <c r="J71" s="27" t="inlineStr">
        <is>
          <t>boolean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TAX-00354</t>
        </is>
      </c>
      <c r="B72" s="27" t="inlineStr">
        <is>
          <t>Free-cash-flow and non-GAAP policy reconciliation</t>
        </is>
      </c>
      <c r="C72" s="27" t="inlineStr">
        <is>
          <t>Non-GAAP reconciliation items</t>
        </is>
      </c>
      <c r="D72" s="27" t="inlineStr">
        <is>
          <t>Share-based compensation</t>
        </is>
      </c>
      <c r="E72" s="27" t="inlineStr">
        <is>
          <t>LTM 2026-06-30</t>
        </is>
      </c>
      <c r="F72" s="27" t="inlineStr">
        <is>
          <t>Approved case</t>
        </is>
      </c>
      <c r="G72" s="27" t="inlineStr">
        <is>
          <t>Amount</t>
        </is>
      </c>
      <c r="H72" s="46" t="n">
        <v>280000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TAX-00355</t>
        </is>
      </c>
      <c r="B73" s="27" t="inlineStr">
        <is>
          <t>Free-cash-flow and non-GAAP policy reconciliation</t>
        </is>
      </c>
      <c r="C73" s="27" t="inlineStr">
        <is>
          <t>Non-GAAP reconciliation items</t>
        </is>
      </c>
      <c r="D73" s="27" t="inlineStr">
        <is>
          <t>Share-based compensation</t>
        </is>
      </c>
      <c r="E73" s="27" t="inlineStr">
        <is>
          <t>LTM 2026-06-30</t>
        </is>
      </c>
      <c r="F73" s="27" t="inlineStr">
        <is>
          <t>Approved case</t>
        </is>
      </c>
      <c r="G73" s="27" t="inlineStr">
        <is>
          <t>Policy classification</t>
        </is>
      </c>
      <c r="H73" s="46" t="inlineStr"/>
      <c r="I73" s="27" t="inlineStr">
        <is>
          <t>Permitted noncash</t>
        </is>
      </c>
      <c r="J73" s="27" t="inlineStr">
        <is>
          <t>classification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TAX-00356</t>
        </is>
      </c>
      <c r="B74" s="27" t="inlineStr">
        <is>
          <t>Free-cash-flow and non-GAAP policy reconciliation</t>
        </is>
      </c>
      <c r="C74" s="27" t="inlineStr">
        <is>
          <t>Non-GAAP reconciliation items</t>
        </is>
      </c>
      <c r="D74" s="27" t="inlineStr">
        <is>
          <t>Share-based compensation</t>
        </is>
      </c>
      <c r="E74" s="27" t="inlineStr">
        <is>
          <t>LTM 2026-06-30</t>
        </is>
      </c>
      <c r="F74" s="27" t="inlineStr">
        <is>
          <t>Approved case</t>
        </is>
      </c>
      <c r="G74" s="27" t="inlineStr">
        <is>
          <t>Include in adjusted EBITDA</t>
        </is>
      </c>
      <c r="H74" s="46" t="n">
        <v>1</v>
      </c>
      <c r="I74" s="27" t="inlineStr"/>
      <c r="J74" s="27" t="inlineStr">
        <is>
          <t>boolean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TAX-00357</t>
        </is>
      </c>
      <c r="B75" s="27" t="inlineStr">
        <is>
          <t>Free-cash-flow and non-GAAP policy reconciliation</t>
        </is>
      </c>
      <c r="C75" s="27" t="inlineStr">
        <is>
          <t>Non-GAAP reconciliation items</t>
        </is>
      </c>
      <c r="D75" s="27" t="inlineStr">
        <is>
          <t>Restructuring cash cost</t>
        </is>
      </c>
      <c r="E75" s="27" t="inlineStr">
        <is>
          <t>LTM 2026-06-30</t>
        </is>
      </c>
      <c r="F75" s="27" t="inlineStr">
        <is>
          <t>Approved case</t>
        </is>
      </c>
      <c r="G75" s="27" t="inlineStr">
        <is>
          <t>Amount</t>
        </is>
      </c>
      <c r="H75" s="46" t="n">
        <v>350000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TAX-00358</t>
        </is>
      </c>
      <c r="B76" s="27" t="inlineStr">
        <is>
          <t>Free-cash-flow and non-GAAP policy reconciliation</t>
        </is>
      </c>
      <c r="C76" s="27" t="inlineStr">
        <is>
          <t>Non-GAAP reconciliation items</t>
        </is>
      </c>
      <c r="D76" s="27" t="inlineStr">
        <is>
          <t>Restructuring cash cost</t>
        </is>
      </c>
      <c r="E76" s="27" t="inlineStr">
        <is>
          <t>LTM 2026-06-30</t>
        </is>
      </c>
      <c r="F76" s="27" t="inlineStr">
        <is>
          <t>Approved case</t>
        </is>
      </c>
      <c r="G76" s="27" t="inlineStr">
        <is>
          <t>Policy classification</t>
        </is>
      </c>
      <c r="H76" s="46" t="inlineStr"/>
      <c r="I76" s="27" t="inlineStr">
        <is>
          <t>Permitted nonrecurring</t>
        </is>
      </c>
      <c r="J76" s="27" t="inlineStr">
        <is>
          <t>classification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TAX-00359</t>
        </is>
      </c>
      <c r="B77" s="27" t="inlineStr">
        <is>
          <t>Free-cash-flow and non-GAAP policy reconciliation</t>
        </is>
      </c>
      <c r="C77" s="27" t="inlineStr">
        <is>
          <t>Non-GAAP reconciliation items</t>
        </is>
      </c>
      <c r="D77" s="27" t="inlineStr">
        <is>
          <t>Restructuring cash cost</t>
        </is>
      </c>
      <c r="E77" s="27" t="inlineStr">
        <is>
          <t>LTM 2026-06-30</t>
        </is>
      </c>
      <c r="F77" s="27" t="inlineStr">
        <is>
          <t>Approved case</t>
        </is>
      </c>
      <c r="G77" s="27" t="inlineStr">
        <is>
          <t>Include in adjusted EBITDA</t>
        </is>
      </c>
      <c r="H77" s="46" t="n">
        <v>1</v>
      </c>
      <c r="I77" s="27" t="inlineStr"/>
      <c r="J77" s="27" t="inlineStr">
        <is>
          <t>boolean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TAX-00360</t>
        </is>
      </c>
      <c r="B78" s="27" t="inlineStr">
        <is>
          <t>Free-cash-flow and non-GAAP policy reconciliation</t>
        </is>
      </c>
      <c r="C78" s="27" t="inlineStr">
        <is>
          <t>Non-GAAP reconciliation items</t>
        </is>
      </c>
      <c r="D78" s="27" t="inlineStr">
        <is>
          <t>Run-rate procurement savings</t>
        </is>
      </c>
      <c r="E78" s="27" t="inlineStr">
        <is>
          <t>LTM 2026-06-30</t>
        </is>
      </c>
      <c r="F78" s="27" t="inlineStr">
        <is>
          <t>Approved case</t>
        </is>
      </c>
      <c r="G78" s="27" t="inlineStr">
        <is>
          <t>Amount</t>
        </is>
      </c>
      <c r="H78" s="46" t="n">
        <v>520000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TAX-00361</t>
        </is>
      </c>
      <c r="B79" s="27" t="inlineStr">
        <is>
          <t>Free-cash-flow and non-GAAP policy reconciliation</t>
        </is>
      </c>
      <c r="C79" s="27" t="inlineStr">
        <is>
          <t>Non-GAAP reconciliation items</t>
        </is>
      </c>
      <c r="D79" s="27" t="inlineStr">
        <is>
          <t>Run-rate procurement savings</t>
        </is>
      </c>
      <c r="E79" s="27" t="inlineStr">
        <is>
          <t>LTM 2026-06-30</t>
        </is>
      </c>
      <c r="F79" s="27" t="inlineStr">
        <is>
          <t>Approved case</t>
        </is>
      </c>
      <c r="G79" s="27" t="inlineStr">
        <is>
          <t>Policy classification</t>
        </is>
      </c>
      <c r="H79" s="46" t="inlineStr"/>
      <c r="I79" s="27" t="inlineStr">
        <is>
          <t>Prospective synergy</t>
        </is>
      </c>
      <c r="J79" s="27" t="inlineStr">
        <is>
          <t>classification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TAX-00362</t>
        </is>
      </c>
      <c r="B80" s="27" t="inlineStr">
        <is>
          <t>Free-cash-flow and non-GAAP policy reconciliation</t>
        </is>
      </c>
      <c r="C80" s="27" t="inlineStr">
        <is>
          <t>Non-GAAP reconciliation items</t>
        </is>
      </c>
      <c r="D80" s="27" t="inlineStr">
        <is>
          <t>Run-rate procurement savings</t>
        </is>
      </c>
      <c r="E80" s="27" t="inlineStr">
        <is>
          <t>LTM 2026-06-30</t>
        </is>
      </c>
      <c r="F80" s="27" t="inlineStr">
        <is>
          <t>Approved case</t>
        </is>
      </c>
      <c r="G80" s="27" t="inlineStr">
        <is>
          <t>Include in adjusted EBITDA</t>
        </is>
      </c>
      <c r="H80" s="46" t="n">
        <v>0</v>
      </c>
      <c r="I80" s="27" t="inlineStr"/>
      <c r="J80" s="27" t="inlineStr">
        <is>
          <t>boolean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TAX-00363</t>
        </is>
      </c>
      <c r="B81" s="27" t="inlineStr">
        <is>
          <t>Free-cash-flow and non-GAAP policy reconciliation</t>
        </is>
      </c>
      <c r="C81" s="27" t="inlineStr">
        <is>
          <t>Non-GAAP reconciliation items</t>
        </is>
      </c>
      <c r="D81" s="27" t="inlineStr">
        <is>
          <t>Asset sale gain</t>
        </is>
      </c>
      <c r="E81" s="27" t="inlineStr">
        <is>
          <t>LTM 2026-06-30</t>
        </is>
      </c>
      <c r="F81" s="27" t="inlineStr">
        <is>
          <t>Approved case</t>
        </is>
      </c>
      <c r="G81" s="27" t="inlineStr">
        <is>
          <t>Amount</t>
        </is>
      </c>
      <c r="H81" s="46" t="n">
        <v>-210</v>
      </c>
      <c r="I81" s="27" t="inlineStr"/>
      <c r="J81" s="27" t="inlineStr">
        <is>
          <t>USD thousands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TAX-00364</t>
        </is>
      </c>
      <c r="B82" s="27" t="inlineStr">
        <is>
          <t>Free-cash-flow and non-GAAP policy reconciliation</t>
        </is>
      </c>
      <c r="C82" s="27" t="inlineStr">
        <is>
          <t>Non-GAAP reconciliation items</t>
        </is>
      </c>
      <c r="D82" s="27" t="inlineStr">
        <is>
          <t>Asset sale gain</t>
        </is>
      </c>
      <c r="E82" s="27" t="inlineStr">
        <is>
          <t>LTM 2026-06-30</t>
        </is>
      </c>
      <c r="F82" s="27" t="inlineStr">
        <is>
          <t>Approved case</t>
        </is>
      </c>
      <c r="G82" s="27" t="inlineStr">
        <is>
          <t>Policy classification</t>
        </is>
      </c>
      <c r="H82" s="46" t="inlineStr"/>
      <c r="I82" s="27" t="inlineStr">
        <is>
          <t>Nonoperating gain</t>
        </is>
      </c>
      <c r="J82" s="27" t="inlineStr">
        <is>
          <t>classification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TAX-00365</t>
        </is>
      </c>
      <c r="B83" s="27" t="inlineStr">
        <is>
          <t>Free-cash-flow and non-GAAP policy reconciliation</t>
        </is>
      </c>
      <c r="C83" s="27" t="inlineStr">
        <is>
          <t>Non-GAAP reconciliation items</t>
        </is>
      </c>
      <c r="D83" s="27" t="inlineStr">
        <is>
          <t>Asset sale gain</t>
        </is>
      </c>
      <c r="E83" s="27" t="inlineStr">
        <is>
          <t>LTM 2026-06-30</t>
        </is>
      </c>
      <c r="F83" s="27" t="inlineStr">
        <is>
          <t>Approved case</t>
        </is>
      </c>
      <c r="G83" s="27" t="inlineStr">
        <is>
          <t>Include in adjusted EBITDA</t>
        </is>
      </c>
      <c r="H83" s="46" t="n">
        <v>1</v>
      </c>
      <c r="I83" s="27" t="inlineStr"/>
      <c r="J83" s="27" t="inlineStr">
        <is>
          <t>boolean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TAX-00366</t>
        </is>
      </c>
      <c r="B84" s="27" t="inlineStr">
        <is>
          <t>Free-cash-flow and non-GAAP policy reconciliation</t>
        </is>
      </c>
      <c r="C84" s="27" t="inlineStr">
        <is>
          <t>Free cash flow inputs</t>
        </is>
      </c>
      <c r="D84" s="27" t="inlineStr">
        <is>
          <t>Operating cash flow</t>
        </is>
      </c>
      <c r="E84" s="27" t="inlineStr">
        <is>
          <t>LTM 2026-06-30</t>
        </is>
      </c>
      <c r="F84" s="27" t="inlineStr">
        <is>
          <t>Approved case</t>
        </is>
      </c>
      <c r="G84" s="27" t="inlineStr">
        <is>
          <t>Amount</t>
        </is>
      </c>
      <c r="H84" s="46" t="n">
        <v>6750000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TAX-00367</t>
        </is>
      </c>
      <c r="B85" s="27" t="inlineStr">
        <is>
          <t>Free-cash-flow and non-GAAP policy reconciliation</t>
        </is>
      </c>
      <c r="C85" s="27" t="inlineStr">
        <is>
          <t>Free cash flow inputs</t>
        </is>
      </c>
      <c r="D85" s="27" t="inlineStr">
        <is>
          <t>Capital expenditures</t>
        </is>
      </c>
      <c r="E85" s="27" t="inlineStr">
        <is>
          <t>LTM 2026-06-30</t>
        </is>
      </c>
      <c r="F85" s="27" t="inlineStr">
        <is>
          <t>Approved case</t>
        </is>
      </c>
      <c r="G85" s="27" t="inlineStr">
        <is>
          <t>Amount</t>
        </is>
      </c>
      <c r="H85" s="46" t="n">
        <v>2480</v>
      </c>
      <c r="I85" s="27" t="inlineStr"/>
      <c r="J85" s="27" t="inlineStr">
        <is>
          <t>USD thousands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TAX-00368</t>
        </is>
      </c>
      <c r="B86" s="27" t="inlineStr">
        <is>
          <t>Free-cash-flow and non-GAAP policy reconciliation</t>
        </is>
      </c>
      <c r="C86" s="27" t="inlineStr">
        <is>
          <t>Free cash flow inputs</t>
        </is>
      </c>
      <c r="D86" s="27" t="inlineStr">
        <is>
          <t>Acquisition capex</t>
        </is>
      </c>
      <c r="E86" s="27" t="inlineStr">
        <is>
          <t>LTM 2026-06-30</t>
        </is>
      </c>
      <c r="F86" s="27" t="inlineStr">
        <is>
          <t>Approved case</t>
        </is>
      </c>
      <c r="G86" s="27" t="inlineStr">
        <is>
          <t>Amount</t>
        </is>
      </c>
      <c r="H86" s="46" t="n">
        <v>620000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TAX-00369</t>
        </is>
      </c>
      <c r="B87" s="27" t="inlineStr">
        <is>
          <t>Free-cash-flow and non-GAAP policy reconciliation</t>
        </is>
      </c>
      <c r="C87" s="27" t="inlineStr">
        <is>
          <t>Free cash flow inputs</t>
        </is>
      </c>
      <c r="D87" s="27" t="inlineStr">
        <is>
          <t>Proceeds from asset sales</t>
        </is>
      </c>
      <c r="E87" s="27" t="inlineStr">
        <is>
          <t>LTM 2026-06-30</t>
        </is>
      </c>
      <c r="F87" s="27" t="inlineStr">
        <is>
          <t>Approved case</t>
        </is>
      </c>
      <c r="G87" s="27" t="inlineStr">
        <is>
          <t>Amount</t>
        </is>
      </c>
      <c r="H87" s="46" t="n">
        <v>310000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TAX-00370</t>
        </is>
      </c>
      <c r="B88" s="27" t="inlineStr">
        <is>
          <t>Free-cash-flow and non-GAAP policy reconciliation</t>
        </is>
      </c>
      <c r="C88" s="27" t="inlineStr">
        <is>
          <t>Free cash flow inputs</t>
        </is>
      </c>
      <c r="D88" s="27" t="inlineStr">
        <is>
          <t>Cash restructuring payments</t>
        </is>
      </c>
      <c r="E88" s="27" t="inlineStr">
        <is>
          <t>LTM 2026-06-30</t>
        </is>
      </c>
      <c r="F88" s="27" t="inlineStr">
        <is>
          <t>Approved case</t>
        </is>
      </c>
      <c r="G88" s="27" t="inlineStr">
        <is>
          <t>Amount</t>
        </is>
      </c>
      <c r="H88" s="46" t="n">
        <v>270000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TAX-00371</t>
        </is>
      </c>
      <c r="B89" s="27" t="inlineStr">
        <is>
          <t>Free-cash-flow and non-GAAP policy reconciliation</t>
        </is>
      </c>
      <c r="C89" s="27" t="inlineStr">
        <is>
          <t>Reporting definition controls</t>
        </is>
      </c>
      <c r="D89" s="27" t="inlineStr">
        <is>
          <t>Alder Ridge</t>
        </is>
      </c>
      <c r="E89" s="27" t="inlineStr">
        <is>
          <t>LTM 2026-06-30</t>
        </is>
      </c>
      <c r="F89" s="27" t="inlineStr">
        <is>
          <t>Approved case</t>
        </is>
      </c>
      <c r="G89" s="27" t="inlineStr">
        <is>
          <t>Covenant addback cap percent</t>
        </is>
      </c>
      <c r="H89" s="46" t="n">
        <v>0.2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TAX-00372</t>
        </is>
      </c>
      <c r="B90" s="27" t="inlineStr">
        <is>
          <t>Free-cash-flow and non-GAAP policy reconciliation</t>
        </is>
      </c>
      <c r="C90" s="27" t="inlineStr">
        <is>
          <t>Reporting definition controls</t>
        </is>
      </c>
      <c r="D90" s="27" t="inlineStr">
        <is>
          <t>Alder Ridge</t>
        </is>
      </c>
      <c r="E90" s="27" t="inlineStr">
        <is>
          <t>LTM 2026-06-30</t>
        </is>
      </c>
      <c r="F90" s="27" t="inlineStr">
        <is>
          <t>Approved case</t>
        </is>
      </c>
      <c r="G90" s="27" t="inlineStr">
        <is>
          <t>Reported covenant EBITDA before permitted addbacks</t>
        </is>
      </c>
      <c r="H90" s="46" t="n">
        <v>5920000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TAX-00373</t>
        </is>
      </c>
      <c r="B91" s="27" t="inlineStr">
        <is>
          <t>Free-cash-flow and non-GAAP policy reconciliation</t>
        </is>
      </c>
      <c r="C91" s="27" t="inlineStr">
        <is>
          <t>Reporting definition controls</t>
        </is>
      </c>
      <c r="D91" s="27" t="inlineStr">
        <is>
          <t>Alder Ridge</t>
        </is>
      </c>
      <c r="E91" s="27" t="inlineStr">
        <is>
          <t>LTM 2026-06-30</t>
        </is>
      </c>
      <c r="F91" s="27" t="inlineStr">
        <is>
          <t>Approved case</t>
        </is>
      </c>
      <c r="G91" s="27" t="inlineStr">
        <is>
          <t>Funded debt</t>
        </is>
      </c>
      <c r="H91" s="46" t="n">
        <v>9850000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TAX-00388</t>
        </is>
      </c>
      <c r="B92" s="27" t="inlineStr">
        <is>
          <t>Free-cash-flow and non-GAAP policy reconciliation</t>
        </is>
      </c>
      <c r="C92" s="27" t="inlineStr">
        <is>
          <t>Downside definition forecast</t>
        </is>
      </c>
      <c r="D92" s="27" t="inlineStr">
        <is>
          <t>Acquisition integration cost</t>
        </is>
      </c>
      <c r="E92" s="27" t="inlineStr">
        <is>
          <t>FY27</t>
        </is>
      </c>
      <c r="F92" s="27" t="inlineStr">
        <is>
          <t>Approved case</t>
        </is>
      </c>
      <c r="G92" s="27" t="inlineStr">
        <is>
          <t>Remaining addback factor</t>
        </is>
      </c>
      <c r="H92" s="46" t="n">
        <v>0.65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TAX-00389</t>
        </is>
      </c>
      <c r="B93" s="27" t="inlineStr">
        <is>
          <t>Free-cash-flow and non-GAAP policy reconciliation</t>
        </is>
      </c>
      <c r="C93" s="27" t="inlineStr">
        <is>
          <t>Downside definition forecast</t>
        </is>
      </c>
      <c r="D93" s="27" t="inlineStr">
        <is>
          <t>Share-based compensation</t>
        </is>
      </c>
      <c r="E93" s="27" t="inlineStr">
        <is>
          <t>FY27</t>
        </is>
      </c>
      <c r="F93" s="27" t="inlineStr">
        <is>
          <t>Approved case</t>
        </is>
      </c>
      <c r="G93" s="27" t="inlineStr">
        <is>
          <t>Remaining addback factor</t>
        </is>
      </c>
      <c r="H93" s="46" t="n">
        <v>1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TAX-00390</t>
        </is>
      </c>
      <c r="B94" s="27" t="inlineStr">
        <is>
          <t>Free-cash-flow and non-GAAP policy reconciliation</t>
        </is>
      </c>
      <c r="C94" s="27" t="inlineStr">
        <is>
          <t>Downside definition forecast</t>
        </is>
      </c>
      <c r="D94" s="27" t="inlineStr">
        <is>
          <t>Restructuring cash cost</t>
        </is>
      </c>
      <c r="E94" s="27" t="inlineStr">
        <is>
          <t>FY27</t>
        </is>
      </c>
      <c r="F94" s="27" t="inlineStr">
        <is>
          <t>Approved case</t>
        </is>
      </c>
      <c r="G94" s="27" t="inlineStr">
        <is>
          <t>Remaining addback factor</t>
        </is>
      </c>
      <c r="H94" s="46" t="n">
        <v>0.4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TAX-00391</t>
        </is>
      </c>
      <c r="B95" s="27" t="inlineStr">
        <is>
          <t>Free-cash-flow and non-GAAP policy reconciliation</t>
        </is>
      </c>
      <c r="C95" s="27" t="inlineStr">
        <is>
          <t>Downside definition forecast</t>
        </is>
      </c>
      <c r="D95" s="27" t="inlineStr">
        <is>
          <t>Alder Ridge</t>
        </is>
      </c>
      <c r="E95" s="27" t="inlineStr">
        <is>
          <t>FY27</t>
        </is>
      </c>
      <c r="F95" s="27" t="inlineStr">
        <is>
          <t>Approved case</t>
        </is>
      </c>
      <c r="G95" s="27" t="inlineStr">
        <is>
          <t>Reported EBITDA before addbacks</t>
        </is>
      </c>
      <c r="H95" s="46" t="n">
        <v>5350</v>
      </c>
      <c r="I95" s="27" t="inlineStr"/>
      <c r="J95" s="27" t="inlineStr">
        <is>
          <t>USD thousands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TAX-00392</t>
        </is>
      </c>
      <c r="B96" s="27" t="inlineStr">
        <is>
          <t>Free-cash-flow and non-GAAP policy reconciliation</t>
        </is>
      </c>
      <c r="C96" s="27" t="inlineStr">
        <is>
          <t>Downside definition forecast</t>
        </is>
      </c>
      <c r="D96" s="27" t="inlineStr">
        <is>
          <t>Alder Ridge</t>
        </is>
      </c>
      <c r="E96" s="27" t="inlineStr">
        <is>
          <t>FY27</t>
        </is>
      </c>
      <c r="F96" s="27" t="inlineStr">
        <is>
          <t>Approved case</t>
        </is>
      </c>
      <c r="G96" s="27" t="inlineStr">
        <is>
          <t>Forecast funded debt</t>
        </is>
      </c>
      <c r="H96" s="46" t="n">
        <v>8900000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TAX-00393</t>
        </is>
      </c>
      <c r="B97" s="27" t="inlineStr">
        <is>
          <t>Free-cash-flow and non-GAAP policy reconciliation</t>
        </is>
      </c>
      <c r="C97" s="27" t="inlineStr">
        <is>
          <t>Downside definition forecast</t>
        </is>
      </c>
      <c r="D97" s="27" t="inlineStr">
        <is>
          <t>Alder Ridge</t>
        </is>
      </c>
      <c r="E97" s="27" t="inlineStr">
        <is>
          <t>FY27</t>
        </is>
      </c>
      <c r="F97" s="27" t="inlineStr">
        <is>
          <t>Approved case</t>
        </is>
      </c>
      <c r="G97" s="27" t="inlineStr">
        <is>
          <t>Maximum covenant leverage</t>
        </is>
      </c>
      <c r="H97" s="46" t="n">
        <v>1.55</v>
      </c>
      <c r="I97" s="27" t="inlineStr"/>
      <c r="J97" s="27" t="inlineStr">
        <is>
          <t>multiple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TAX-00394</t>
        </is>
      </c>
      <c r="B98" s="27" t="inlineStr">
        <is>
          <t>Free-cash-flow and non-GAAP policy reconciliation</t>
        </is>
      </c>
      <c r="C98" s="27" t="inlineStr">
        <is>
          <t>Downside definition forecast</t>
        </is>
      </c>
      <c r="D98" s="27" t="inlineStr">
        <is>
          <t>Alder Ridge</t>
        </is>
      </c>
      <c r="E98" s="27" t="inlineStr">
        <is>
          <t>FY27</t>
        </is>
      </c>
      <c r="F98" s="27" t="inlineStr">
        <is>
          <t>Approved case</t>
        </is>
      </c>
      <c r="G98" s="27" t="inlineStr">
        <is>
          <t>Investor adjustment materiality percent of GAAP EBITDA</t>
        </is>
      </c>
      <c r="H98" s="46" t="n">
        <v>0.05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</sheetData>
  <autoFilter ref="A4:M98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FY26 tax provision and controllership definitions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Provision and Cash Tax</t>
        </is>
      </c>
      <c r="B5" s="40" t="n">
        <v>62</v>
      </c>
      <c r="C5" s="40">
        <f>COUNTA('Provision and Cash Tax'!$A$5:$A$66)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State Tax</t>
        </is>
      </c>
      <c r="B6" s="41" t="n">
        <v>37</v>
      </c>
      <c r="C6" s="41">
        <f>COUNTA('State Tax'!$A$5:$A$41)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2" t="inlineStr">
        <is>
          <t>Non-GAAP and Revenue</t>
        </is>
      </c>
      <c r="B7" s="42" t="n">
        <v>94</v>
      </c>
      <c r="C7" s="42">
        <f>COUNTA('Non-GAAP and Revenue'!$A$5:$A$98)</f>
        <v/>
      </c>
      <c r="D7" s="42">
        <f>C7-B7</f>
        <v/>
      </c>
      <c r="E7" s="45">
        <f>IF(D7=0,"OK","CHECK")</f>
        <v/>
      </c>
      <c r="F7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2026-08-17T00:33:55Z</dcterms:created>
  <dcterms:modified xmlns:dcterms="http://purl.org/dc/terms/" xmlns:xsi="http://www.w3.org/2001/XMLSchema-instance" xsi:type="dcterms:W3CDTF">2026-08-17T00:33:55Z</dcterms:modified>
</cp:coreProperties>
</file>