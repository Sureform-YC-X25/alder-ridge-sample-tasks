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Id5"/>
    <x:sheet xmlns:r="http://schemas.openxmlformats.org/officeDocument/2006/relationships" name="Quarterly KPIs" sheetId="2" r:id="rId6"/>
    <x:sheet xmlns:r="http://schemas.openxmlformats.org/officeDocument/2006/relationships" name="Board Performance" sheetId="3" r:id="rId7"/>
    <x:sheet xmlns:r="http://schemas.openxmlformats.org/officeDocument/2006/relationships" name="Data Checks" sheetId="4" r:id="rI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;[Red](#,##0.0000);-"/>
    <x:numFmt numFmtId="201" formatCode="yyyy-mm-dd"/>
  </x:numFmts>
  <x:fonts count="9">
    <x:font>
      <x:sz val="11"/>
      <x:name val="Carlito"/>
    </x:font>
    <x:font>
      <x:b/>
      <x:sz val="10"/>
      <x:color rgb="FF252321"/>
      <x:name val="Aptos"/>
    </x:font>
    <x:font>
      <x:sz val="10"/>
      <x:color rgb="FF8B3A3A"/>
      <x:name val="Aptos"/>
    </x:font>
    <x:font>
      <x:sz val="10"/>
      <x:color rgb="FF252321"/>
      <x:name val="Aptos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9"/>
      <x:color rgb="FFFFFFFF"/>
      <x:name val="Aptos"/>
    </x:font>
    <x:font>
      <x:sz val="8"/>
      <x:color rgb="FF252321"/>
      <x:name val="Aptos"/>
    </x:font>
    <x:font>
      <x:sz val="9"/>
      <x:color rgb="FF252321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E4ECE7"/>
      </x:patternFill>
    </x:fill>
    <x:fill>
      <x:patternFill patternType="solid">
        <x:fgColor rgb="FFF3E6D5"/>
      </x:patternFill>
    </x:fill>
    <x:fill>
      <x:patternFill patternType="solid">
        <x:fgColor rgb="FF8B5E3C"/>
      </x:patternFill>
    </x:fill>
    <x:fill>
      <x:patternFill patternType="solid">
        <x:fgColor rgb="FF5A7669"/>
      </x:patternFill>
    </x:fill>
    <x:fill>
      <x:patternFill patternType="solid">
        <x:fgColor rgb="FFFFF8E1"/>
      </x:patternFill>
    </x:fill>
  </x:fills>
  <x:borders count="9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0C6"/>
      </x:bottom>
    </x:border>
    <x:border>
      <x:top style="hair">
        <x:color rgb="FFD8D0C6"/>
      </x:top>
      <x:bottom style="hair">
        <x:color rgb="FFD8D0C6"/>
      </x:bottom>
    </x:border>
    <x:border>
      <x:top style="hair">
        <x:color rgb="FFD8D0C6"/>
      </x:top>
    </x:border>
    <x:border>
      <x:bottom style="thin">
        <x:color rgb="FFD8D0C6"/>
      </x:bottom>
    </x:border>
    <x:border>
      <x:top style="thin">
        <x:color rgb="FFD8D0C6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vertical="center" wrapText="1"/>
    </x:xf>
    <x:xf numFmtId="200" fontId="7" fillId="0" borderId="6" xfId="0" applyNumberFormat="1" applyFont="1" applyFill="1" applyBorder="1" applyAlignment="1">
      <x:alignment vertical="center" wrapText="1"/>
    </x:xf>
    <x:xf numFmtId="201" fontId="7" fillId="0" borderId="4" xfId="0" applyNumberFormat="1" applyFont="1" applyFill="1" applyBorder="1" applyAlignment="1">
      <x:alignment vertical="center" wrapText="1"/>
    </x:xf>
    <x:xf numFmtId="201" fontId="7" fillId="0" borderId="5" xfId="0" applyNumberFormat="1" applyFont="1" applyFill="1" applyBorder="1" applyAlignment="1">
      <x:alignment vertical="center" wrapText="1"/>
    </x:xf>
    <x:xf numFmtId="201" fontId="7" fillId="0" borderId="6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4" /><Relationship Type="http://schemas.openxmlformats.org/officeDocument/2006/relationships/sharedStrings" Target="/xl/sharedStrings.xml" Id="rId2" /><Relationship Type="http://schemas.openxmlformats.org/officeDocument/2006/relationships/worksheet" Target="/xl/worksheets/sheet1.xml" Id="rId5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microsoft.com/office/2017/10/relationships/person" Target="/xl/persons/person.xml" Id="rId1" /></Relationships>
</file>

<file path=xl/persons/person.xml><?xml version="1.0" encoding="utf-8"?>
<xltc:personList xmlns:xltc="http://schemas.microsoft.com/office/spreadsheetml/2018/threadedcomments">
  <xltc:person displayName="Alder Ridge Finance" id="{F2631CD7-054D-8907-CF1A-AAE021A34DE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25" customHeight="1">
      <x:c r="A1" s="6"/>
    </x:row>
    <x:row r="2" ht="25" customHeight="1"/>
    <x:row r="4">
      <x:c r="A4" s="2" t="str">
        <x:v>Company</x:v>
      </x:c>
      <x:c r="B4" s="5" t="str">
        <x:v>Alder Ridge Mechanical</x:v>
      </x:c>
    </x:row>
    <x:row r="5">
      <x:c r="A5" s="2" t="str">
        <x:v>Reporting cutoff</x:v>
      </x:c>
      <x:c r="B5" s="5" t="str">
        <x:v>2026-06-30</x:v>
      </x:c>
    </x:row>
    <x:row r="6">
      <x:c r="A6" s="2" t="str">
        <x:v>Review date</x:v>
      </x:c>
      <x:c r="B6" s="5" t="str">
        <x:v>2026-07-05</x:v>
      </x:c>
    </x:row>
    <x:row r="7">
      <x:c r="A7" s="2" t="str">
        <x:v>Version</x:v>
      </x:c>
      <x:c r="B7" s="5" t="str">
        <x:v>Prior working version</x:v>
      </x:c>
    </x:row>
    <x:row r="8">
      <x:c r="A8" s="2" t="str">
        <x:v>Workbook status</x:v>
      </x:c>
      <x:c r="B8" s="5" t="str">
        <x:v>PRIOR REVIEW COPY • NOT CURRENT</x:v>
      </x:c>
    </x:row>
    <x:row r="9">
      <x:c r="A9" s="2" t="str">
        <x:v>Purpose</x:v>
      </x:c>
      <x:c r="B9" s="5" t="str">
        <x:v>Management assumptions and supporting schedules used across the finance review</x:v>
      </x:c>
    </x:row>
    <x:row r="10">
      <x:c r="A10" s="2" t="str">
        <x:v>Authority</x:v>
      </x:c>
      <x:c r="B10" s="5" t="str">
        <x:v>Change history only; resolve current decisions from controller-reviewed sources and correspondence</x:v>
      </x:c>
    </x:row>
    <x:row r="12" ht="42" customHeight="1">
      <x:c r="B12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Q2 management reporting and investor materials | Quarterly KPIs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PRIOR REVIEW COPY - retained for change history; not controller tied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 ht="28.799999237060547" hidden="0" customHeight="1">
      <x:c r="A5" s="39" t="str">
        <x:v>RPT-00031</x:v>
      </x:c>
      <x:c r="B5" s="30" t="str">
        <x:v>Four-quarter KPI history</x:v>
      </x:c>
      <x:c r="C5" s="30" t="str">
        <x:v>Quarterly KPIs</x:v>
      </x:c>
      <x:c r="D5" s="30" t="str">
        <x:v>Alder Ridge</x:v>
      </x:c>
      <x:c r="E5" s="30" t="str">
        <x:v>2026-05 working copy</x:v>
      </x:c>
      <x:c r="F5" s="30" t="str">
        <x:v>Approved case</x:v>
      </x:c>
      <x:c r="G5" s="30" t="str">
        <x:v>Prior-year comparable revenue</x:v>
      </x:c>
      <x:c r="H5" s="33" t="n">
        <x:v>10506000</x:v>
      </x:c>
      <x:c r="I5" s="30" t="str"/>
      <x:c r="J5" s="30" t="str">
        <x:v>USD</x:v>
      </x:c>
      <x:c r="K5" s="30" t="str">
        <x:v>Earlier management working export</x:v>
      </x:c>
      <x:c r="L5" s="36" t="str">
        <x:v>2026-06-24</x:v>
      </x:c>
      <x:c r="M5" s="30" t="str"/>
    </x:row>
    <x:row r="6" ht="28.799999237060547" hidden="0" customHeight="1">
      <x:c r="A6" s="40" t="str">
        <x:v>RPT-00032</x:v>
      </x:c>
      <x:c r="B6" s="31" t="str">
        <x:v>Four-quarter KPI history</x:v>
      </x:c>
      <x:c r="C6" s="31" t="str">
        <x:v>Quarterly KPIs</x:v>
      </x:c>
      <x:c r="D6" s="31" t="str">
        <x:v>Alder Ridge</x:v>
      </x:c>
      <x:c r="E6" s="31" t="str">
        <x:v>2025-Q4</x:v>
      </x:c>
      <x:c r="F6" s="31" t="str">
        <x:v>Management stretch</x:v>
      </x:c>
      <x:c r="G6" s="31" t="str">
        <x:v>Adjusted EBITDA margin</x:v>
      </x:c>
      <x:c r="H6" s="34" t="n">
        <x:v>0.12896</x:v>
      </x:c>
      <x:c r="I6" s="31" t="str"/>
      <x:c r="J6" s="31" t="str">
        <x:v>decimal ratio</x:v>
      </x:c>
      <x:c r="K6" s="31" t="str">
        <x:v>Earlier management working export</x:v>
      </x:c>
      <x:c r="L6" s="37" t="str">
        <x:v>2026-06-24</x:v>
      </x:c>
      <x:c r="M6" s="31" t="str"/>
    </x:row>
    <x:row r="7" ht="28.799999237060547" hidden="0" customHeight="1">
      <x:c r="A7" s="40" t="str">
        <x:v>RPT-00033</x:v>
      </x:c>
      <x:c r="B7" s="31" t="str">
        <x:v>Four-quarter KPI history</x:v>
      </x:c>
      <x:c r="C7" s="31" t="str">
        <x:v>Quarterly KPIs</x:v>
      </x:c>
      <x:c r="D7" s="31" t="str">
        <x:v>Alder Ridge</x:v>
      </x:c>
      <x:c r="E7" s="31" t="str">
        <x:v>2026-05 working copy</x:v>
      </x:c>
      <x:c r="F7" s="31" t="str">
        <x:v>Approved case</x:v>
      </x:c>
      <x:c r="G7" s="31" t="str">
        <x:v>Capital expenditure</x:v>
      </x:c>
      <x:c r="H7" s="34" t="n">
        <x:v>724500</x:v>
      </x:c>
      <x:c r="I7" s="31" t="str"/>
      <x:c r="J7" s="31" t="str">
        <x:v>USD</x:v>
      </x:c>
      <x:c r="K7" s="31" t="str">
        <x:v>Earlier management working export</x:v>
      </x:c>
      <x:c r="L7" s="37" t="str">
        <x:v>2026-06-24</x:v>
      </x:c>
      <x:c r="M7" s="31" t="str"/>
    </x:row>
    <x:row r="8" ht="28.799999237060547" hidden="0" customHeight="1">
      <x:c r="A8" s="40" t="str">
        <x:v>RPT-00034</x:v>
      </x:c>
      <x:c r="B8" s="31" t="str">
        <x:v>Lender and backlog measures</x:v>
      </x:c>
      <x:c r="C8" s="31" t="str">
        <x:v>Credit metrics</x:v>
      </x:c>
      <x:c r="D8" s="31" t="str">
        <x:v>Alder Ridge</x:v>
      </x:c>
      <x:c r="E8" s="31" t="str">
        <x:v>2026-06-30</x:v>
      </x:c>
      <x:c r="F8" s="31" t="str">
        <x:v>Management stretch</x:v>
      </x:c>
      <x:c r="G8" s="31" t="str">
        <x:v>Cash interest LTM</x:v>
      </x:c>
      <x:c r="H8" s="34" t="n">
        <x:v>638600</x:v>
      </x:c>
      <x:c r="I8" s="31" t="str"/>
      <x:c r="J8" s="31" t="str">
        <x:v>USD</x:v>
      </x:c>
      <x:c r="K8" s="31" t="str">
        <x:v>Earlier management working export</x:v>
      </x:c>
      <x:c r="L8" s="37" t="str">
        <x:v>2026-06-24</x:v>
      </x:c>
      <x:c r="M8" s="31" t="str"/>
    </x:row>
    <x:row r="9" ht="28.799999237060547" hidden="0" customHeight="1">
      <x:c r="A9" s="40" t="str">
        <x:v>RPT-00035</x:v>
      </x:c>
      <x:c r="B9" s="31" t="str">
        <x:v>Four-quarter KPI history</x:v>
      </x:c>
      <x:c r="C9" s="31" t="str">
        <x:v>Quarterly KPIs</x:v>
      </x:c>
      <x:c r="D9" s="31" t="str">
        <x:v>Alder Ridge</x:v>
      </x:c>
      <x:c r="E9" s="31" t="str">
        <x:v>2026-05 working copy</x:v>
      </x:c>
      <x:c r="F9" s="31" t="str">
        <x:v>Approved case</x:v>
      </x:c>
      <x:c r="G9" s="31" t="str">
        <x:v>Operating cash flow</x:v>
      </x:c>
      <x:c r="H9" s="34" t="n">
        <x:v>1716000</x:v>
      </x:c>
      <x:c r="I9" s="31" t="str"/>
      <x:c r="J9" s="31" t="str">
        <x:v>USD</x:v>
      </x:c>
      <x:c r="K9" s="31" t="str">
        <x:v>Earlier management working export</x:v>
      </x:c>
      <x:c r="L9" s="37" t="str">
        <x:v>2026-06-24</x:v>
      </x:c>
      <x:c r="M9" s="31" t="str"/>
    </x:row>
    <x:row r="10" ht="28.799999237060547" hidden="0" customHeight="1">
      <x:c r="A10" s="40" t="str">
        <x:v>RPT-00036</x:v>
      </x:c>
      <x:c r="B10" s="31" t="str">
        <x:v>Four-quarter KPI history</x:v>
      </x:c>
      <x:c r="C10" s="31" t="str">
        <x:v>Quarterly KPIs</x:v>
      </x:c>
      <x:c r="D10" s="31" t="str">
        <x:v>Alder Ridge</x:v>
      </x:c>
      <x:c r="E10" s="31" t="str">
        <x:v>2026-Q1</x:v>
      </x:c>
      <x:c r="F10" s="31" t="str">
        <x:v>Management stretch</x:v>
      </x:c>
      <x:c r="G10" s="31" t="str">
        <x:v>Prior-year comparable revenue</x:v>
      </x:c>
      <x:c r="H10" s="34" t="n">
        <x:v>11550000</x:v>
      </x:c>
      <x:c r="I10" s="31" t="str"/>
      <x:c r="J10" s="31" t="str">
        <x:v>USD</x:v>
      </x:c>
      <x:c r="K10" s="31" t="str">
        <x:v>Earlier management working export</x:v>
      </x:c>
      <x:c r="L10" s="37" t="str">
        <x:v>2026-06-24</x:v>
      </x:c>
      <x:c r="M10" s="31" t="str"/>
    </x:row>
    <x:row r="11" ht="28.799999237060547" hidden="0" customHeight="1">
      <x:c r="A11" s="40" t="str">
        <x:v>RPT-00037</x:v>
      </x:c>
      <x:c r="B11" s="31" t="str">
        <x:v>Four-quarter KPI history</x:v>
      </x:c>
      <x:c r="C11" s="31" t="str">
        <x:v>Quarterly KPIs</x:v>
      </x:c>
      <x:c r="D11" s="31" t="str">
        <x:v>Alder Ridge</x:v>
      </x:c>
      <x:c r="E11" s="31" t="str">
        <x:v>2026-05 working copy</x:v>
      </x:c>
      <x:c r="F11" s="31" t="str">
        <x:v>Approved case</x:v>
      </x:c>
      <x:c r="G11" s="31" t="str">
        <x:v>Adjusted EBITDA margin</x:v>
      </x:c>
      <x:c r="H11" s="34" t="n">
        <x:v>0.14008</x:v>
      </x:c>
      <x:c r="I11" s="31" t="str"/>
      <x:c r="J11" s="31" t="str">
        <x:v>decimal ratio</x:v>
      </x:c>
      <x:c r="K11" s="31" t="str">
        <x:v>Earlier management working export</x:v>
      </x:c>
      <x:c r="L11" s="37" t="str">
        <x:v>2026-06-24</x:v>
      </x:c>
      <x:c r="M11" s="31" t="str"/>
    </x:row>
    <x:row r="12" ht="28.799999237060547" hidden="0" customHeight="1">
      <x:c r="A12" s="40" t="str">
        <x:v>RPT-00038</x:v>
      </x:c>
      <x:c r="B12" s="31" t="str">
        <x:v>Lender and backlog measures</x:v>
      </x:c>
      <x:c r="C12" s="31" t="str">
        <x:v>Credit metrics</x:v>
      </x:c>
      <x:c r="D12" s="31" t="str">
        <x:v>Alder Ridge</x:v>
      </x:c>
      <x:c r="E12" s="31" t="str">
        <x:v>2026-06-30</x:v>
      </x:c>
      <x:c r="F12" s="31" t="str">
        <x:v>Management stretch</x:v>
      </x:c>
      <x:c r="G12" s="31" t="str">
        <x:v>Distributions LTM</x:v>
      </x:c>
      <x:c r="H12" s="34" t="n">
        <x:v>416000</x:v>
      </x:c>
      <x:c r="I12" s="31" t="str"/>
      <x:c r="J12" s="31" t="str">
        <x:v>USD</x:v>
      </x:c>
      <x:c r="K12" s="31" t="str">
        <x:v>Earlier management working export</x:v>
      </x:c>
      <x:c r="L12" s="37" t="str">
        <x:v>2026-06-24</x:v>
      </x:c>
      <x:c r="M12" s="31" t="str"/>
    </x:row>
    <x:row r="13" ht="28.799999237060547" hidden="0" customHeight="1">
      <x:c r="A13" s="40" t="str">
        <x:v>RPT-00039</x:v>
      </x:c>
      <x:c r="B13" s="31" t="str">
        <x:v>Four-quarter KPI history</x:v>
      </x:c>
      <x:c r="C13" s="31" t="str">
        <x:v>Quarterly KPIs</x:v>
      </x:c>
      <x:c r="D13" s="31" t="str">
        <x:v>Alder Ridge</x:v>
      </x:c>
      <x:c r="E13" s="31" t="str">
        <x:v>2026-05 working copy</x:v>
      </x:c>
      <x:c r="F13" s="31" t="str">
        <x:v>Approved case</x:v>
      </x:c>
      <x:c r="G13" s="31" t="str">
        <x:v>Acquisition revenue</x:v>
      </x:c>
      <x:c r="H13" s="34" t="n">
        <x:v>0</x:v>
      </x:c>
      <x:c r="I13" s="31" t="str"/>
      <x:c r="J13" s="31" t="str">
        <x:v>USD</x:v>
      </x:c>
      <x:c r="K13" s="31" t="str">
        <x:v>Earlier management working export</x:v>
      </x:c>
      <x:c r="L13" s="37" t="str">
        <x:v>2026-06-24</x:v>
      </x:c>
      <x:c r="M13" s="31" t="str"/>
    </x:row>
    <x:row r="14" ht="28.799999237060547" hidden="0" customHeight="1">
      <x:c r="A14" s="40" t="str">
        <x:v>RPT-00040</x:v>
      </x:c>
      <x:c r="B14" s="31" t="str">
        <x:v>Four-quarter KPI history</x:v>
      </x:c>
      <x:c r="C14" s="31" t="str">
        <x:v>Quarterly KPIs</x:v>
      </x:c>
      <x:c r="D14" s="31" t="str">
        <x:v>Alder Ridge</x:v>
      </x:c>
      <x:c r="E14" s="31" t="str">
        <x:v>2026-Q1</x:v>
      </x:c>
      <x:c r="F14" s="31" t="str">
        <x:v>Management stretch</x:v>
      </x:c>
      <x:c r="G14" s="31" t="str">
        <x:v>Operating cash flow</x:v>
      </x:c>
      <x:c r="H14" s="34" t="n">
        <x:v>1946700</x:v>
      </x:c>
      <x:c r="I14" s="31" t="str"/>
      <x:c r="J14" s="31" t="str">
        <x:v>USD</x:v>
      </x:c>
      <x:c r="K14" s="31" t="str">
        <x:v>Earlier management working export</x:v>
      </x:c>
      <x:c r="L14" s="37" t="str">
        <x:v>2026-06-24</x:v>
      </x:c>
      <x:c r="M14" s="31" t="str"/>
    </x:row>
    <x:row r="15" ht="28.799999237060547" hidden="0" customHeight="1">
      <x:c r="A15" s="40" t="str">
        <x:v>RPT-00422</x:v>
      </x:c>
      <x:c r="B15" s="31" t="str">
        <x:v>Four-quarter KPI history</x:v>
      </x:c>
      <x:c r="C15" s="31" t="str">
        <x:v>Restated quarterly KPI series</x:v>
      </x:c>
      <x:c r="D15" s="31" t="str">
        <x:v>Alder Ridge</x:v>
      </x:c>
      <x:c r="E15" s="31" t="str">
        <x:v>2026-05 working copy</x:v>
      </x:c>
      <x:c r="F15" s="31" t="str">
        <x:v>Approved case</x:v>
      </x:c>
      <x:c r="G15" s="31" t="str">
        <x:v>Revenue</x:v>
      </x:c>
      <x:c r="H15" s="34" t="n">
        <x:v>11762600</x:v>
      </x:c>
      <x:c r="I15" s="31" t="str"/>
      <x:c r="J15" s="31" t="str">
        <x:v>USD</x:v>
      </x:c>
      <x:c r="K15" s="31" t="str">
        <x:v>Earlier management working export</x:v>
      </x:c>
      <x:c r="L15" s="37" t="str">
        <x:v>2026-06-24</x:v>
      </x:c>
      <x:c r="M15" s="31" t="str"/>
    </x:row>
    <x:row r="16" ht="28.799999237060547" hidden="0" customHeight="1">
      <x:c r="A16" s="40" t="str">
        <x:v>RPT-00423</x:v>
      </x:c>
      <x:c r="B16" s="31" t="str">
        <x:v>Four-quarter KPI history</x:v>
      </x:c>
      <x:c r="C16" s="31" t="str">
        <x:v>Restated quarterly KPI series</x:v>
      </x:c>
      <x:c r="D16" s="31" t="str">
        <x:v>Alder Ridge</x:v>
      </x:c>
      <x:c r="E16" s="31" t="str">
        <x:v>Q4 FY25</x:v>
      </x:c>
      <x:c r="F16" s="31" t="str">
        <x:v>Management stretch</x:v>
      </x:c>
      <x:c r="G16" s="31" t="str">
        <x:v>Operating cash flow</x:v>
      </x:c>
      <x:c r="H16" s="34" t="n">
        <x:v>1331200</x:v>
      </x:c>
      <x:c r="I16" s="31" t="str"/>
      <x:c r="J16" s="31" t="str">
        <x:v>USD</x:v>
      </x:c>
      <x:c r="K16" s="31" t="str">
        <x:v>Earlier management working export</x:v>
      </x:c>
      <x:c r="L16" s="37" t="str">
        <x:v>2026-06-24</x:v>
      </x:c>
      <x:c r="M16" s="31" t="str"/>
    </x:row>
    <x:row r="17" ht="28.799999237060547" hidden="0" customHeight="1">
      <x:c r="A17" s="40" t="str">
        <x:v>RPT-00424</x:v>
      </x:c>
      <x:c r="B17" s="31" t="str">
        <x:v>Four-quarter KPI history</x:v>
      </x:c>
      <x:c r="C17" s="31" t="str">
        <x:v>Restated quarterly KPI series</x:v>
      </x:c>
      <x:c r="D17" s="31" t="str">
        <x:v>Alder Ridge</x:v>
      </x:c>
      <x:c r="E17" s="31" t="str">
        <x:v>2026-05 working copy</x:v>
      </x:c>
      <x:c r="F17" s="31" t="str">
        <x:v>Approved case</x:v>
      </x:c>
      <x:c r="G17" s="31" t="str">
        <x:v>Funded debt</x:v>
      </x:c>
      <x:c r="H17" s="34" t="n">
        <x:v>10374000</x:v>
      </x:c>
      <x:c r="I17" s="31" t="str"/>
      <x:c r="J17" s="31" t="str">
        <x:v>USD</x:v>
      </x:c>
      <x:c r="K17" s="31" t="str">
        <x:v>Earlier management working export</x:v>
      </x:c>
      <x:c r="L17" s="37" t="str">
        <x:v>2026-06-24</x:v>
      </x:c>
      <x:c r="M17" s="31" t="str"/>
    </x:row>
    <x:row r="18" ht="38.400001525878906" hidden="0" customHeight="1">
      <x:c r="A18" s="40" t="str">
        <x:v>RPT-00425</x:v>
      </x:c>
      <x:c r="B18" s="31" t="str">
        <x:v>KPI definition history</x:v>
      </x:c>
      <x:c r="C18" s="31" t="str">
        <x:v>Historical EBITDA definition restatement</x:v>
      </x:c>
      <x:c r="D18" s="31" t="str">
        <x:v>Alder Ridge</x:v>
      </x:c>
      <x:c r="E18" s="31" t="str">
        <x:v>Q4 FY25</x:v>
      </x:c>
      <x:c r="F18" s="31" t="str">
        <x:v>Management stretch</x:v>
      </x:c>
      <x:c r="G18" s="31" t="str">
        <x:v>EBITDA change</x:v>
      </x:c>
      <x:c r="H18" s="34" t="n">
        <x:v>92700</x:v>
      </x:c>
      <x:c r="I18" s="31" t="str"/>
      <x:c r="J18" s="31" t="str">
        <x:v>USD</x:v>
      </x:c>
      <x:c r="K18" s="31" t="str">
        <x:v>Earlier management working export</x:v>
      </x:c>
      <x:c r="L18" s="37" t="str">
        <x:v>2026-06-24</x:v>
      </x:c>
      <x:c r="M18" s="31" t="str"/>
    </x:row>
    <x:row r="19" ht="28.799999237060547" hidden="0" customHeight="1">
      <x:c r="A19" s="40" t="str">
        <x:v>RPT-00426</x:v>
      </x:c>
      <x:c r="B19" s="31" t="str">
        <x:v>Four-quarter KPI history</x:v>
      </x:c>
      <x:c r="C19" s="31" t="str">
        <x:v>Restated quarterly KPI series</x:v>
      </x:c>
      <x:c r="D19" s="31" t="str">
        <x:v>Alder Ridge</x:v>
      </x:c>
      <x:c r="E19" s="31" t="str">
        <x:v>2026-05 working copy</x:v>
      </x:c>
      <x:c r="F19" s="31" t="str">
        <x:v>Approved case</x:v>
      </x:c>
      <x:c r="G19" s="31" t="str">
        <x:v>Revenue</x:v>
      </x:c>
      <x:c r="H19" s="34" t="n">
        <x:v>11876800</x:v>
      </x:c>
      <x:c r="I19" s="31" t="str"/>
      <x:c r="J19" s="31" t="str">
        <x:v>USD</x:v>
      </x:c>
      <x:c r="K19" s="31" t="str">
        <x:v>Earlier management working export</x:v>
      </x:c>
      <x:c r="L19" s="37" t="str">
        <x:v>2026-06-24</x:v>
      </x:c>
      <x:c r="M19" s="31" t="str"/>
    </x:row>
    <x:row r="20" ht="28.799999237060547" hidden="0" customHeight="1">
      <x:c r="A20" s="40" t="str">
        <x:v>RPT-00427</x:v>
      </x:c>
      <x:c r="B20" s="31" t="str">
        <x:v>Four-quarter KPI history</x:v>
      </x:c>
      <x:c r="C20" s="31" t="str">
        <x:v>Restated quarterly KPI series</x:v>
      </x:c>
      <x:c r="D20" s="31" t="str">
        <x:v>Alder Ridge</x:v>
      </x:c>
      <x:c r="E20" s="31" t="str">
        <x:v>Q4 FY25</x:v>
      </x:c>
      <x:c r="F20" s="31" t="str">
        <x:v>Management stretch</x:v>
      </x:c>
      <x:c r="G20" s="31" t="str">
        <x:v>Operating cash flow</x:v>
      </x:c>
      <x:c r="H20" s="34" t="n">
        <x:v>1344000</x:v>
      </x:c>
      <x:c r="I20" s="31" t="str"/>
      <x:c r="J20" s="31" t="str">
        <x:v>USD</x:v>
      </x:c>
      <x:c r="K20" s="31" t="str">
        <x:v>Earlier management working export</x:v>
      </x:c>
      <x:c r="L20" s="37" t="str">
        <x:v>2026-06-24</x:v>
      </x:c>
      <x:c r="M20" s="31" t="str"/>
    </x:row>
    <x:row r="21" ht="28.799999237060547" hidden="0" customHeight="1">
      <x:c r="A21" s="40" t="str">
        <x:v>RPT-00428</x:v>
      </x:c>
      <x:c r="B21" s="31" t="str">
        <x:v>Four-quarter KPI history</x:v>
      </x:c>
      <x:c r="C21" s="31" t="str">
        <x:v>Restated quarterly KPI series</x:v>
      </x:c>
      <x:c r="D21" s="31" t="str">
        <x:v>Alder Ridge</x:v>
      </x:c>
      <x:c r="E21" s="31" t="str">
        <x:v>2026-05 working copy</x:v>
      </x:c>
      <x:c r="F21" s="31" t="str">
        <x:v>Approved case</x:v>
      </x:c>
      <x:c r="G21" s="31" t="str">
        <x:v>Funded debt</x:v>
      </x:c>
      <x:c r="H21" s="34" t="n">
        <x:v>10176400</x:v>
      </x:c>
      <x:c r="I21" s="31" t="str"/>
      <x:c r="J21" s="31" t="str">
        <x:v>USD</x:v>
      </x:c>
      <x:c r="K21" s="31" t="str">
        <x:v>Earlier management working export</x:v>
      </x:c>
      <x:c r="L21" s="37" t="str">
        <x:v>2026-06-24</x:v>
      </x:c>
      <x:c r="M21" s="31" t="str"/>
    </x:row>
    <x:row r="22" ht="38.400001525878906" hidden="0" customHeight="1">
      <x:c r="A22" s="40" t="str">
        <x:v>RPT-00429</x:v>
      </x:c>
      <x:c r="B22" s="31" t="str">
        <x:v>KPI definition history</x:v>
      </x:c>
      <x:c r="C22" s="31" t="str">
        <x:v>Historical EBITDA definition restatement</x:v>
      </x:c>
      <x:c r="D22" s="31" t="str">
        <x:v>Alder Ridge</x:v>
      </x:c>
      <x:c r="E22" s="31" t="str">
        <x:v>Q4 FY25</x:v>
      </x:c>
      <x:c r="F22" s="31" t="str">
        <x:v>Management stretch</x:v>
      </x:c>
      <x:c r="G22" s="31" t="str">
        <x:v>EBITDA change</x:v>
      </x:c>
      <x:c r="H22" s="34" t="n">
        <x:v>93600</x:v>
      </x:c>
      <x:c r="I22" s="31" t="str"/>
      <x:c r="J22" s="31" t="str">
        <x:v>USD</x:v>
      </x:c>
      <x:c r="K22" s="31" t="str">
        <x:v>Earlier management working export</x:v>
      </x:c>
      <x:c r="L22" s="37" t="str">
        <x:v>2026-06-24</x:v>
      </x:c>
      <x:c r="M22" s="31" t="str"/>
    </x:row>
    <x:row r="23" ht="28.799999237060547" hidden="0" customHeight="1">
      <x:c r="A23" s="40" t="str">
        <x:v>RPT-00430</x:v>
      </x:c>
      <x:c r="B23" s="31" t="str">
        <x:v>Four-quarter KPI history</x:v>
      </x:c>
      <x:c r="C23" s="31" t="str">
        <x:v>Restated quarterly KPI series</x:v>
      </x:c>
      <x:c r="D23" s="31" t="str">
        <x:v>Alder Ridge</x:v>
      </x:c>
      <x:c r="E23" s="31" t="str">
        <x:v>2026-05 working copy</x:v>
      </x:c>
      <x:c r="F23" s="31" t="str">
        <x:v>Approved case</x:v>
      </x:c>
      <x:c r="G23" s="31" t="str">
        <x:v>Revenue</x:v>
      </x:c>
      <x:c r="H23" s="34" t="n">
        <x:v>11991000</x:v>
      </x:c>
      <x:c r="I23" s="31" t="str"/>
      <x:c r="J23" s="31" t="str">
        <x:v>USD</x:v>
      </x:c>
      <x:c r="K23" s="31" t="str">
        <x:v>Earlier management working export</x:v>
      </x:c>
      <x:c r="L23" s="37" t="str">
        <x:v>2026-06-24</x:v>
      </x:c>
      <x:c r="M23" s="31" t="str"/>
    </x:row>
    <x:row r="24" ht="28.799999237060547" hidden="0" customHeight="1">
      <x:c r="A24" s="40" t="str">
        <x:v>RPT-00431</x:v>
      </x:c>
      <x:c r="B24" s="31" t="str">
        <x:v>Four-quarter KPI history</x:v>
      </x:c>
      <x:c r="C24" s="31" t="str">
        <x:v>Restated quarterly KPI series</x:v>
      </x:c>
      <x:c r="D24" s="31" t="str">
        <x:v>Alder Ridge</x:v>
      </x:c>
      <x:c r="E24" s="31" t="str">
        <x:v>Q4 FY25</x:v>
      </x:c>
      <x:c r="F24" s="31" t="str">
        <x:v>Management stretch</x:v>
      </x:c>
      <x:c r="G24" s="31" t="str">
        <x:v>Operating cash flow</x:v>
      </x:c>
      <x:c r="H24" s="34" t="n">
        <x:v>1318400</x:v>
      </x:c>
      <x:c r="I24" s="31" t="str"/>
      <x:c r="J24" s="31" t="str">
        <x:v>USD</x:v>
      </x:c>
      <x:c r="K24" s="31" t="str">
        <x:v>Earlier management working export</x:v>
      </x:c>
      <x:c r="L24" s="37" t="str">
        <x:v>2026-06-24</x:v>
      </x:c>
      <x:c r="M24" s="31" t="str"/>
    </x:row>
    <x:row r="25" ht="28.799999237060547" hidden="0" customHeight="1">
      <x:c r="A25" s="40" t="str">
        <x:v>RPT-00432</x:v>
      </x:c>
      <x:c r="B25" s="31" t="str">
        <x:v>Four-quarter KPI history</x:v>
      </x:c>
      <x:c r="C25" s="31" t="str">
        <x:v>Restated quarterly KPI series</x:v>
      </x:c>
      <x:c r="D25" s="31" t="str">
        <x:v>Alder Ridge</x:v>
      </x:c>
      <x:c r="E25" s="31" t="str">
        <x:v>2026-05 working copy</x:v>
      </x:c>
      <x:c r="F25" s="31" t="str">
        <x:v>Approved case</x:v>
      </x:c>
      <x:c r="G25" s="31" t="str">
        <x:v>Funded debt</x:v>
      </x:c>
      <x:c r="H25" s="34" t="n">
        <x:v>10275200</x:v>
      </x:c>
      <x:c r="I25" s="31" t="str"/>
      <x:c r="J25" s="31" t="str">
        <x:v>USD</x:v>
      </x:c>
      <x:c r="K25" s="31" t="str">
        <x:v>Earlier management working export</x:v>
      </x:c>
      <x:c r="L25" s="37" t="str">
        <x:v>2026-06-24</x:v>
      </x:c>
      <x:c r="M25" s="31" t="str"/>
    </x:row>
    <x:row r="26" ht="38.400001525878906" hidden="0" customHeight="1">
      <x:c r="A26" s="40" t="str">
        <x:v>RPT-00433</x:v>
      </x:c>
      <x:c r="B26" s="31" t="str">
        <x:v>KPI definition history</x:v>
      </x:c>
      <x:c r="C26" s="31" t="str">
        <x:v>Historical EBITDA definition restatement</x:v>
      </x:c>
      <x:c r="D26" s="31" t="str">
        <x:v>Alder Ridge</x:v>
      </x:c>
      <x:c r="E26" s="31" t="str">
        <x:v>Q4 FY25</x:v>
      </x:c>
      <x:c r="F26" s="31" t="str">
        <x:v>Management stretch</x:v>
      </x:c>
      <x:c r="G26" s="31" t="str">
        <x:v>EBITDA change</x:v>
      </x:c>
      <x:c r="H26" s="34" t="n">
        <x:v>94500</x:v>
      </x:c>
      <x:c r="I26" s="31" t="str"/>
      <x:c r="J26" s="31" t="str">
        <x:v>USD</x:v>
      </x:c>
      <x:c r="K26" s="31" t="str">
        <x:v>Earlier management working export</x:v>
      </x:c>
      <x:c r="L26" s="37" t="str">
        <x:v>2026-06-24</x:v>
      </x:c>
      <x:c r="M26" s="31" t="str"/>
    </x:row>
    <x:row r="27" ht="28.799999237060547" hidden="0" customHeight="1">
      <x:c r="A27" s="40" t="str">
        <x:v>RPT-00445</x:v>
      </x:c>
      <x:c r="B27" s="31" t="str">
        <x:v>KPI definition history</x:v>
      </x:c>
      <x:c r="C27" s="31" t="str">
        <x:v>KPI scope bridge</x:v>
      </x:c>
      <x:c r="D27" s="31" t="str">
        <x:v>Alder Ridge</x:v>
      </x:c>
      <x:c r="E27" s="31" t="str">
        <x:v>2026-05 working copy</x:v>
      </x:c>
      <x:c r="F27" s="31" t="str">
        <x:v>Approved case</x:v>
      </x:c>
      <x:c r="G27" s="31" t="str">
        <x:v>Acquired revenue</x:v>
      </x:c>
      <x:c r="H27" s="34" t="n">
        <x:v>0</x:v>
      </x:c>
      <x:c r="I27" s="31" t="str"/>
      <x:c r="J27" s="31" t="str">
        <x:v>USD</x:v>
      </x:c>
      <x:c r="K27" s="31" t="str">
        <x:v>Earlier management working export</x:v>
      </x:c>
      <x:c r="L27" s="37" t="str">
        <x:v>2026-06-24</x:v>
      </x:c>
      <x:c r="M27" s="31" t="str"/>
    </x:row>
    <x:row r="28" ht="28.799999237060547" hidden="0" customHeight="1">
      <x:c r="A28" s="40" t="str">
        <x:v>RPT-00446</x:v>
      </x:c>
      <x:c r="B28" s="31" t="str">
        <x:v>KPI definition history</x:v>
      </x:c>
      <x:c r="C28" s="31" t="str">
        <x:v>KPI scope bridge</x:v>
      </x:c>
      <x:c r="D28" s="31" t="str">
        <x:v>Alder Ridge</x:v>
      </x:c>
      <x:c r="E28" s="31" t="str">
        <x:v>Q2 FY26</x:v>
      </x:c>
      <x:c r="F28" s="31" t="str">
        <x:v>Management stretch</x:v>
      </x:c>
      <x:c r="G28" s="31" t="str">
        <x:v>Disposed revenue</x:v>
      </x:c>
      <x:c r="H28" s="34" t="n">
        <x:v>124800</x:v>
      </x:c>
      <x:c r="I28" s="31" t="str"/>
      <x:c r="J28" s="31" t="str">
        <x:v>USD</x:v>
      </x:c>
      <x:c r="K28" s="31" t="str">
        <x:v>Earlier management working export</x:v>
      </x:c>
      <x:c r="L28" s="37" t="str">
        <x:v>2026-06-24</x:v>
      </x:c>
      <x:c r="M28" s="31" t="str"/>
    </x:row>
    <x:row r="29" ht="28.799999237060547" hidden="0" customHeight="1">
      <x:c r="A29" s="40" t="str">
        <x:v>RPT-00447</x:v>
      </x:c>
      <x:c r="B29" s="31" t="str">
        <x:v>KPI definition history</x:v>
      </x:c>
      <x:c r="C29" s="31" t="str">
        <x:v>KPI scope bridge</x:v>
      </x:c>
      <x:c r="D29" s="31" t="str">
        <x:v>Alder Ridge</x:v>
      </x:c>
      <x:c r="E29" s="31" t="str">
        <x:v>2026-05 working copy</x:v>
      </x:c>
      <x:c r="F29" s="31" t="str">
        <x:v>Approved case</x:v>
      </x:c>
      <x:c r="G29" s="31" t="str">
        <x:v>Disposed revenue</x:v>
      </x:c>
      <x:c r="H29" s="34" t="n">
        <x:v>0</x:v>
      </x:c>
      <x:c r="I29" s="31" t="str"/>
      <x:c r="J29" s="31" t="str">
        <x:v>USD</x:v>
      </x:c>
      <x:c r="K29" s="31" t="str">
        <x:v>Earlier management working export</x:v>
      </x:c>
      <x:c r="L29" s="37" t="str">
        <x:v>2026-06-24</x:v>
      </x:c>
      <x:c r="M29" s="31" t="str"/>
    </x:row>
    <x:row r="30" ht="38.400001525878906" hidden="0" customHeight="1">
      <x:c r="A30" s="40" t="str">
        <x:v>RPT-00448</x:v>
      </x:c>
      <x:c r="B30" s="31" t="str">
        <x:v>External reporting measures</x:v>
      </x:c>
      <x:c r="C30" s="31" t="str">
        <x:v>Investor KPI controls</x:v>
      </x:c>
      <x:c r="D30" s="31" t="str">
        <x:v>Alder Ridge</x:v>
      </x:c>
      <x:c r="E30" s="31" t="str">
        <x:v>Current definition review</x:v>
      </x:c>
      <x:c r="F30" s="31" t="str">
        <x:v>Management stretch</x:v>
      </x:c>
      <x:c r="G30" s="31" t="str">
        <x:v>Restricted cash excluded from covenant net debt</x:v>
      </x:c>
      <x:c r="H30" s="34" t="n">
        <x:v>422300</x:v>
      </x:c>
      <x:c r="I30" s="31" t="str"/>
      <x:c r="J30" s="31" t="str">
        <x:v>USD</x:v>
      </x:c>
      <x:c r="K30" s="31" t="str">
        <x:v>Earlier management working export</x:v>
      </x:c>
      <x:c r="L30" s="37" t="str">
        <x:v>2026-06-24</x:v>
      </x:c>
      <x:c r="M30" s="31" t="str"/>
    </x:row>
    <x:row r="31" ht="28.799999237060547" hidden="0" customHeight="1">
      <x:c r="A31" s="40" t="str">
        <x:v>RPT-00449</x:v>
      </x:c>
      <x:c r="B31" s="31" t="str">
        <x:v>KPI definition history</x:v>
      </x:c>
      <x:c r="C31" s="31" t="str">
        <x:v>KPI scope bridge</x:v>
      </x:c>
      <x:c r="D31" s="31" t="str">
        <x:v>Alder Ridge</x:v>
      </x:c>
      <x:c r="E31" s="31" t="str">
        <x:v>2026-05 working copy</x:v>
      </x:c>
      <x:c r="F31" s="31" t="str">
        <x:v>Approved case</x:v>
      </x:c>
      <x:c r="G31" s="31" t="str">
        <x:v>Acquired revenue</x:v>
      </x:c>
      <x:c r="H31" s="34" t="n">
        <x:v>582400</x:v>
      </x:c>
      <x:c r="I31" s="31" t="str"/>
      <x:c r="J31" s="31" t="str">
        <x:v>USD</x:v>
      </x:c>
      <x:c r="K31" s="31" t="str">
        <x:v>Earlier management working export</x:v>
      </x:c>
      <x:c r="L31" s="37" t="str">
        <x:v>2026-06-24</x:v>
      </x:c>
      <x:c r="M31" s="31" t="str"/>
    </x:row>
    <x:row r="32" ht="28.799999237060547" hidden="0" customHeight="1">
      <x:c r="A32" s="40" t="str">
        <x:v>RPT-00450</x:v>
      </x:c>
      <x:c r="B32" s="31" t="str">
        <x:v>KPI definition history</x:v>
      </x:c>
      <x:c r="C32" s="31" t="str">
        <x:v>KPI scope bridge</x:v>
      </x:c>
      <x:c r="D32" s="31" t="str">
        <x:v>Alder Ridge</x:v>
      </x:c>
      <x:c r="E32" s="31" t="str">
        <x:v>Q4 FY25</x:v>
      </x:c>
      <x:c r="F32" s="31" t="str">
        <x:v>Management stretch</x:v>
      </x:c>
      <x:c r="G32" s="31" t="str">
        <x:v>Acquired revenue</x:v>
      </x:c>
      <x:c r="H32" s="34" t="n">
        <x:v>231000</x:v>
      </x:c>
      <x:c r="I32" s="31" t="str"/>
      <x:c r="J32" s="31" t="str">
        <x:v>USD</x:v>
      </x:c>
      <x:c r="K32" s="31" t="str">
        <x:v>Earlier management working export</x:v>
      </x:c>
      <x:c r="L32" s="37" t="str">
        <x:v>2026-06-24</x:v>
      </x:c>
      <x:c r="M32" s="31" t="str"/>
    </x:row>
    <x:row r="33" ht="38.400001525878906" hidden="0" customHeight="1">
      <x:c r="A33" s="40" t="str">
        <x:v>RPT-00455</x:v>
      </x:c>
      <x:c r="B33" s="31" t="str">
        <x:v>KPI definition history</x:v>
      </x:c>
      <x:c r="C33" s="31" t="str">
        <x:v>Investor KPI pending scope review</x:v>
      </x:c>
      <x:c r="D33" s="31" t="str">
        <x:v>Alder Ridge</x:v>
      </x:c>
      <x:c r="E33" s="31" t="str">
        <x:v>2026-05 working copy</x:v>
      </x:c>
      <x:c r="F33" s="31" t="str">
        <x:v>Approved case</x:v>
      </x:c>
      <x:c r="G33" s="31" t="str">
        <x:v>Pending acquired revenue exclusion</x:v>
      </x:c>
      <x:c r="H33" s="34" t="n">
        <x:v>350200</x:v>
      </x:c>
      <x:c r="I33" s="31" t="str"/>
      <x:c r="J33" s="31" t="str">
        <x:v>USD</x:v>
      </x:c>
      <x:c r="K33" s="31" t="str">
        <x:v>Earlier management working export</x:v>
      </x:c>
      <x:c r="L33" s="37" t="str">
        <x:v>2026-06-24</x:v>
      </x:c>
      <x:c r="M33" s="31" t="str"/>
    </x:row>
    <x:row r="34" ht="28.799999237060547" hidden="0" customHeight="1">
      <x:c r="A34" s="40" t="str">
        <x:v>RPT-00456</x:v>
      </x:c>
      <x:c r="B34" s="31" t="str">
        <x:v>KPI definition history</x:v>
      </x:c>
      <x:c r="C34" s="31" t="str">
        <x:v>Investor KPI pending scope review</x:v>
      </x:c>
      <x:c r="D34" s="31" t="str">
        <x:v>Alder Ridge</x:v>
      </x:c>
      <x:c r="E34" s="31" t="str">
        <x:v>Management review</x:v>
      </x:c>
      <x:c r="F34" s="31" t="str">
        <x:v>Management stretch</x:v>
      </x:c>
      <x:c r="G34" s="31" t="str">
        <x:v>Additional restricted cash exclusion</x:v>
      </x:c>
      <x:c r="H34" s="34" t="n">
        <x:v>104000</x:v>
      </x:c>
      <x:c r="I34" s="31" t="str"/>
      <x:c r="J34" s="31" t="str">
        <x:v>USD</x:v>
      </x:c>
      <x:c r="K34" s="31" t="str">
        <x:v>Earlier management working export</x:v>
      </x:c>
      <x:c r="L34" s="37" t="str">
        <x:v>2026-06-24</x:v>
      </x:c>
      <x:c r="M34" s="31" t="str"/>
    </x:row>
    <x:row r="35" ht="38.400001525878906" hidden="0" customHeight="1">
      <x:c r="A35" s="40" t="str">
        <x:v>RPT-00457</x:v>
      </x:c>
      <x:c r="B35" s="31" t="str">
        <x:v>KPI definition history</x:v>
      </x:c>
      <x:c r="C35" s="31" t="str">
        <x:v>Investor KPI pending scope review</x:v>
      </x:c>
      <x:c r="D35" s="31" t="str">
        <x:v>Alder Ridge</x:v>
      </x:c>
      <x:c r="E35" s="31" t="str">
        <x:v>2026-05 working copy</x:v>
      </x:c>
      <x:c r="F35" s="31" t="str">
        <x:v>Approved case</x:v>
      </x:c>
      <x:c r="G35" s="31" t="str">
        <x:v>Pending adjusted EBITDA reduction</x:v>
      </x:c>
      <x:c r="H35" s="34" t="n">
        <x:v>189000</x:v>
      </x:c>
      <x:c r="I35" s="31" t="str"/>
      <x:c r="J35" s="31" t="str">
        <x:v>USD</x:v>
      </x:c>
      <x:c r="K35" s="31" t="str">
        <x:v>Earlier management working export</x:v>
      </x:c>
      <x:c r="L35" s="37" t="str">
        <x:v>2026-06-24</x:v>
      </x:c>
      <x:c r="M35" s="31" t="str"/>
    </x:row>
    <x:row r="36" ht="38.400001525878906" hidden="0" customHeight="1">
      <x:c r="A36" s="40" t="str">
        <x:v>RPT-00458</x:v>
      </x:c>
      <x:c r="B36" s="31" t="str">
        <x:v>KPI definition history</x:v>
      </x:c>
      <x:c r="C36" s="31" t="str">
        <x:v>Investor KPI pending scope review</x:v>
      </x:c>
      <x:c r="D36" s="31" t="str">
        <x:v>Alder Ridge</x:v>
      </x:c>
      <x:c r="E36" s="31" t="str">
        <x:v>Management review</x:v>
      </x:c>
      <x:c r="F36" s="31" t="str">
        <x:v>Management stretch</x:v>
      </x:c>
      <x:c r="G36" s="31" t="str">
        <x:v>Pending disposed revenue addback</x:v>
      </x:c>
      <x:c r="H36" s="34" t="n">
        <x:v>92700</x:v>
      </x:c>
      <x:c r="I36" s="31" t="str"/>
      <x:c r="J36" s="31" t="str">
        <x:v>USD</x:v>
      </x:c>
      <x:c r="K36" s="31" t="str">
        <x:v>Earlier management working export</x:v>
      </x:c>
      <x:c r="L36" s="37" t="str">
        <x:v>2026-06-24</x:v>
      </x:c>
      <x:c r="M36" s="31" t="str"/>
    </x:row>
    <x:row r="37" ht="38.400001525878906" hidden="0" customHeight="1">
      <x:c r="A37" s="40" t="str">
        <x:v>RPT-00459</x:v>
      </x:c>
      <x:c r="B37" s="31" t="str">
        <x:v>KPI definition history</x:v>
      </x:c>
      <x:c r="C37" s="31" t="str">
        <x:v>Investor KPI pending scope review</x:v>
      </x:c>
      <x:c r="D37" s="31" t="str">
        <x:v>Alder Ridge</x:v>
      </x:c>
      <x:c r="E37" s="31" t="str">
        <x:v>2026-05 working copy</x:v>
      </x:c>
      <x:c r="F37" s="31" t="str">
        <x:v>Approved case</x:v>
      </x:c>
      <x:c r="G37" s="31" t="str">
        <x:v>Pending acquired revenue exclusion</x:v>
      </x:c>
      <x:c r="H37" s="34" t="n">
        <x:v>353600</x:v>
      </x:c>
      <x:c r="I37" s="31" t="str"/>
      <x:c r="J37" s="31" t="str">
        <x:v>USD</x:v>
      </x:c>
      <x:c r="K37" s="31" t="str">
        <x:v>Earlier management working export</x:v>
      </x:c>
      <x:c r="L37" s="37" t="str">
        <x:v>2026-06-24</x:v>
      </x:c>
      <x:c r="M37" s="31" t="str"/>
    </x:row>
    <x:row r="38" ht="28.799999237060547" hidden="0" customHeight="1">
      <x:c r="A38" s="40" t="str">
        <x:v>RPT-00460</x:v>
      </x:c>
      <x:c r="B38" s="31" t="str">
        <x:v>KPI definition history</x:v>
      </x:c>
      <x:c r="C38" s="31" t="str">
        <x:v>Investor KPI pending scope review</x:v>
      </x:c>
      <x:c r="D38" s="31" t="str">
        <x:v>Alder Ridge</x:v>
      </x:c>
      <x:c r="E38" s="31" t="str">
        <x:v>Management review</x:v>
      </x:c>
      <x:c r="F38" s="31" t="str">
        <x:v>Management stretch</x:v>
      </x:c>
      <x:c r="G38" s="31" t="str">
        <x:v>Additional restricted cash exclusion</x:v>
      </x:c>
      <x:c r="H38" s="34" t="n">
        <x:v>105000</x:v>
      </x:c>
      <x:c r="I38" s="31" t="str"/>
      <x:c r="J38" s="31" t="str">
        <x:v>USD</x:v>
      </x:c>
      <x:c r="K38" s="31" t="str">
        <x:v>Earlier management working export</x:v>
      </x:c>
      <x:c r="L38" s="37" t="str">
        <x:v>2026-06-24</x:v>
      </x:c>
      <x:c r="M38" s="31" t="str"/>
    </x:row>
    <x:row r="39" ht="38.400001525878906" hidden="0" customHeight="1">
      <x:c r="A39" s="40" t="str">
        <x:v>RPT-00461</x:v>
      </x:c>
      <x:c r="B39" s="31" t="str">
        <x:v>KPI definition history</x:v>
      </x:c>
      <x:c r="C39" s="31" t="str">
        <x:v>Investor KPI pending scope review</x:v>
      </x:c>
      <x:c r="D39" s="31" t="str">
        <x:v>Alder Ridge</x:v>
      </x:c>
      <x:c r="E39" s="31" t="str">
        <x:v>2026-05 working copy</x:v>
      </x:c>
      <x:c r="F39" s="31" t="str">
        <x:v>Approved case</x:v>
      </x:c>
      <x:c r="G39" s="31" t="str">
        <x:v>Pending adjusted EBITDA reduction</x:v>
      </x:c>
      <x:c r="H39" s="34" t="n">
        <x:v>185400</x:v>
      </x:c>
      <x:c r="I39" s="31" t="str"/>
      <x:c r="J39" s="31" t="str">
        <x:v>USD</x:v>
      </x:c>
      <x:c r="K39" s="31" t="str">
        <x:v>Earlier management working export</x:v>
      </x:c>
      <x:c r="L39" s="37" t="str">
        <x:v>2026-06-24</x:v>
      </x:c>
      <x:c r="M39" s="31" t="str"/>
    </x:row>
    <x:row r="40" ht="38.400001525878906" hidden="0" customHeight="1">
      <x:c r="A40" s="41" t="str">
        <x:v>RPT-00462</x:v>
      </x:c>
      <x:c r="B40" s="32" t="str">
        <x:v>KPI definition history</x:v>
      </x:c>
      <x:c r="C40" s="32" t="str">
        <x:v>Investor KPI pending scope review</x:v>
      </x:c>
      <x:c r="D40" s="32" t="str">
        <x:v>Alder Ridge</x:v>
      </x:c>
      <x:c r="E40" s="32" t="str">
        <x:v>Management review</x:v>
      </x:c>
      <x:c r="F40" s="32" t="str">
        <x:v>Management stretch</x:v>
      </x:c>
      <x:c r="G40" s="32" t="str">
        <x:v>Pending disposed revenue addback</x:v>
      </x:c>
      <x:c r="H40" s="35" t="n">
        <x:v>93600</x:v>
      </x:c>
      <x:c r="I40" s="32" t="str"/>
      <x:c r="J40" s="32" t="str">
        <x:v>USD</x:v>
      </x:c>
      <x:c r="K40" s="32" t="str">
        <x:v>Earlier management working export</x:v>
      </x:c>
      <x:c r="L40" s="38" t="str">
        <x:v>2026-06-24</x:v>
      </x:c>
      <x:c r="M40" s="32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7" hidden="0" customWidth="1"/>
    <x:col min="4" max="4" width="24" hidden="0" customWidth="1"/>
    <x:col min="5" max="5" width="18" hidden="0" customWidth="1"/>
    <x:col min="6" max="6" width="18" hidden="0" customWidth="1"/>
    <x:col min="7" max="7" width="34" hidden="0" customWidth="1"/>
    <x:col min="8" max="8" width="16" hidden="0" customWidth="1"/>
    <x:col min="9" max="9" width="27" hidden="0" customWidth="1"/>
    <x:col min="10" max="10" width="15" hidden="0" customWidth="1"/>
    <x:col min="11" max="11" width="34" hidden="0" customWidth="1"/>
    <x:col min="12" max="12" width="14" hidden="0" customWidth="1"/>
    <x:col min="13" max="13" width="42" hidden="0" customWidth="1"/>
  </x:cols>
  <x:sheetData>
    <x:row r="1" ht="25" customHeight="1">
      <x:c r="A1" s="9" t="str">
        <x:v>Q2 management reporting and investor materials | Board Performance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5" customHeight="1">
      <x:c r="A2" s="11" t="str">
        <x:v>PRIOR REVIEW COPY - retained for change history; not controller tied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30" customHeight="1">
      <x:c r="A4" s="20" t="str">
        <x:v>Source Ref</x:v>
      </x:c>
      <x:c r="B4" s="21" t="str">
        <x:v>Workstream</x:v>
      </x:c>
      <x:c r="C4" s="21" t="str">
        <x:v>Schedule</x:v>
      </x:c>
      <x:c r="D4" s="21" t="str">
        <x:v>Entity Or Item</x:v>
      </x:c>
      <x:c r="E4" s="21" t="str">
        <x:v>Period Or As Of</x:v>
      </x:c>
      <x:c r="F4" s="21" t="str">
        <x:v>Case</x:v>
      </x:c>
      <x:c r="G4" s="21" t="str">
        <x:v>Metric Or Driver</x:v>
      </x:c>
      <x:c r="H4" s="21" t="str">
        <x:v>Numeric Value</x:v>
      </x:c>
      <x:c r="I4" s="21" t="str">
        <x:v>Text Or Decision</x:v>
      </x:c>
      <x:c r="J4" s="21" t="str">
        <x:v>Units</x:v>
      </x:c>
      <x:c r="K4" s="21" t="str">
        <x:v>Source Or Owner</x:v>
      </x:c>
      <x:c r="L4" s="21" t="str">
        <x:v>Source Date</x:v>
      </x:c>
      <x:c r="M4" s="22" t="str">
        <x:v>System Tie</x:v>
      </x:c>
    </x:row>
    <x:row r="5" ht="28.799999237060547" hidden="0" customHeight="1">
      <x:c r="A5" s="39" t="str">
        <x:v>RPT-00086</x:v>
      </x:c>
      <x:c r="B5" s="30" t="str">
        <x:v>FY26 outlook</x:v>
      </x:c>
      <x:c r="C5" s="30" t="str">
        <x:v>Full-year outlook</x:v>
      </x:c>
      <x:c r="D5" s="30" t="str">
        <x:v>Board plan</x:v>
      </x:c>
      <x:c r="E5" s="30" t="str">
        <x:v>2025-12-18</x:v>
      </x:c>
      <x:c r="F5" s="30" t="str">
        <x:v>Approved case</x:v>
      </x:c>
      <x:c r="G5" s="30" t="str">
        <x:v>FY26 revenue outlook</x:v>
      </x:c>
      <x:c r="H5" s="33" t="n">
        <x:v>51500000</x:v>
      </x:c>
      <x:c r="I5" s="30" t="str"/>
      <x:c r="J5" s="30" t="str">
        <x:v>USD</x:v>
      </x:c>
      <x:c r="K5" s="30" t="str">
        <x:v>Finance operating schedule</x:v>
      </x:c>
      <x:c r="L5" s="36" t="str">
        <x:v>2026-06-30</x:v>
      </x:c>
      <x:c r="M5" s="30" t="str"/>
    </x:row>
    <x:row r="6" ht="28.799999237060547" hidden="0" customHeight="1">
      <x:c r="A6" s="40" t="str">
        <x:v>RPT-00087</x:v>
      </x:c>
      <x:c r="B6" s="31" t="str">
        <x:v>FY26 outlook</x:v>
      </x:c>
      <x:c r="C6" s="31" t="str">
        <x:v>Full-year outlook</x:v>
      </x:c>
      <x:c r="D6" s="31" t="str">
        <x:v>April forecast</x:v>
      </x:c>
      <x:c r="E6" s="31" t="str">
        <x:v>2026-04-28</x:v>
      </x:c>
      <x:c r="F6" s="31" t="str">
        <x:v>Approved case</x:v>
      </x:c>
      <x:c r="G6" s="31" t="str">
        <x:v>FY26 revenue outlook</x:v>
      </x:c>
      <x:c r="H6" s="34" t="n">
        <x:v>52100000</x:v>
      </x:c>
      <x:c r="I6" s="31" t="str"/>
      <x:c r="J6" s="31" t="str">
        <x:v>USD</x:v>
      </x:c>
      <x:c r="K6" s="31" t="str">
        <x:v>Finance operating schedule</x:v>
      </x:c>
      <x:c r="L6" s="37" t="str">
        <x:v>2026-06-30</x:v>
      </x:c>
      <x:c r="M6" s="31" t="str"/>
    </x:row>
    <x:row r="7" ht="28.799999237060547" hidden="0" customHeight="1">
      <x:c r="A7" s="40" t="str">
        <x:v>RPT-00089</x:v>
      </x:c>
      <x:c r="B7" s="31" t="str">
        <x:v>Operating performance review</x:v>
      </x:c>
      <x:c r="C7" s="31" t="str">
        <x:v>Performance diagnostics</x:v>
      </x:c>
      <x:c r="D7" s="31" t="str">
        <x:v>Construction gross profit</x:v>
      </x:c>
      <x:c r="E7" s="31" t="str">
        <x:v>2026-Q2</x:v>
      </x:c>
      <x:c r="F7" s="31" t="str">
        <x:v>Approved case</x:v>
      </x:c>
      <x:c r="G7" s="31" t="str">
        <x:v>Unfavorable EBITDA impact</x:v>
      </x:c>
      <x:c r="H7" s="34" t="n">
        <x:v>380000</x:v>
      </x:c>
      <x:c r="I7" s="31" t="str"/>
      <x:c r="J7" s="31" t="str">
        <x:v>USD</x:v>
      </x:c>
      <x:c r="K7" s="31" t="str">
        <x:v>Earlier finance review summary</x:v>
      </x:c>
      <x:c r="L7" s="37" t="str">
        <x:v>2026-07-02</x:v>
      </x:c>
      <x:c r="M7" s="31" t="str"/>
    </x:row>
    <x:row r="8" ht="28.799999237060547" hidden="0" customHeight="1">
      <x:c r="A8" s="40" t="str">
        <x:v>RPT-00090</x:v>
      </x:c>
      <x:c r="B8" s="31" t="str">
        <x:v>Operating performance review</x:v>
      </x:c>
      <x:c r="C8" s="31" t="str">
        <x:v>Performance diagnostics</x:v>
      </x:c>
      <x:c r="D8" s="31" t="str">
        <x:v>Service labor productivity</x:v>
      </x:c>
      <x:c r="E8" s="31" t="str">
        <x:v>2026-Q2</x:v>
      </x:c>
      <x:c r="F8" s="31" t="str">
        <x:v>Approved case</x:v>
      </x:c>
      <x:c r="G8" s="31" t="str">
        <x:v>Unfavorable EBITDA impact</x:v>
      </x:c>
      <x:c r="H8" s="34" t="n">
        <x:v>310000</x:v>
      </x:c>
      <x:c r="I8" s="31" t="str"/>
      <x:c r="J8" s="31" t="str">
        <x:v>USD</x:v>
      </x:c>
      <x:c r="K8" s="31" t="str">
        <x:v>Earlier finance review summary</x:v>
      </x:c>
      <x:c r="L8" s="37" t="str">
        <x:v>2026-07-02</x:v>
      </x:c>
      <x:c r="M8" s="31" t="str"/>
    </x:row>
    <x:row r="9" ht="28.799999237060547" hidden="0" customHeight="1">
      <x:c r="A9" s="40" t="str">
        <x:v>RPT-00091</x:v>
      </x:c>
      <x:c r="B9" s="31" t="str">
        <x:v>Operating performance review</x:v>
      </x:c>
      <x:c r="C9" s="31" t="str">
        <x:v>Performance diagnostics</x:v>
      </x:c>
      <x:c r="D9" s="31" t="str">
        <x:v>Collections timing</x:v>
      </x:c>
      <x:c r="E9" s="31" t="str">
        <x:v>2026-Q2</x:v>
      </x:c>
      <x:c r="F9" s="31" t="str">
        <x:v>Approved case</x:v>
      </x:c>
      <x:c r="G9" s="31" t="str">
        <x:v>Unfavorable cash impact</x:v>
      </x:c>
      <x:c r="H9" s="34" t="n">
        <x:v>420000</x:v>
      </x:c>
      <x:c r="I9" s="31" t="str"/>
      <x:c r="J9" s="31" t="str">
        <x:v>USD</x:v>
      </x:c>
      <x:c r="K9" s="31" t="str">
        <x:v>Earlier finance review summary</x:v>
      </x:c>
      <x:c r="L9" s="37" t="str">
        <x:v>2026-07-02</x:v>
      </x:c>
      <x:c r="M9" s="31" t="str"/>
    </x:row>
    <x:row r="10" ht="28.799999237060547" hidden="0" customHeight="1">
      <x:c r="A10" s="40" t="str">
        <x:v>RPT-00092</x:v>
      </x:c>
      <x:c r="B10" s="31" t="str">
        <x:v>Operating performance review</x:v>
      </x:c>
      <x:c r="C10" s="31" t="str">
        <x:v>Performance diagnostics</x:v>
      </x:c>
      <x:c r="D10" s="31" t="str">
        <x:v>Controls mix</x:v>
      </x:c>
      <x:c r="E10" s="31" t="str">
        <x:v>2026-Q2</x:v>
      </x:c>
      <x:c r="F10" s="31" t="str">
        <x:v>Approved case</x:v>
      </x:c>
      <x:c r="G10" s="31" t="str">
        <x:v>Unfavorable EBITDA impact</x:v>
      </x:c>
      <x:c r="H10" s="34" t="n">
        <x:v>80000</x:v>
      </x:c>
      <x:c r="I10" s="31" t="str"/>
      <x:c r="J10" s="31" t="str">
        <x:v>USD</x:v>
      </x:c>
      <x:c r="K10" s="31" t="str">
        <x:v>Earlier finance review summary</x:v>
      </x:c>
      <x:c r="L10" s="37" t="str">
        <x:v>2026-07-02</x:v>
      </x:c>
      <x:c r="M10" s="31" t="str"/>
    </x:row>
    <x:row r="11" ht="28.799999237060547" hidden="0" customHeight="1">
      <x:c r="A11" s="40" t="str">
        <x:v>RPT-00093</x:v>
      </x:c>
      <x:c r="B11" s="31" t="str">
        <x:v>Operating performance review</x:v>
      </x:c>
      <x:c r="C11" s="31" t="str">
        <x:v>Board recovery action register</x:v>
      </x:c>
      <x:c r="D11" s="31" t="str">
        <x:v>Construction gross profit</x:v>
      </x:c>
      <x:c r="E11" s="31" t="str">
        <x:v>2026-Q2</x:v>
      </x:c>
      <x:c r="F11" s="31" t="str">
        <x:v>Approved case</x:v>
      </x:c>
      <x:c r="G11" s="31" t="str">
        <x:v>Action owner</x:v>
      </x:c>
      <x:c r="H11" s="34" t="str"/>
      <x:c r="I11" s="31" t="str">
        <x:v>COO</x:v>
      </x:c>
      <x:c r="J11" s="31" t="str">
        <x:v>classification</x:v>
      </x:c>
      <x:c r="K11" s="31" t="str">
        <x:v>Earlier finance review summary</x:v>
      </x:c>
      <x:c r="L11" s="37" t="str">
        <x:v>2026-07-02</x:v>
      </x:c>
      <x:c r="M11" s="31" t="str"/>
    </x:row>
    <x:row r="12" ht="28.799999237060547" hidden="0" customHeight="1">
      <x:c r="A12" s="40" t="str">
        <x:v>RPT-00094</x:v>
      </x:c>
      <x:c r="B12" s="31" t="str">
        <x:v>Operating performance review</x:v>
      </x:c>
      <x:c r="C12" s="31" t="str">
        <x:v>Board recovery action register</x:v>
      </x:c>
      <x:c r="D12" s="31" t="str">
        <x:v>Construction gross profit</x:v>
      </x:c>
      <x:c r="E12" s="31" t="str">
        <x:v>2026-Q2</x:v>
      </x:c>
      <x:c r="F12" s="31" t="str">
        <x:v>Approved case</x:v>
      </x:c>
      <x:c r="G12" s="31" t="str">
        <x:v>Financial effect</x:v>
      </x:c>
      <x:c r="H12" s="34" t="str"/>
      <x:c r="I12" s="31" t="str">
        <x:v>EBITDA and cash</x:v>
      </x:c>
      <x:c r="J12" s="31" t="str">
        <x:v>classification</x:v>
      </x:c>
      <x:c r="K12" s="31" t="str">
        <x:v>Earlier finance review summary</x:v>
      </x:c>
      <x:c r="L12" s="37" t="str">
        <x:v>2026-07-02</x:v>
      </x:c>
      <x:c r="M12" s="31" t="str"/>
    </x:row>
    <x:row r="13" ht="28.799999237060547" hidden="0" customHeight="1">
      <x:c r="A13" s="40" t="str">
        <x:v>RPT-00095</x:v>
      </x:c>
      <x:c r="B13" s="31" t="str">
        <x:v>Operating performance review</x:v>
      </x:c>
      <x:c r="C13" s="31" t="str">
        <x:v>Board recovery action register</x:v>
      </x:c>
      <x:c r="D13" s="31" t="str">
        <x:v>Construction gross profit</x:v>
      </x:c>
      <x:c r="E13" s="31" t="str">
        <x:v>2026-Q2</x:v>
      </x:c>
      <x:c r="F13" s="31" t="str">
        <x:v>Approved case</x:v>
      </x:c>
      <x:c r="G13" s="31" t="str">
        <x:v>Approved realization probability</x:v>
      </x:c>
      <x:c r="H13" s="34" t="n">
        <x:v>0.7</x:v>
      </x:c>
      <x:c r="I13" s="31" t="str"/>
      <x:c r="J13" s="31" t="str">
        <x:v>decimal ratio</x:v>
      </x:c>
      <x:c r="K13" s="31" t="str">
        <x:v>Earlier finance review summary</x:v>
      </x:c>
      <x:c r="L13" s="37" t="str">
        <x:v>2026-07-02</x:v>
      </x:c>
      <x:c r="M13" s="31" t="str"/>
    </x:row>
    <x:row r="14" ht="28.799999237060547" hidden="0" customHeight="1">
      <x:c r="A14" s="40" t="str">
        <x:v>RPT-00096</x:v>
      </x:c>
      <x:c r="B14" s="31" t="str">
        <x:v>Operating performance review</x:v>
      </x:c>
      <x:c r="C14" s="31" t="str">
        <x:v>Board recovery action register</x:v>
      </x:c>
      <x:c r="D14" s="31" t="str">
        <x:v>Construction gross profit</x:v>
      </x:c>
      <x:c r="E14" s="31" t="str">
        <x:v>2026-Q2</x:v>
      </x:c>
      <x:c r="F14" s="31" t="str">
        <x:v>Approved case</x:v>
      </x:c>
      <x:c r="G14" s="31" t="str">
        <x:v>Cash conversion rate</x:v>
      </x:c>
      <x:c r="H14" s="34" t="n">
        <x:v>0.7</x:v>
      </x:c>
      <x:c r="I14" s="31" t="str"/>
      <x:c r="J14" s="31" t="str">
        <x:v>decimal ratio</x:v>
      </x:c>
      <x:c r="K14" s="31" t="str">
        <x:v>Earlier finance review summary</x:v>
      </x:c>
      <x:c r="L14" s="37" t="str">
        <x:v>2026-07-02</x:v>
      </x:c>
      <x:c r="M14" s="31" t="str"/>
    </x:row>
    <x:row r="15" ht="28.799999237060547" hidden="0" customHeight="1">
      <x:c r="A15" s="40" t="str">
        <x:v>RPT-00097</x:v>
      </x:c>
      <x:c r="B15" s="31" t="str">
        <x:v>Operating performance review</x:v>
      </x:c>
      <x:c r="C15" s="31" t="str">
        <x:v>Board recovery action register</x:v>
      </x:c>
      <x:c r="D15" s="31" t="str">
        <x:v>Construction gross profit</x:v>
      </x:c>
      <x:c r="E15" s="31" t="str">
        <x:v>2026-Q2</x:v>
      </x:c>
      <x:c r="F15" s="31" t="str">
        <x:v>Approved case</x:v>
      </x:c>
      <x:c r="G15" s="31" t="str">
        <x:v>Earliest supported period</x:v>
      </x:c>
      <x:c r="H15" s="34" t="str"/>
      <x:c r="I15" s="31" t="str">
        <x:v>2026-Q3</x:v>
      </x:c>
      <x:c r="J15" s="31" t="str">
        <x:v>classification</x:v>
      </x:c>
      <x:c r="K15" s="31" t="str">
        <x:v>Earlier finance review summary</x:v>
      </x:c>
      <x:c r="L15" s="37" t="str">
        <x:v>2026-07-02</x:v>
      </x:c>
      <x:c r="M15" s="31" t="str"/>
    </x:row>
    <x:row r="16" ht="28.799999237060547" hidden="0" customHeight="1">
      <x:c r="A16" s="40" t="str">
        <x:v>RPT-00098</x:v>
      </x:c>
      <x:c r="B16" s="31" t="str">
        <x:v>Operating performance review</x:v>
      </x:c>
      <x:c r="C16" s="31" t="str">
        <x:v>Board recovery action register</x:v>
      </x:c>
      <x:c r="D16" s="31" t="str">
        <x:v>Construction gross profit</x:v>
      </x:c>
      <x:c r="E16" s="31" t="str">
        <x:v>2026-Q2</x:v>
      </x:c>
      <x:c r="F16" s="31" t="str">
        <x:v>Approved case</x:v>
      </x:c>
      <x:c r="G16" s="31" t="str">
        <x:v>Evidence status</x:v>
      </x:c>
      <x:c r="H16" s="34" t="str"/>
      <x:c r="I16" s="31" t="str">
        <x:v>Initial PM estimate pending</x:v>
      </x:c>
      <x:c r="J16" s="31" t="str">
        <x:v>classification</x:v>
      </x:c>
      <x:c r="K16" s="31" t="str">
        <x:v>Earlier finance review summary</x:v>
      </x:c>
      <x:c r="L16" s="37" t="str">
        <x:v>2026-07-02</x:v>
      </x:c>
      <x:c r="M16" s="31" t="str"/>
    </x:row>
    <x:row r="17" ht="76.80000305175781" hidden="0" customHeight="1">
      <x:c r="A17" s="40" t="str">
        <x:v>RPT-00099</x:v>
      </x:c>
      <x:c r="B17" s="31" t="str">
        <x:v>Operating performance review</x:v>
      </x:c>
      <x:c r="C17" s="31" t="str">
        <x:v>Board recovery action register</x:v>
      </x:c>
      <x:c r="D17" s="31" t="str">
        <x:v>Construction gross profit</x:v>
      </x:c>
      <x:c r="E17" s="31" t="str">
        <x:v>2026-Q2</x:v>
      </x:c>
      <x:c r="F17" s="31" t="str">
        <x:v>Approved case</x:v>
      </x:c>
      <x:c r="G17" s="31" t="str">
        <x:v>Forecast treatment</x:v>
      </x:c>
      <x:c r="H17" s="34" t="str"/>
      <x:c r="I17" s="31" t="str">
        <x:v>Disclose separately; do not book or add to the June reforecast until evidence is complete</x:v>
      </x:c>
      <x:c r="J17" s="31" t="str">
        <x:v>classification</x:v>
      </x:c>
      <x:c r="K17" s="31" t="str">
        <x:v>Earlier finance review summary</x:v>
      </x:c>
      <x:c r="L17" s="37" t="str">
        <x:v>2026-07-02</x:v>
      </x:c>
      <x:c r="M17" s="31" t="str"/>
    </x:row>
    <x:row r="18" ht="28.799999237060547" hidden="0" customHeight="1">
      <x:c r="A18" s="40" t="str">
        <x:v>RPT-00100</x:v>
      </x:c>
      <x:c r="B18" s="31" t="str">
        <x:v>Operating performance review</x:v>
      </x:c>
      <x:c r="C18" s="31" t="str">
        <x:v>Board recovery action register</x:v>
      </x:c>
      <x:c r="D18" s="31" t="str">
        <x:v>Service labor productivity</x:v>
      </x:c>
      <x:c r="E18" s="31" t="str">
        <x:v>2026-Q2</x:v>
      </x:c>
      <x:c r="F18" s="31" t="str">
        <x:v>Approved case</x:v>
      </x:c>
      <x:c r="G18" s="31" t="str">
        <x:v>Action owner</x:v>
      </x:c>
      <x:c r="H18" s="34" t="str"/>
      <x:c r="I18" s="31" t="str">
        <x:v>VP Service</x:v>
      </x:c>
      <x:c r="J18" s="31" t="str">
        <x:v>classification</x:v>
      </x:c>
      <x:c r="K18" s="31" t="str">
        <x:v>Earlier finance review summary</x:v>
      </x:c>
      <x:c r="L18" s="37" t="str">
        <x:v>2026-07-02</x:v>
      </x:c>
      <x:c r="M18" s="31" t="str"/>
    </x:row>
    <x:row r="19" ht="28.799999237060547" hidden="0" customHeight="1">
      <x:c r="A19" s="40" t="str">
        <x:v>RPT-00101</x:v>
      </x:c>
      <x:c r="B19" s="31" t="str">
        <x:v>Operating performance review</x:v>
      </x:c>
      <x:c r="C19" s="31" t="str">
        <x:v>Board recovery action register</x:v>
      </x:c>
      <x:c r="D19" s="31" t="str">
        <x:v>Service labor productivity</x:v>
      </x:c>
      <x:c r="E19" s="31" t="str">
        <x:v>2026-Q2</x:v>
      </x:c>
      <x:c r="F19" s="31" t="str">
        <x:v>Approved case</x:v>
      </x:c>
      <x:c r="G19" s="31" t="str">
        <x:v>Financial effect</x:v>
      </x:c>
      <x:c r="H19" s="34" t="str"/>
      <x:c r="I19" s="31" t="str">
        <x:v>EBITDA and cash</x:v>
      </x:c>
      <x:c r="J19" s="31" t="str">
        <x:v>classification</x:v>
      </x:c>
      <x:c r="K19" s="31" t="str">
        <x:v>Earlier finance review summary</x:v>
      </x:c>
      <x:c r="L19" s="37" t="str">
        <x:v>2026-07-02</x:v>
      </x:c>
      <x:c r="M19" s="31" t="str"/>
    </x:row>
    <x:row r="20" ht="28.799999237060547" hidden="0" customHeight="1">
      <x:c r="A20" s="40" t="str">
        <x:v>RPT-00102</x:v>
      </x:c>
      <x:c r="B20" s="31" t="str">
        <x:v>Operating performance review</x:v>
      </x:c>
      <x:c r="C20" s="31" t="str">
        <x:v>Board recovery action register</x:v>
      </x:c>
      <x:c r="D20" s="31" t="str">
        <x:v>Service labor productivity</x:v>
      </x:c>
      <x:c r="E20" s="31" t="str">
        <x:v>2026-Q2</x:v>
      </x:c>
      <x:c r="F20" s="31" t="str">
        <x:v>Approved case</x:v>
      </x:c>
      <x:c r="G20" s="31" t="str">
        <x:v>Approved realization probability</x:v>
      </x:c>
      <x:c r="H20" s="34" t="n">
        <x:v>0.6</x:v>
      </x:c>
      <x:c r="I20" s="31" t="str"/>
      <x:c r="J20" s="31" t="str">
        <x:v>decimal ratio</x:v>
      </x:c>
      <x:c r="K20" s="31" t="str">
        <x:v>Earlier finance review summary</x:v>
      </x:c>
      <x:c r="L20" s="37" t="str">
        <x:v>2026-07-02</x:v>
      </x:c>
      <x:c r="M20" s="31" t="str"/>
    </x:row>
    <x:row r="21" ht="28.799999237060547" hidden="0" customHeight="1">
      <x:c r="A21" s="40" t="str">
        <x:v>RPT-00103</x:v>
      </x:c>
      <x:c r="B21" s="31" t="str">
        <x:v>Operating performance review</x:v>
      </x:c>
      <x:c r="C21" s="31" t="str">
        <x:v>Board recovery action register</x:v>
      </x:c>
      <x:c r="D21" s="31" t="str">
        <x:v>Service labor productivity</x:v>
      </x:c>
      <x:c r="E21" s="31" t="str">
        <x:v>2026-Q2</x:v>
      </x:c>
      <x:c r="F21" s="31" t="str">
        <x:v>Approved case</x:v>
      </x:c>
      <x:c r="G21" s="31" t="str">
        <x:v>Cash conversion rate</x:v>
      </x:c>
      <x:c r="H21" s="34" t="n">
        <x:v>0.8</x:v>
      </x:c>
      <x:c r="I21" s="31" t="str"/>
      <x:c r="J21" s="31" t="str">
        <x:v>decimal ratio</x:v>
      </x:c>
      <x:c r="K21" s="31" t="str">
        <x:v>Earlier finance review summary</x:v>
      </x:c>
      <x:c r="L21" s="37" t="str">
        <x:v>2026-07-02</x:v>
      </x:c>
      <x:c r="M21" s="31" t="str"/>
    </x:row>
    <x:row r="22" ht="28.799999237060547" hidden="0" customHeight="1">
      <x:c r="A22" s="40" t="str">
        <x:v>RPT-00104</x:v>
      </x:c>
      <x:c r="B22" s="31" t="str">
        <x:v>Operating performance review</x:v>
      </x:c>
      <x:c r="C22" s="31" t="str">
        <x:v>Board recovery action register</x:v>
      </x:c>
      <x:c r="D22" s="31" t="str">
        <x:v>Service labor productivity</x:v>
      </x:c>
      <x:c r="E22" s="31" t="str">
        <x:v>2026-Q2</x:v>
      </x:c>
      <x:c r="F22" s="31" t="str">
        <x:v>Approved case</x:v>
      </x:c>
      <x:c r="G22" s="31" t="str">
        <x:v>Earliest supported period</x:v>
      </x:c>
      <x:c r="H22" s="34" t="str"/>
      <x:c r="I22" s="31" t="str">
        <x:v>2026-Q3</x:v>
      </x:c>
      <x:c r="J22" s="31" t="str">
        <x:v>classification</x:v>
      </x:c>
      <x:c r="K22" s="31" t="str">
        <x:v>Earlier finance review summary</x:v>
      </x:c>
      <x:c r="L22" s="37" t="str">
        <x:v>2026-07-02</x:v>
      </x:c>
      <x:c r="M22" s="31" t="str"/>
    </x:row>
    <x:row r="23" ht="28.799999237060547" hidden="0" customHeight="1">
      <x:c r="A23" s="40" t="str">
        <x:v>RPT-00105</x:v>
      </x:c>
      <x:c r="B23" s="31" t="str">
        <x:v>Operating performance review</x:v>
      </x:c>
      <x:c r="C23" s="31" t="str">
        <x:v>Board recovery action register</x:v>
      </x:c>
      <x:c r="D23" s="31" t="str">
        <x:v>Service labor productivity</x:v>
      </x:c>
      <x:c r="E23" s="31" t="str">
        <x:v>2026-Q2</x:v>
      </x:c>
      <x:c r="F23" s="31" t="str">
        <x:v>Approved case</x:v>
      </x:c>
      <x:c r="G23" s="31" t="str">
        <x:v>Evidence status</x:v>
      </x:c>
      <x:c r="H23" s="34" t="str"/>
      <x:c r="I23" s="31" t="str">
        <x:v>Initial staffing estimate pending</x:v>
      </x:c>
      <x:c r="J23" s="31" t="str">
        <x:v>classification</x:v>
      </x:c>
      <x:c r="K23" s="31" t="str">
        <x:v>Earlier finance review summary</x:v>
      </x:c>
      <x:c r="L23" s="37" t="str">
        <x:v>2026-07-02</x:v>
      </x:c>
      <x:c r="M23" s="31" t="str"/>
    </x:row>
    <x:row r="24" ht="76.80000305175781" hidden="0" customHeight="1">
      <x:c r="A24" s="40" t="str">
        <x:v>RPT-00106</x:v>
      </x:c>
      <x:c r="B24" s="31" t="str">
        <x:v>Operating performance review</x:v>
      </x:c>
      <x:c r="C24" s="31" t="str">
        <x:v>Board recovery action register</x:v>
      </x:c>
      <x:c r="D24" s="31" t="str">
        <x:v>Service labor productivity</x:v>
      </x:c>
      <x:c r="E24" s="31" t="str">
        <x:v>2026-Q2</x:v>
      </x:c>
      <x:c r="F24" s="31" t="str">
        <x:v>Approved case</x:v>
      </x:c>
      <x:c r="G24" s="31" t="str">
        <x:v>Forecast treatment</x:v>
      </x:c>
      <x:c r="H24" s="34" t="str"/>
      <x:c r="I24" s="31" t="str">
        <x:v>Disclose separately; do not book or add to the June reforecast until evidence is complete</x:v>
      </x:c>
      <x:c r="J24" s="31" t="str">
        <x:v>classification</x:v>
      </x:c>
      <x:c r="K24" s="31" t="str">
        <x:v>Earlier finance review summary</x:v>
      </x:c>
      <x:c r="L24" s="37" t="str">
        <x:v>2026-07-02</x:v>
      </x:c>
      <x:c r="M24" s="31" t="str"/>
    </x:row>
    <x:row r="25" ht="28.799999237060547" hidden="0" customHeight="1">
      <x:c r="A25" s="40" t="str">
        <x:v>RPT-00107</x:v>
      </x:c>
      <x:c r="B25" s="31" t="str">
        <x:v>Operating performance review</x:v>
      </x:c>
      <x:c r="C25" s="31" t="str">
        <x:v>Board recovery action register</x:v>
      </x:c>
      <x:c r="D25" s="31" t="str">
        <x:v>Controls mix</x:v>
      </x:c>
      <x:c r="E25" s="31" t="str">
        <x:v>2026-Q2</x:v>
      </x:c>
      <x:c r="F25" s="31" t="str">
        <x:v>Approved case</x:v>
      </x:c>
      <x:c r="G25" s="31" t="str">
        <x:v>Action owner</x:v>
      </x:c>
      <x:c r="H25" s="34" t="str"/>
      <x:c r="I25" s="31" t="str">
        <x:v>VP Controls</x:v>
      </x:c>
      <x:c r="J25" s="31" t="str">
        <x:v>classification</x:v>
      </x:c>
      <x:c r="K25" s="31" t="str">
        <x:v>Earlier finance review summary</x:v>
      </x:c>
      <x:c r="L25" s="37" t="str">
        <x:v>2026-07-02</x:v>
      </x:c>
      <x:c r="M25" s="31" t="str"/>
    </x:row>
    <x:row r="26" ht="28.799999237060547" hidden="0" customHeight="1">
      <x:c r="A26" s="40" t="str">
        <x:v>RPT-00108</x:v>
      </x:c>
      <x:c r="B26" s="31" t="str">
        <x:v>Operating performance review</x:v>
      </x:c>
      <x:c r="C26" s="31" t="str">
        <x:v>Board recovery action register</x:v>
      </x:c>
      <x:c r="D26" s="31" t="str">
        <x:v>Controls mix</x:v>
      </x:c>
      <x:c r="E26" s="31" t="str">
        <x:v>2026-Q2</x:v>
      </x:c>
      <x:c r="F26" s="31" t="str">
        <x:v>Approved case</x:v>
      </x:c>
      <x:c r="G26" s="31" t="str">
        <x:v>Financial effect</x:v>
      </x:c>
      <x:c r="H26" s="34" t="str"/>
      <x:c r="I26" s="31" t="str">
        <x:v>EBITDA and cash</x:v>
      </x:c>
      <x:c r="J26" s="31" t="str">
        <x:v>classification</x:v>
      </x:c>
      <x:c r="K26" s="31" t="str">
        <x:v>Earlier finance review summary</x:v>
      </x:c>
      <x:c r="L26" s="37" t="str">
        <x:v>2026-07-02</x:v>
      </x:c>
      <x:c r="M26" s="31" t="str"/>
    </x:row>
    <x:row r="27" ht="28.799999237060547" hidden="0" customHeight="1">
      <x:c r="A27" s="40" t="str">
        <x:v>RPT-00109</x:v>
      </x:c>
      <x:c r="B27" s="31" t="str">
        <x:v>Operating performance review</x:v>
      </x:c>
      <x:c r="C27" s="31" t="str">
        <x:v>Board recovery action register</x:v>
      </x:c>
      <x:c r="D27" s="31" t="str">
        <x:v>Controls mix</x:v>
      </x:c>
      <x:c r="E27" s="31" t="str">
        <x:v>2026-Q2</x:v>
      </x:c>
      <x:c r="F27" s="31" t="str">
        <x:v>Approved case</x:v>
      </x:c>
      <x:c r="G27" s="31" t="str">
        <x:v>Approved realization probability</x:v>
      </x:c>
      <x:c r="H27" s="34" t="n">
        <x:v>0.55</x:v>
      </x:c>
      <x:c r="I27" s="31" t="str"/>
      <x:c r="J27" s="31" t="str">
        <x:v>decimal ratio</x:v>
      </x:c>
      <x:c r="K27" s="31" t="str">
        <x:v>Earlier finance review summary</x:v>
      </x:c>
      <x:c r="L27" s="37" t="str">
        <x:v>2026-07-02</x:v>
      </x:c>
      <x:c r="M27" s="31" t="str"/>
    </x:row>
    <x:row r="28" ht="28.799999237060547" hidden="0" customHeight="1">
      <x:c r="A28" s="40" t="str">
        <x:v>RPT-00110</x:v>
      </x:c>
      <x:c r="B28" s="31" t="str">
        <x:v>Operating performance review</x:v>
      </x:c>
      <x:c r="C28" s="31" t="str">
        <x:v>Board recovery action register</x:v>
      </x:c>
      <x:c r="D28" s="31" t="str">
        <x:v>Controls mix</x:v>
      </x:c>
      <x:c r="E28" s="31" t="str">
        <x:v>2026-Q2</x:v>
      </x:c>
      <x:c r="F28" s="31" t="str">
        <x:v>Approved case</x:v>
      </x:c>
      <x:c r="G28" s="31" t="str">
        <x:v>Cash conversion rate</x:v>
      </x:c>
      <x:c r="H28" s="34" t="n">
        <x:v>0.75</x:v>
      </x:c>
      <x:c r="I28" s="31" t="str"/>
      <x:c r="J28" s="31" t="str">
        <x:v>decimal ratio</x:v>
      </x:c>
      <x:c r="K28" s="31" t="str">
        <x:v>Earlier finance review summary</x:v>
      </x:c>
      <x:c r="L28" s="37" t="str">
        <x:v>2026-07-02</x:v>
      </x:c>
      <x:c r="M28" s="31" t="str"/>
    </x:row>
    <x:row r="29" ht="28.799999237060547" hidden="0" customHeight="1">
      <x:c r="A29" s="40" t="str">
        <x:v>RPT-00111</x:v>
      </x:c>
      <x:c r="B29" s="31" t="str">
        <x:v>Operating performance review</x:v>
      </x:c>
      <x:c r="C29" s="31" t="str">
        <x:v>Board recovery action register</x:v>
      </x:c>
      <x:c r="D29" s="31" t="str">
        <x:v>Controls mix</x:v>
      </x:c>
      <x:c r="E29" s="31" t="str">
        <x:v>2026-Q2</x:v>
      </x:c>
      <x:c r="F29" s="31" t="str">
        <x:v>Approved case</x:v>
      </x:c>
      <x:c r="G29" s="31" t="str">
        <x:v>Earliest supported period</x:v>
      </x:c>
      <x:c r="H29" s="34" t="str"/>
      <x:c r="I29" s="31" t="str">
        <x:v>2026-Q4</x:v>
      </x:c>
      <x:c r="J29" s="31" t="str">
        <x:v>classification</x:v>
      </x:c>
      <x:c r="K29" s="31" t="str">
        <x:v>Earlier finance review summary</x:v>
      </x:c>
      <x:c r="L29" s="37" t="str">
        <x:v>2026-07-02</x:v>
      </x:c>
      <x:c r="M29" s="31" t="str"/>
    </x:row>
    <x:row r="30" ht="28.799999237060547" hidden="0" customHeight="1">
      <x:c r="A30" s="40" t="str">
        <x:v>RPT-00112</x:v>
      </x:c>
      <x:c r="B30" s="31" t="str">
        <x:v>Operating performance review</x:v>
      </x:c>
      <x:c r="C30" s="31" t="str">
        <x:v>Board recovery action register</x:v>
      </x:c>
      <x:c r="D30" s="31" t="str">
        <x:v>Controls mix</x:v>
      </x:c>
      <x:c r="E30" s="31" t="str">
        <x:v>2026-Q2</x:v>
      </x:c>
      <x:c r="F30" s="31" t="str">
        <x:v>Approved case</x:v>
      </x:c>
      <x:c r="G30" s="31" t="str">
        <x:v>Evidence status</x:v>
      </x:c>
      <x:c r="H30" s="34" t="str"/>
      <x:c r="I30" s="31" t="str">
        <x:v>Initial backlog estimate pending</x:v>
      </x:c>
      <x:c r="J30" s="31" t="str">
        <x:v>classification</x:v>
      </x:c>
      <x:c r="K30" s="31" t="str">
        <x:v>Earlier finance review summary</x:v>
      </x:c>
      <x:c r="L30" s="37" t="str">
        <x:v>2026-07-02</x:v>
      </x:c>
      <x:c r="M30" s="31" t="str"/>
    </x:row>
    <x:row r="31" ht="76.80000305175781" hidden="0" customHeight="1">
      <x:c r="A31" s="40" t="str">
        <x:v>RPT-00113</x:v>
      </x:c>
      <x:c r="B31" s="31" t="str">
        <x:v>Operating performance review</x:v>
      </x:c>
      <x:c r="C31" s="31" t="str">
        <x:v>Board recovery action register</x:v>
      </x:c>
      <x:c r="D31" s="31" t="str">
        <x:v>Controls mix</x:v>
      </x:c>
      <x:c r="E31" s="31" t="str">
        <x:v>2026-Q2</x:v>
      </x:c>
      <x:c r="F31" s="31" t="str">
        <x:v>Approved case</x:v>
      </x:c>
      <x:c r="G31" s="31" t="str">
        <x:v>Forecast treatment</x:v>
      </x:c>
      <x:c r="H31" s="34" t="str"/>
      <x:c r="I31" s="31" t="str">
        <x:v>Disclose separately; do not book or add to the June reforecast until evidence is complete</x:v>
      </x:c>
      <x:c r="J31" s="31" t="str">
        <x:v>classification</x:v>
      </x:c>
      <x:c r="K31" s="31" t="str">
        <x:v>Earlier finance review summary</x:v>
      </x:c>
      <x:c r="L31" s="37" t="str">
        <x:v>2026-07-02</x:v>
      </x:c>
      <x:c r="M31" s="31" t="str"/>
    </x:row>
    <x:row r="32" ht="28.799999237060547" hidden="0" customHeight="1">
      <x:c r="A32" s="40" t="str">
        <x:v>RPT-00114</x:v>
      </x:c>
      <x:c r="B32" s="31" t="str">
        <x:v>Operating performance review</x:v>
      </x:c>
      <x:c r="C32" s="31" t="str">
        <x:v>Board recovery action register</x:v>
      </x:c>
      <x:c r="D32" s="31" t="str">
        <x:v>Collections timing</x:v>
      </x:c>
      <x:c r="E32" s="31" t="str">
        <x:v>2026-Q2</x:v>
      </x:c>
      <x:c r="F32" s="31" t="str">
        <x:v>Approved case</x:v>
      </x:c>
      <x:c r="G32" s="31" t="str">
        <x:v>Action owner</x:v>
      </x:c>
      <x:c r="H32" s="34" t="str"/>
      <x:c r="I32" s="31" t="str">
        <x:v>Controller</x:v>
      </x:c>
      <x:c r="J32" s="31" t="str">
        <x:v>classification</x:v>
      </x:c>
      <x:c r="K32" s="31" t="str">
        <x:v>Earlier finance review summary</x:v>
      </x:c>
      <x:c r="L32" s="37" t="str">
        <x:v>2026-07-02</x:v>
      </x:c>
      <x:c r="M32" s="31" t="str"/>
    </x:row>
    <x:row r="33" ht="28.799999237060547" hidden="0" customHeight="1">
      <x:c r="A33" s="40" t="str">
        <x:v>RPT-00115</x:v>
      </x:c>
      <x:c r="B33" s="31" t="str">
        <x:v>Operating performance review</x:v>
      </x:c>
      <x:c r="C33" s="31" t="str">
        <x:v>Board recovery action register</x:v>
      </x:c>
      <x:c r="D33" s="31" t="str">
        <x:v>Collections timing</x:v>
      </x:c>
      <x:c r="E33" s="31" t="str">
        <x:v>2026-Q2</x:v>
      </x:c>
      <x:c r="F33" s="31" t="str">
        <x:v>Approved case</x:v>
      </x:c>
      <x:c r="G33" s="31" t="str">
        <x:v>Financial effect</x:v>
      </x:c>
      <x:c r="H33" s="34" t="str"/>
      <x:c r="I33" s="31" t="str">
        <x:v>Cash only</x:v>
      </x:c>
      <x:c r="J33" s="31" t="str">
        <x:v>classification</x:v>
      </x:c>
      <x:c r="K33" s="31" t="str">
        <x:v>Earlier finance review summary</x:v>
      </x:c>
      <x:c r="L33" s="37" t="str">
        <x:v>2026-07-02</x:v>
      </x:c>
      <x:c r="M33" s="31" t="str"/>
    </x:row>
    <x:row r="34" ht="28.799999237060547" hidden="0" customHeight="1">
      <x:c r="A34" s="40" t="str">
        <x:v>RPT-00116</x:v>
      </x:c>
      <x:c r="B34" s="31" t="str">
        <x:v>Operating performance review</x:v>
      </x:c>
      <x:c r="C34" s="31" t="str">
        <x:v>Board recovery action register</x:v>
      </x:c>
      <x:c r="D34" s="31" t="str">
        <x:v>Collections timing</x:v>
      </x:c>
      <x:c r="E34" s="31" t="str">
        <x:v>2026-Q2</x:v>
      </x:c>
      <x:c r="F34" s="31" t="str">
        <x:v>Approved case</x:v>
      </x:c>
      <x:c r="G34" s="31" t="str">
        <x:v>Approved realization probability</x:v>
      </x:c>
      <x:c r="H34" s="34" t="n">
        <x:v>0.75</x:v>
      </x:c>
      <x:c r="I34" s="31" t="str"/>
      <x:c r="J34" s="31" t="str">
        <x:v>decimal ratio</x:v>
      </x:c>
      <x:c r="K34" s="31" t="str">
        <x:v>Earlier finance review summary</x:v>
      </x:c>
      <x:c r="L34" s="37" t="str">
        <x:v>2026-07-02</x:v>
      </x:c>
      <x:c r="M34" s="31" t="str"/>
    </x:row>
    <x:row r="35" ht="28.799999237060547" hidden="0" customHeight="1">
      <x:c r="A35" s="40" t="str">
        <x:v>RPT-00117</x:v>
      </x:c>
      <x:c r="B35" s="31" t="str">
        <x:v>Operating performance review</x:v>
      </x:c>
      <x:c r="C35" s="31" t="str">
        <x:v>Board recovery action register</x:v>
      </x:c>
      <x:c r="D35" s="31" t="str">
        <x:v>Collections timing</x:v>
      </x:c>
      <x:c r="E35" s="31" t="str">
        <x:v>2026-Q2</x:v>
      </x:c>
      <x:c r="F35" s="31" t="str">
        <x:v>Approved case</x:v>
      </x:c>
      <x:c r="G35" s="31" t="str">
        <x:v>Cash conversion rate</x:v>
      </x:c>
      <x:c r="H35" s="34" t="n">
        <x:v>1</x:v>
      </x:c>
      <x:c r="I35" s="31" t="str"/>
      <x:c r="J35" s="31" t="str">
        <x:v>decimal ratio</x:v>
      </x:c>
      <x:c r="K35" s="31" t="str">
        <x:v>Earlier finance review summary</x:v>
      </x:c>
      <x:c r="L35" s="37" t="str">
        <x:v>2026-07-02</x:v>
      </x:c>
      <x:c r="M35" s="31" t="str"/>
    </x:row>
    <x:row r="36" ht="28.799999237060547" hidden="0" customHeight="1">
      <x:c r="A36" s="40" t="str">
        <x:v>RPT-00118</x:v>
      </x:c>
      <x:c r="B36" s="31" t="str">
        <x:v>Operating performance review</x:v>
      </x:c>
      <x:c r="C36" s="31" t="str">
        <x:v>Board recovery action register</x:v>
      </x:c>
      <x:c r="D36" s="31" t="str">
        <x:v>Collections timing</x:v>
      </x:c>
      <x:c r="E36" s="31" t="str">
        <x:v>2026-Q2</x:v>
      </x:c>
      <x:c r="F36" s="31" t="str">
        <x:v>Approved case</x:v>
      </x:c>
      <x:c r="G36" s="31" t="str">
        <x:v>Earliest supported period</x:v>
      </x:c>
      <x:c r="H36" s="34" t="str"/>
      <x:c r="I36" s="31" t="str">
        <x:v>2026-Q3</x:v>
      </x:c>
      <x:c r="J36" s="31" t="str">
        <x:v>classification</x:v>
      </x:c>
      <x:c r="K36" s="31" t="str">
        <x:v>Earlier finance review summary</x:v>
      </x:c>
      <x:c r="L36" s="37" t="str">
        <x:v>2026-07-02</x:v>
      </x:c>
      <x:c r="M36" s="31" t="str"/>
    </x:row>
    <x:row r="37" ht="38.400001525878906" hidden="0" customHeight="1">
      <x:c r="A37" s="40" t="str">
        <x:v>RPT-00119</x:v>
      </x:c>
      <x:c r="B37" s="31" t="str">
        <x:v>Operating performance review</x:v>
      </x:c>
      <x:c r="C37" s="31" t="str">
        <x:v>Board recovery action register</x:v>
      </x:c>
      <x:c r="D37" s="31" t="str">
        <x:v>Collections timing</x:v>
      </x:c>
      <x:c r="E37" s="31" t="str">
        <x:v>2026-Q2</x:v>
      </x:c>
      <x:c r="F37" s="31" t="str">
        <x:v>Approved case</x:v>
      </x:c>
      <x:c r="G37" s="31" t="str">
        <x:v>Evidence status</x:v>
      </x:c>
      <x:c r="H37" s="34" t="str"/>
      <x:c r="I37" s="31" t="str">
        <x:v>Initial customer-call evidence pending</x:v>
      </x:c>
      <x:c r="J37" s="31" t="str">
        <x:v>classification</x:v>
      </x:c>
      <x:c r="K37" s="31" t="str">
        <x:v>Earlier finance review summary</x:v>
      </x:c>
      <x:c r="L37" s="37" t="str">
        <x:v>2026-07-02</x:v>
      </x:c>
      <x:c r="M37" s="31" t="str"/>
    </x:row>
    <x:row r="38" ht="76.80000305175781" hidden="0" customHeight="1">
      <x:c r="A38" s="40" t="str">
        <x:v>RPT-00120</x:v>
      </x:c>
      <x:c r="B38" s="31" t="str">
        <x:v>Operating performance review</x:v>
      </x:c>
      <x:c r="C38" s="31" t="str">
        <x:v>Board recovery action register</x:v>
      </x:c>
      <x:c r="D38" s="31" t="str">
        <x:v>Collections timing</x:v>
      </x:c>
      <x:c r="E38" s="31" t="str">
        <x:v>2026-Q2</x:v>
      </x:c>
      <x:c r="F38" s="31" t="str">
        <x:v>Approved case</x:v>
      </x:c>
      <x:c r="G38" s="31" t="str">
        <x:v>Forecast treatment</x:v>
      </x:c>
      <x:c r="H38" s="34" t="str"/>
      <x:c r="I38" s="31" t="str">
        <x:v>Disclose separately; do not book or add to the June reforecast until evidence is complete</x:v>
      </x:c>
      <x:c r="J38" s="31" t="str">
        <x:v>classification</x:v>
      </x:c>
      <x:c r="K38" s="31" t="str">
        <x:v>Earlier finance review summary</x:v>
      </x:c>
      <x:c r="L38" s="37" t="str">
        <x:v>2026-07-02</x:v>
      </x:c>
      <x:c r="M38" s="31" t="str"/>
    </x:row>
    <x:row r="39" ht="28.799999237060547" hidden="0" customHeight="1">
      <x:c r="A39" s="40" t="str">
        <x:v>RPT-00122</x:v>
      </x:c>
      <x:c r="B39" s="31" t="str">
        <x:v>Q2 close performance</x:v>
      </x:c>
      <x:c r="C39" s="31" t="str">
        <x:v>Q2 actual export</x:v>
      </x:c>
      <x:c r="D39" s="31" t="str">
        <x:v>Construction</x:v>
      </x:c>
      <x:c r="E39" s="31" t="str">
        <x:v>2026-05 working copy</x:v>
      </x:c>
      <x:c r="F39" s="31" t="str">
        <x:v>Approved case</x:v>
      </x:c>
      <x:c r="G39" s="31" t="str">
        <x:v>Adjusted EBITDA margin</x:v>
      </x:c>
      <x:c r="H39" s="34" t="n">
        <x:v>0.09785</x:v>
      </x:c>
      <x:c r="I39" s="31" t="str"/>
      <x:c r="J39" s="31" t="str">
        <x:v>decimal ratio</x:v>
      </x:c>
      <x:c r="K39" s="31" t="str">
        <x:v>Earlier management working export</x:v>
      </x:c>
      <x:c r="L39" s="37" t="str">
        <x:v>2026-06-24</x:v>
      </x:c>
      <x:c r="M39" s="31" t="str"/>
    </x:row>
    <x:row r="40" ht="28.799999237060547" hidden="0" customHeight="1">
      <x:c r="A40" s="40" t="str">
        <x:v>RPT-00123</x:v>
      </x:c>
      <x:c r="B40" s="31" t="str">
        <x:v>Q2 approved plan</x:v>
      </x:c>
      <x:c r="C40" s="31" t="str">
        <x:v>Q2 approved plan</x:v>
      </x:c>
      <x:c r="D40" s="31" t="str">
        <x:v>Construction</x:v>
      </x:c>
      <x:c r="E40" s="31" t="str">
        <x:v>2026-06</x:v>
      </x:c>
      <x:c r="F40" s="31" t="str">
        <x:v>Management stretch</x:v>
      </x:c>
      <x:c r="G40" s="31" t="str">
        <x:v>Revenue plan</x:v>
      </x:c>
      <x:c r="H40" s="34" t="n">
        <x:v>2578867.2</x:v>
      </x:c>
      <x:c r="I40" s="31" t="str"/>
      <x:c r="J40" s="31" t="str">
        <x:v>USD</x:v>
      </x:c>
      <x:c r="K40" s="31" t="str">
        <x:v>Earlier management working export</x:v>
      </x:c>
      <x:c r="L40" s="37" t="str">
        <x:v>2026-06-24</x:v>
      </x:c>
      <x:c r="M40" s="31" t="str"/>
    </x:row>
    <x:row r="41" ht="28.799999237060547" hidden="0" customHeight="1">
      <x:c r="A41" s="40" t="str">
        <x:v>RPT-00124</x:v>
      </x:c>
      <x:c r="B41" s="31" t="str">
        <x:v>Q2 approved plan</x:v>
      </x:c>
      <x:c r="C41" s="31" t="str">
        <x:v>Q2 approved plan</x:v>
      </x:c>
      <x:c r="D41" s="31" t="str">
        <x:v>Service</x:v>
      </x:c>
      <x:c r="E41" s="31" t="str">
        <x:v>2026-05 working copy</x:v>
      </x:c>
      <x:c r="F41" s="31" t="str">
        <x:v>Approved case</x:v>
      </x:c>
      <x:c r="G41" s="31" t="str">
        <x:v>EBITDA plan margin</x:v>
      </x:c>
      <x:c r="H41" s="34" t="n">
        <x:v>0.1869</x:v>
      </x:c>
      <x:c r="I41" s="31" t="str"/>
      <x:c r="J41" s="31" t="str">
        <x:v>decimal ratio</x:v>
      </x:c>
      <x:c r="K41" s="31" t="str">
        <x:v>Earlier management working export</x:v>
      </x:c>
      <x:c r="L41" s="37" t="str">
        <x:v>2026-06-24</x:v>
      </x:c>
      <x:c r="M41" s="31" t="str"/>
    </x:row>
    <x:row r="42" ht="28.799999237060547" hidden="0" customHeight="1">
      <x:c r="A42" s="40" t="str">
        <x:v>RPT-00125</x:v>
      </x:c>
      <x:c r="B42" s="31" t="str">
        <x:v>Q2 close performance</x:v>
      </x:c>
      <x:c r="C42" s="31" t="str">
        <x:v>Q2 actual export</x:v>
      </x:c>
      <x:c r="D42" s="31" t="str">
        <x:v>Controls</x:v>
      </x:c>
      <x:c r="E42" s="31" t="str">
        <x:v>2026-05</x:v>
      </x:c>
      <x:c r="F42" s="31" t="str">
        <x:v>Management stretch</x:v>
      </x:c>
      <x:c r="G42" s="31" t="str">
        <x:v>Adjusted EBITDA margin</x:v>
      </x:c>
      <x:c r="H42" s="34" t="n">
        <x:v>0.15037999999999999</x:v>
      </x:c>
      <x:c r="I42" s="31" t="str"/>
      <x:c r="J42" s="31" t="str">
        <x:v>decimal ratio</x:v>
      </x:c>
      <x:c r="K42" s="31" t="str">
        <x:v>Earlier management working export</x:v>
      </x:c>
      <x:c r="L42" s="37" t="str">
        <x:v>2026-06-24</x:v>
      </x:c>
      <x:c r="M42" s="31" t="str"/>
    </x:row>
    <x:row r="43" ht="28.799999237060547" hidden="0" customHeight="1">
      <x:c r="A43" s="40" t="str">
        <x:v>RPT-00126</x:v>
      </x:c>
      <x:c r="B43" s="31" t="str">
        <x:v>Q2 cash and capital</x:v>
      </x:c>
      <x:c r="C43" s="31" t="str">
        <x:v>Cash and capital</x:v>
      </x:c>
      <x:c r="D43" s="31" t="str">
        <x:v>Consolidated</x:v>
      </x:c>
      <x:c r="E43" s="31" t="str">
        <x:v>2026-05 working copy</x:v>
      </x:c>
      <x:c r="F43" s="31" t="str">
        <x:v>Board plan</x:v>
      </x:c>
      <x:c r="G43" s="31" t="str">
        <x:v>Capital expenditure</x:v>
      </x:c>
      <x:c r="H43" s="34" t="n">
        <x:v>540800</x:v>
      </x:c>
      <x:c r="I43" s="31" t="str"/>
      <x:c r="J43" s="31" t="str">
        <x:v>USD</x:v>
      </x:c>
      <x:c r="K43" s="31" t="str">
        <x:v>Earlier management working export</x:v>
      </x:c>
      <x:c r="L43" s="37" t="str">
        <x:v>2026-06-24</x:v>
      </x:c>
      <x:c r="M43" s="31" t="str"/>
    </x:row>
    <x:row r="44" ht="28.799999237060547" hidden="0" customHeight="1">
      <x:c r="A44" s="40" t="str">
        <x:v>RPT-00127</x:v>
      </x:c>
      <x:c r="B44" s="31" t="str">
        <x:v>Q2 cash and capital</x:v>
      </x:c>
      <x:c r="C44" s="31" t="str">
        <x:v>Cash and capital</x:v>
      </x:c>
      <x:c r="D44" s="31" t="str">
        <x:v>Consolidated</x:v>
      </x:c>
      <x:c r="E44" s="31" t="str">
        <x:v>2026-06</x:v>
      </x:c>
      <x:c r="F44" s="31" t="str">
        <x:v>Management stretch</x:v>
      </x:c>
      <x:c r="G44" s="31" t="str">
        <x:v>Free cash flow plan</x:v>
      </x:c>
      <x:c r="H44" s="34" t="n">
        <x:v>892500</x:v>
      </x:c>
      <x:c r="I44" s="31" t="str"/>
      <x:c r="J44" s="31" t="str">
        <x:v>USD</x:v>
      </x:c>
      <x:c r="K44" s="31" t="str">
        <x:v>Earlier management working export</x:v>
      </x:c>
      <x:c r="L44" s="37" t="str">
        <x:v>2026-06-24</x:v>
      </x:c>
      <x:c r="M44" s="31" t="str"/>
    </x:row>
    <x:row r="45" ht="28.799999237060547" hidden="0" customHeight="1">
      <x:c r="A45" s="40" t="str">
        <x:v>RPT-00128</x:v>
      </x:c>
      <x:c r="B45" s="31" t="str">
        <x:v>Operating performance review</x:v>
      </x:c>
      <x:c r="C45" s="31" t="str">
        <x:v>Performance diagnostics</x:v>
      </x:c>
      <x:c r="D45" s="31" t="str">
        <x:v>Controls mix</x:v>
      </x:c>
      <x:c r="E45" s="31" t="str">
        <x:v>2026-05 working copy</x:v>
      </x:c>
      <x:c r="F45" s="31" t="str">
        <x:v>Approved case</x:v>
      </x:c>
      <x:c r="G45" s="31" t="str">
        <x:v>Unfavorable EBITDA impact</x:v>
      </x:c>
      <x:c r="H45" s="34" t="n">
        <x:v>82400</x:v>
      </x:c>
      <x:c r="I45" s="31" t="str"/>
      <x:c r="J45" s="31" t="str">
        <x:v>USD</x:v>
      </x:c>
      <x:c r="K45" s="31" t="str">
        <x:v>Earlier management working export</x:v>
      </x:c>
      <x:c r="L45" s="37" t="str">
        <x:v>2026-06-24</x:v>
      </x:c>
      <x:c r="M45" s="31" t="str"/>
    </x:row>
    <x:row r="46" ht="28.799999237060547" hidden="0" customHeight="1">
      <x:c r="A46" s="40" t="str">
        <x:v>RPT-00129</x:v>
      </x:c>
      <x:c r="B46" s="31" t="str">
        <x:v>Operating performance review</x:v>
      </x:c>
      <x:c r="C46" s="31" t="str">
        <x:v>Board recovery action register</x:v>
      </x:c>
      <x:c r="D46" s="31" t="str">
        <x:v>Collections timing</x:v>
      </x:c>
      <x:c r="E46" s="31" t="str">
        <x:v>2026-Q2</x:v>
      </x:c>
      <x:c r="F46" s="31" t="str">
        <x:v>Management stretch</x:v>
      </x:c>
      <x:c r="G46" s="31" t="str">
        <x:v>Approved realization probability</x:v>
      </x:c>
      <x:c r="H46" s="34" t="n">
        <x:v>0.78</x:v>
      </x:c>
      <x:c r="I46" s="31" t="str"/>
      <x:c r="J46" s="31" t="str">
        <x:v>decimal ratio</x:v>
      </x:c>
      <x:c r="K46" s="31" t="str">
        <x:v>Earlier management working export</x:v>
      </x:c>
      <x:c r="L46" s="37" t="str">
        <x:v>2026-06-24</x:v>
      </x:c>
      <x:c r="M46" s="31" t="str"/>
    </x:row>
    <x:row r="47" ht="28.799999237060547" hidden="0" customHeight="1">
      <x:c r="A47" s="40" t="str">
        <x:v>RPT-00130</x:v>
      </x:c>
      <x:c r="B47" s="31" t="str">
        <x:v>Q2 approved plan</x:v>
      </x:c>
      <x:c r="C47" s="31" t="str">
        <x:v>Q2 approved plan</x:v>
      </x:c>
      <x:c r="D47" s="31" t="str">
        <x:v>Construction</x:v>
      </x:c>
      <x:c r="E47" s="31" t="str">
        <x:v>2026-05 working copy</x:v>
      </x:c>
      <x:c r="F47" s="31" t="str">
        <x:v>Approved case</x:v>
      </x:c>
      <x:c r="G47" s="31" t="str">
        <x:v>Revenue plan</x:v>
      </x:c>
      <x:c r="H47" s="34" t="n">
        <x:v>2507232</x:v>
      </x:c>
      <x:c r="I47" s="31" t="str"/>
      <x:c r="J47" s="31" t="str">
        <x:v>USD</x:v>
      </x:c>
      <x:c r="K47" s="31" t="str">
        <x:v>Earlier management working export</x:v>
      </x:c>
      <x:c r="L47" s="37" t="str">
        <x:v>2026-06-24</x:v>
      </x:c>
      <x:c r="M47" s="31" t="str"/>
    </x:row>
    <x:row r="48" ht="28.799999237060547" hidden="0" customHeight="1">
      <x:c r="A48" s="40" t="str">
        <x:v>RPT-00131</x:v>
      </x:c>
      <x:c r="B48" s="31" t="str">
        <x:v>Q2 approved plan</x:v>
      </x:c>
      <x:c r="C48" s="31" t="str">
        <x:v>Q2 approved plan</x:v>
      </x:c>
      <x:c r="D48" s="31" t="str">
        <x:v>Service</x:v>
      </x:c>
      <x:c r="E48" s="31" t="str">
        <x:v>2026-04</x:v>
      </x:c>
      <x:c r="F48" s="31" t="str">
        <x:v>Management stretch</x:v>
      </x:c>
      <x:c r="G48" s="31" t="str">
        <x:v>EBITDA plan margin</x:v>
      </x:c>
      <x:c r="H48" s="34" t="n">
        <x:v>0.18334</x:v>
      </x:c>
      <x:c r="I48" s="31" t="str"/>
      <x:c r="J48" s="31" t="str">
        <x:v>decimal ratio</x:v>
      </x:c>
      <x:c r="K48" s="31" t="str">
        <x:v>Earlier management working export</x:v>
      </x:c>
      <x:c r="L48" s="37" t="str">
        <x:v>2026-06-24</x:v>
      </x:c>
      <x:c r="M48" s="31" t="str"/>
    </x:row>
    <x:row r="49" ht="28.799999237060547" hidden="0" customHeight="1">
      <x:c r="A49" s="40" t="str">
        <x:v>RPT-00196</x:v>
      </x:c>
      <x:c r="B49" s="31" t="str">
        <x:v>Q2 approved plan</x:v>
      </x:c>
      <x:c r="C49" s="31" t="str">
        <x:v>Q2 approved plan</x:v>
      </x:c>
      <x:c r="D49" s="31" t="str">
        <x:v>Construction</x:v>
      </x:c>
      <x:c r="E49" s="31" t="str">
        <x:v>2026-04</x:v>
      </x:c>
      <x:c r="F49" s="31" t="str">
        <x:v>Management stretch</x:v>
      </x:c>
      <x:c r="G49" s="31" t="str">
        <x:v>Revenue plan</x:v>
      </x:c>
      <x:c r="H49" s="34" t="n">
        <x:v>2387840</x:v>
      </x:c>
      <x:c r="I49" s="31" t="str"/>
      <x:c r="J49" s="31" t="str">
        <x:v>USD</x:v>
      </x:c>
      <x:c r="K49" s="31" t="str">
        <x:v>Earlier management working export</x:v>
      </x:c>
      <x:c r="L49" s="37" t="str">
        <x:v>2026-06-24</x:v>
      </x:c>
      <x:c r="M49" s="31" t="str"/>
    </x:row>
    <x:row r="50" ht="28.799999237060547" hidden="0" customHeight="1">
      <x:c r="A50" s="40" t="str">
        <x:v>RPT-00197</x:v>
      </x:c>
      <x:c r="B50" s="31" t="str">
        <x:v>Q2 approved plan</x:v>
      </x:c>
      <x:c r="C50" s="31" t="str">
        <x:v>Q2 approved plan</x:v>
      </x:c>
      <x:c r="D50" s="31" t="str">
        <x:v>Construction</x:v>
      </x:c>
      <x:c r="E50" s="31" t="str">
        <x:v>2026-05 working copy</x:v>
      </x:c>
      <x:c r="F50" s="31" t="str">
        <x:v>Approved case</x:v>
      </x:c>
      <x:c r="G50" s="31" t="str">
        <x:v>EBITDA plan margin</x:v>
      </x:c>
      <x:c r="H50" s="34" t="n">
        <x:v>0.12075000000000001</x:v>
      </x:c>
      <x:c r="I50" s="31" t="str"/>
      <x:c r="J50" s="31" t="str">
        <x:v>decimal ratio</x:v>
      </x:c>
      <x:c r="K50" s="31" t="str">
        <x:v>Earlier management working export</x:v>
      </x:c>
      <x:c r="L50" s="37" t="str">
        <x:v>2026-06-24</x:v>
      </x:c>
      <x:c r="M50" s="31" t="str"/>
    </x:row>
    <x:row r="51" ht="28.799999237060547" hidden="0" customHeight="1">
      <x:c r="A51" s="40" t="str">
        <x:v>RPT-00198</x:v>
      </x:c>
      <x:c r="B51" s="31" t="str">
        <x:v>Q2 close performance</x:v>
      </x:c>
      <x:c r="C51" s="31" t="str">
        <x:v>Q2 actual export</x:v>
      </x:c>
      <x:c r="D51" s="31" t="str">
        <x:v>Service</x:v>
      </x:c>
      <x:c r="E51" s="31" t="str">
        <x:v>2026-06</x:v>
      </x:c>
      <x:c r="F51" s="31" t="str">
        <x:v>Management stretch</x:v>
      </x:c>
      <x:c r="G51" s="31" t="str">
        <x:v>Adjusted EBITDA margin</x:v>
      </x:c>
      <x:c r="H51" s="34" t="n">
        <x:v>0.18128000000000002</x:v>
      </x:c>
      <x:c r="I51" s="31" t="str"/>
      <x:c r="J51" s="31" t="str">
        <x:v>decimal ratio</x:v>
      </x:c>
      <x:c r="K51" s="31" t="str">
        <x:v>Earlier management working export</x:v>
      </x:c>
      <x:c r="L51" s="37" t="str">
        <x:v>2026-06-24</x:v>
      </x:c>
      <x:c r="M51" s="31" t="str"/>
    </x:row>
    <x:row r="52" ht="28.799999237060547" hidden="0" customHeight="1">
      <x:c r="A52" s="40" t="str">
        <x:v>RPT-00236</x:v>
      </x:c>
      <x:c r="B52" s="31" t="str">
        <x:v>FY26 guidance review</x:v>
      </x:c>
      <x:c r="C52" s="31" t="str">
        <x:v>Guidance combined stress</x:v>
      </x:c>
      <x:c r="D52" s="31" t="str">
        <x:v>Alder Ridge</x:v>
      </x:c>
      <x:c r="E52" s="31" t="str">
        <x:v>FY26</x:v>
      </x:c>
      <x:c r="F52" s="31" t="str">
        <x:v>Approved case</x:v>
      </x:c>
      <x:c r="G52" s="31" t="str">
        <x:v>Incremental revenue shock</x:v>
      </x:c>
      <x:c r="H52" s="34" t="n">
        <x:v>-0.008</x:v>
      </x:c>
      <x:c r="I52" s="31" t="str"/>
      <x:c r="J52" s="31" t="str">
        <x:v>decimal ratio</x:v>
      </x:c>
      <x:c r="K52" s="31" t="str">
        <x:v>Earlier finance review summary</x:v>
      </x:c>
      <x:c r="L52" s="37" t="str">
        <x:v>2026-07-02</x:v>
      </x:c>
      <x:c r="M52" s="31" t="str"/>
    </x:row>
    <x:row r="53" ht="28.799999237060547" hidden="0" customHeight="1">
      <x:c r="A53" s="40" t="str">
        <x:v>RPT-00237</x:v>
      </x:c>
      <x:c r="B53" s="31" t="str">
        <x:v>FY26 guidance review</x:v>
      </x:c>
      <x:c r="C53" s="31" t="str">
        <x:v>Guidance combined stress</x:v>
      </x:c>
      <x:c r="D53" s="31" t="str">
        <x:v>Alder Ridge</x:v>
      </x:c>
      <x:c r="E53" s="31" t="str">
        <x:v>FY26</x:v>
      </x:c>
      <x:c r="F53" s="31" t="str">
        <x:v>Approved case</x:v>
      </x:c>
      <x:c r="G53" s="31" t="str">
        <x:v>Incremental gross margin shock</x:v>
      </x:c>
      <x:c r="H53" s="34" t="n">
        <x:v>-0.0025</x:v>
      </x:c>
      <x:c r="I53" s="31" t="str"/>
      <x:c r="J53" s="31" t="str">
        <x:v>decimal ratio</x:v>
      </x:c>
      <x:c r="K53" s="31" t="str">
        <x:v>Earlier finance review summary</x:v>
      </x:c>
      <x:c r="L53" s="37" t="str">
        <x:v>2026-07-02</x:v>
      </x:c>
      <x:c r="M53" s="31" t="str"/>
    </x:row>
    <x:row r="54" ht="28.799999237060547" hidden="0" customHeight="1">
      <x:c r="A54" s="40" t="str">
        <x:v>RPT-00238</x:v>
      </x:c>
      <x:c r="B54" s="31" t="str">
        <x:v>FY26 guidance review</x:v>
      </x:c>
      <x:c r="C54" s="31" t="str">
        <x:v>Guidance combined stress</x:v>
      </x:c>
      <x:c r="D54" s="31" t="str">
        <x:v>Alder Ridge</x:v>
      </x:c>
      <x:c r="E54" s="31" t="str">
        <x:v>FY26</x:v>
      </x:c>
      <x:c r="F54" s="31" t="str">
        <x:v>Approved case</x:v>
      </x:c>
      <x:c r="G54" s="31" t="str">
        <x:v>Variable opex response percent</x:v>
      </x:c>
      <x:c r="H54" s="34" t="n">
        <x:v>0.15</x:v>
      </x:c>
      <x:c r="I54" s="31" t="str"/>
      <x:c r="J54" s="31" t="str">
        <x:v>decimal ratio</x:v>
      </x:c>
      <x:c r="K54" s="31" t="str">
        <x:v>Earlier finance review summary</x:v>
      </x:c>
      <x:c r="L54" s="37" t="str">
        <x:v>2026-07-02</x:v>
      </x:c>
      <x:c r="M54" s="31" t="str"/>
    </x:row>
    <x:row r="55" ht="28.799999237060547" hidden="0" customHeight="1">
      <x:c r="A55" s="40" t="str">
        <x:v>RPT-00239</x:v>
      </x:c>
      <x:c r="B55" s="31" t="str">
        <x:v>FY26 guidance review</x:v>
      </x:c>
      <x:c r="C55" s="31" t="str">
        <x:v>Guidance combined stress</x:v>
      </x:c>
      <x:c r="D55" s="31" t="str">
        <x:v>Alder Ridge</x:v>
      </x:c>
      <x:c r="E55" s="31" t="str">
        <x:v>FY26</x:v>
      </x:c>
      <x:c r="F55" s="31" t="str">
        <x:v>Approved case</x:v>
      </x:c>
      <x:c r="G55" s="31" t="str">
        <x:v>Stress cash conversion percent</x:v>
      </x:c>
      <x:c r="H55" s="34" t="n">
        <x:v>0.65</x:v>
      </x:c>
      <x:c r="I55" s="31" t="str"/>
      <x:c r="J55" s="31" t="str">
        <x:v>decimal ratio</x:v>
      </x:c>
      <x:c r="K55" s="31" t="str">
        <x:v>Earlier finance review summary</x:v>
      </x:c>
      <x:c r="L55" s="37" t="str">
        <x:v>2026-07-02</x:v>
      </x:c>
      <x:c r="M55" s="31" t="str"/>
    </x:row>
    <x:row r="56" ht="48" hidden="0" customHeight="1">
      <x:c r="A56" s="40" t="str">
        <x:v>RPT-00240</x:v>
      </x:c>
      <x:c r="B56" s="31" t="str">
        <x:v>FY26 guidance review</x:v>
      </x:c>
      <x:c r="C56" s="31" t="str">
        <x:v>Guidance combined stress</x:v>
      </x:c>
      <x:c r="D56" s="31" t="str">
        <x:v>Alder Ridge</x:v>
      </x:c>
      <x:c r="E56" s="31" t="str">
        <x:v>FY26</x:v>
      </x:c>
      <x:c r="F56" s="31" t="str">
        <x:v>Approved case</x:v>
      </x:c>
      <x:c r="G56" s="31" t="str">
        <x:v>Minimum EBITDA headroom above guidance low</x:v>
      </x:c>
      <x:c r="H56" s="34" t="n">
        <x:v>0</x:v>
      </x:c>
      <x:c r="I56" s="31" t="str"/>
      <x:c r="J56" s="31" t="str">
        <x:v>USD</x:v>
      </x:c>
      <x:c r="K56" s="31" t="str">
        <x:v>Earlier finance review summary</x:v>
      </x:c>
      <x:c r="L56" s="37" t="str">
        <x:v>2026-07-02</x:v>
      </x:c>
      <x:c r="M56" s="31" t="str"/>
    </x:row>
    <x:row r="57" ht="28.799999237060547" hidden="0" customHeight="1">
      <x:c r="A57" s="40" t="str">
        <x:v>RPT-00241</x:v>
      </x:c>
      <x:c r="B57" s="31" t="str">
        <x:v>FY26 guidance review</x:v>
      </x:c>
      <x:c r="C57" s="31" t="str">
        <x:v>Guidance combined stress</x:v>
      </x:c>
      <x:c r="D57" s="31" t="str">
        <x:v>Alder Ridge</x:v>
      </x:c>
      <x:c r="E57" s="31" t="str">
        <x:v>FY26</x:v>
      </x:c>
      <x:c r="F57" s="31" t="str">
        <x:v>Approved case</x:v>
      </x:c>
      <x:c r="G57" s="31" t="str">
        <x:v>Starting scenario</x:v>
      </x:c>
      <x:c r="H57" s="34" t="str"/>
      <x:c r="I57" s="31" t="str">
        <x:v>Base</x:v>
      </x:c>
      <x:c r="J57" s="31" t="str">
        <x:v>classification</x:v>
      </x:c>
      <x:c r="K57" s="31" t="str">
        <x:v>Earlier finance review summary</x:v>
      </x:c>
      <x:c r="L57" s="37" t="str">
        <x:v>2026-07-02</x:v>
      </x:c>
      <x:c r="M57" s="31" t="str"/>
    </x:row>
    <x:row r="58" ht="28.799999237060547" hidden="0" customHeight="1">
      <x:c r="A58" s="40" t="str">
        <x:v>RPT-00242</x:v>
      </x:c>
      <x:c r="B58" s="31" t="str">
        <x:v>FY26 guidance review</x:v>
      </x:c>
      <x:c r="C58" s="31" t="str">
        <x:v>Guidance combined stress</x:v>
      </x:c>
      <x:c r="D58" s="31" t="str">
        <x:v>Alder Ridge</x:v>
      </x:c>
      <x:c r="E58" s="31" t="str">
        <x:v>FY26</x:v>
      </x:c>
      <x:c r="F58" s="31" t="str">
        <x:v>Approved case</x:v>
      </x:c>
      <x:c r="G58" s="31" t="str">
        <x:v>Risk aggregation basis</x:v>
      </x:c>
      <x:c r="H58" s="34" t="str"/>
      <x:c r="I58" s="31" t="str">
        <x:v>June 30 draft register</x:v>
      </x:c>
      <x:c r="J58" s="31" t="str">
        <x:v>classification</x:v>
      </x:c>
      <x:c r="K58" s="31" t="str">
        <x:v>Earlier finance review summary</x:v>
      </x:c>
      <x:c r="L58" s="37" t="str">
        <x:v>2026-07-02</x:v>
      </x:c>
      <x:c r="M58" s="31" t="str"/>
    </x:row>
    <x:row r="59" ht="28.799999237060547" hidden="0" customHeight="1">
      <x:c r="A59" s="40" t="str">
        <x:v>RPT-00243</x:v>
      </x:c>
      <x:c r="B59" s="31" t="str">
        <x:v>FY26 guidance review</x:v>
      </x:c>
      <x:c r="C59" s="31" t="str">
        <x:v>Guidance combined stress</x:v>
      </x:c>
      <x:c r="D59" s="31" t="str">
        <x:v>Alder Ridge</x:v>
      </x:c>
      <x:c r="E59" s="31" t="str">
        <x:v>FY26</x:v>
      </x:c>
      <x:c r="F59" s="31" t="str">
        <x:v>Approved case</x:v>
      </x:c>
      <x:c r="G59" s="31" t="str">
        <x:v>Earnings stress basis</x:v>
      </x:c>
      <x:c r="H59" s="34" t="str"/>
      <x:c r="I59" s="31" t="str">
        <x:v>Pre-review scenario assumptions</x:v>
      </x:c>
      <x:c r="J59" s="31" t="str">
        <x:v>classification</x:v>
      </x:c>
      <x:c r="K59" s="31" t="str">
        <x:v>Earlier finance review summary</x:v>
      </x:c>
      <x:c r="L59" s="37" t="str">
        <x:v>2026-07-02</x:v>
      </x:c>
      <x:c r="M59" s="31" t="str"/>
    </x:row>
    <x:row r="60" ht="28.799999237060547" hidden="0" customHeight="1">
      <x:c r="A60" s="40" t="str">
        <x:v>RPT-00244</x:v>
      </x:c>
      <x:c r="B60" s="31" t="str">
        <x:v>FY26 guidance review</x:v>
      </x:c>
      <x:c r="C60" s="31" t="str">
        <x:v>Guidance combined stress</x:v>
      </x:c>
      <x:c r="D60" s="31" t="str">
        <x:v>Alder Ridge</x:v>
      </x:c>
      <x:c r="E60" s="31" t="str">
        <x:v>FY26</x:v>
      </x:c>
      <x:c r="F60" s="31" t="str">
        <x:v>Approved case</x:v>
      </x:c>
      <x:c r="G60" s="31" t="str">
        <x:v>Cost response reference</x:v>
      </x:c>
      <x:c r="H60" s="34" t="str"/>
      <x:c r="I60" s="31" t="str">
        <x:v>Selected starting scenario</x:v>
      </x:c>
      <x:c r="J60" s="31" t="str">
        <x:v>classification</x:v>
      </x:c>
      <x:c r="K60" s="31" t="str">
        <x:v>Earlier finance review summary</x:v>
      </x:c>
      <x:c r="L60" s="37" t="str">
        <x:v>2026-07-02</x:v>
      </x:c>
      <x:c r="M60" s="31" t="str"/>
    </x:row>
    <x:row r="61" ht="28.799999237060547" hidden="0" customHeight="1">
      <x:c r="A61" s="40" t="str">
        <x:v>RPT-00245</x:v>
      </x:c>
      <x:c r="B61" s="31" t="str">
        <x:v>Operating performance review</x:v>
      </x:c>
      <x:c r="C61" s="31" t="str">
        <x:v>Operating action evidence</x:v>
      </x:c>
      <x:c r="D61" s="31" t="str">
        <x:v>Construction gross profit</x:v>
      </x:c>
      <x:c r="E61" s="31" t="str">
        <x:v>2026-07-05</x:v>
      </x:c>
      <x:c r="F61" s="31" t="str">
        <x:v>Approved case</x:v>
      </x:c>
      <x:c r="G61" s="31" t="str">
        <x:v>Accountable owner</x:v>
      </x:c>
      <x:c r="H61" s="34" t="str"/>
      <x:c r="I61" s="31" t="str">
        <x:v>COO</x:v>
      </x:c>
      <x:c r="J61" s="31" t="str">
        <x:v>classification</x:v>
      </x:c>
      <x:c r="K61" s="31" t="str">
        <x:v>Earlier finance review summary</x:v>
      </x:c>
      <x:c r="L61" s="37" t="str">
        <x:v>2026-07-02</x:v>
      </x:c>
      <x:c r="M61" s="31" t="str"/>
    </x:row>
    <x:row r="62" ht="28.799999237060547" hidden="0" customHeight="1">
      <x:c r="A62" s="40" t="str">
        <x:v>RPT-00246</x:v>
      </x:c>
      <x:c r="B62" s="31" t="str">
        <x:v>Operating performance review</x:v>
      </x:c>
      <x:c r="C62" s="31" t="str">
        <x:v>Operating action evidence</x:v>
      </x:c>
      <x:c r="D62" s="31" t="str">
        <x:v>Construction gross profit</x:v>
      </x:c>
      <x:c r="E62" s="31" t="str">
        <x:v>2026-07-05</x:v>
      </x:c>
      <x:c r="F62" s="31" t="str">
        <x:v>Approved case</x:v>
      </x:c>
      <x:c r="G62" s="31" t="str">
        <x:v>Financial category</x:v>
      </x:c>
      <x:c r="H62" s="34" t="str"/>
      <x:c r="I62" s="31" t="str">
        <x:v>EBITDA</x:v>
      </x:c>
      <x:c r="J62" s="31" t="str">
        <x:v>classification</x:v>
      </x:c>
      <x:c r="K62" s="31" t="str">
        <x:v>Earlier finance review summary</x:v>
      </x:c>
      <x:c r="L62" s="37" t="str">
        <x:v>2026-07-02</x:v>
      </x:c>
      <x:c r="M62" s="31" t="str"/>
    </x:row>
    <x:row r="63" ht="28.799999237060547" hidden="0" customHeight="1">
      <x:c r="A63" s="40" t="str">
        <x:v>RPT-00247</x:v>
      </x:c>
      <x:c r="B63" s="31" t="str">
        <x:v>Operating performance review</x:v>
      </x:c>
      <x:c r="C63" s="31" t="str">
        <x:v>Operating action evidence</x:v>
      </x:c>
      <x:c r="D63" s="31" t="str">
        <x:v>Construction gross profit</x:v>
      </x:c>
      <x:c r="E63" s="31" t="str">
        <x:v>2026-07-05</x:v>
      </x:c>
      <x:c r="F63" s="31" t="str">
        <x:v>Approved case</x:v>
      </x:c>
      <x:c r="G63" s="31" t="str">
        <x:v>Supported recovery factor</x:v>
      </x:c>
      <x:c r="H63" s="34" t="n">
        <x:v>0.66</x:v>
      </x:c>
      <x:c r="I63" s="31" t="str"/>
      <x:c r="J63" s="31" t="str">
        <x:v>decimal ratio</x:v>
      </x:c>
      <x:c r="K63" s="31" t="str">
        <x:v>Earlier finance review summary</x:v>
      </x:c>
      <x:c r="L63" s="37" t="str">
        <x:v>2026-07-02</x:v>
      </x:c>
      <x:c r="M63" s="31" t="str"/>
    </x:row>
    <x:row r="64" ht="28.799999237060547" hidden="0" customHeight="1">
      <x:c r="A64" s="40" t="str">
        <x:v>RPT-00248</x:v>
      </x:c>
      <x:c r="B64" s="31" t="str">
        <x:v>Operating performance review</x:v>
      </x:c>
      <x:c r="C64" s="31" t="str">
        <x:v>Operating action evidence</x:v>
      </x:c>
      <x:c r="D64" s="31" t="str">
        <x:v>Construction gross profit</x:v>
      </x:c>
      <x:c r="E64" s="31" t="str">
        <x:v>2026-07-05</x:v>
      </x:c>
      <x:c r="F64" s="31" t="str">
        <x:v>Approved case</x:v>
      </x:c>
      <x:c r="G64" s="31" t="str">
        <x:v>Dated support</x:v>
      </x:c>
      <x:c r="H64" s="34" t="str"/>
      <x:c r="I64" s="31" t="str">
        <x:v>Vendor buyout estimate under review</x:v>
      </x:c>
      <x:c r="J64" s="31" t="str">
        <x:v>classification</x:v>
      </x:c>
      <x:c r="K64" s="31" t="str">
        <x:v>Earlier finance review summary</x:v>
      </x:c>
      <x:c r="L64" s="37" t="str">
        <x:v>2026-07-02</x:v>
      </x:c>
      <x:c r="M64" s="31" t="str"/>
    </x:row>
    <x:row r="65" ht="28.799999237060547" hidden="0" customHeight="1">
      <x:c r="A65" s="40" t="str">
        <x:v>RPT-00249</x:v>
      </x:c>
      <x:c r="B65" s="31" t="str">
        <x:v>Operating performance review</x:v>
      </x:c>
      <x:c r="C65" s="31" t="str">
        <x:v>Operating action evidence</x:v>
      </x:c>
      <x:c r="D65" s="31" t="str">
        <x:v>Construction gross profit</x:v>
      </x:c>
      <x:c r="E65" s="31" t="str">
        <x:v>2026-07-05</x:v>
      </x:c>
      <x:c r="F65" s="31" t="str">
        <x:v>Approved case</x:v>
      </x:c>
      <x:c r="G65" s="31" t="str">
        <x:v>Earliest forecast period</x:v>
      </x:c>
      <x:c r="H65" s="34" t="str"/>
      <x:c r="I65" s="31" t="str">
        <x:v>2026-Q3</x:v>
      </x:c>
      <x:c r="J65" s="31" t="str">
        <x:v>classification</x:v>
      </x:c>
      <x:c r="K65" s="31" t="str">
        <x:v>Earlier finance review summary</x:v>
      </x:c>
      <x:c r="L65" s="37" t="str">
        <x:v>2026-07-02</x:v>
      </x:c>
      <x:c r="M65" s="31" t="str"/>
    </x:row>
    <x:row r="66" ht="28.799999237060547" hidden="0" customHeight="1">
      <x:c r="A66" s="40" t="str">
        <x:v>RPT-00250</x:v>
      </x:c>
      <x:c r="B66" s="31" t="str">
        <x:v>Operating performance review</x:v>
      </x:c>
      <x:c r="C66" s="31" t="str">
        <x:v>Operating action evidence</x:v>
      </x:c>
      <x:c r="D66" s="31" t="str">
        <x:v>Construction gross profit</x:v>
      </x:c>
      <x:c r="E66" s="31" t="str">
        <x:v>2026-07-05</x:v>
      </x:c>
      <x:c r="F66" s="31" t="str">
        <x:v>Approved case</x:v>
      </x:c>
      <x:c r="G66" s="31" t="str">
        <x:v>Next review date</x:v>
      </x:c>
      <x:c r="H66" s="34" t="str"/>
      <x:c r="I66" s="31" t="str">
        <x:v>2026-07-08</x:v>
      </x:c>
      <x:c r="J66" s="31" t="str">
        <x:v>classification</x:v>
      </x:c>
      <x:c r="K66" s="31" t="str">
        <x:v>Earlier finance review summary</x:v>
      </x:c>
      <x:c r="L66" s="37" t="str">
        <x:v>2026-07-02</x:v>
      </x:c>
      <x:c r="M66" s="31" t="str"/>
    </x:row>
    <x:row r="67" ht="28.799999237060547" hidden="0" customHeight="1">
      <x:c r="A67" s="40" t="str">
        <x:v>RPT-00251</x:v>
      </x:c>
      <x:c r="B67" s="31" t="str">
        <x:v>Operating performance review</x:v>
      </x:c>
      <x:c r="C67" s="31" t="str">
        <x:v>Operating action evidence</x:v>
      </x:c>
      <x:c r="D67" s="31" t="str">
        <x:v>Service labor productivity</x:v>
      </x:c>
      <x:c r="E67" s="31" t="str">
        <x:v>2026-07-05</x:v>
      </x:c>
      <x:c r="F67" s="31" t="str">
        <x:v>Approved case</x:v>
      </x:c>
      <x:c r="G67" s="31" t="str">
        <x:v>Accountable owner</x:v>
      </x:c>
      <x:c r="H67" s="34" t="str"/>
      <x:c r="I67" s="31" t="str">
        <x:v>VP Service</x:v>
      </x:c>
      <x:c r="J67" s="31" t="str">
        <x:v>classification</x:v>
      </x:c>
      <x:c r="K67" s="31" t="str">
        <x:v>Earlier finance review summary</x:v>
      </x:c>
      <x:c r="L67" s="37" t="str">
        <x:v>2026-07-02</x:v>
      </x:c>
      <x:c r="M67" s="31" t="str"/>
    </x:row>
    <x:row r="68" ht="28.799999237060547" hidden="0" customHeight="1">
      <x:c r="A68" s="40" t="str">
        <x:v>RPT-00252</x:v>
      </x:c>
      <x:c r="B68" s="31" t="str">
        <x:v>Operating performance review</x:v>
      </x:c>
      <x:c r="C68" s="31" t="str">
        <x:v>Operating action evidence</x:v>
      </x:c>
      <x:c r="D68" s="31" t="str">
        <x:v>Service labor productivity</x:v>
      </x:c>
      <x:c r="E68" s="31" t="str">
        <x:v>2026-07-05</x:v>
      </x:c>
      <x:c r="F68" s="31" t="str">
        <x:v>Approved case</x:v>
      </x:c>
      <x:c r="G68" s="31" t="str">
        <x:v>Financial category</x:v>
      </x:c>
      <x:c r="H68" s="34" t="str"/>
      <x:c r="I68" s="31" t="str">
        <x:v>EBITDA</x:v>
      </x:c>
      <x:c r="J68" s="31" t="str">
        <x:v>classification</x:v>
      </x:c>
      <x:c r="K68" s="31" t="str">
        <x:v>Earlier finance review summary</x:v>
      </x:c>
      <x:c r="L68" s="37" t="str">
        <x:v>2026-07-02</x:v>
      </x:c>
      <x:c r="M68" s="31" t="str"/>
    </x:row>
    <x:row r="69" ht="28.799999237060547" hidden="0" customHeight="1">
      <x:c r="A69" s="40" t="str">
        <x:v>RPT-00253</x:v>
      </x:c>
      <x:c r="B69" s="31" t="str">
        <x:v>Operating performance review</x:v>
      </x:c>
      <x:c r="C69" s="31" t="str">
        <x:v>Operating action evidence</x:v>
      </x:c>
      <x:c r="D69" s="31" t="str">
        <x:v>Service labor productivity</x:v>
      </x:c>
      <x:c r="E69" s="31" t="str">
        <x:v>2026-07-05</x:v>
      </x:c>
      <x:c r="F69" s="31" t="str">
        <x:v>Approved case</x:v>
      </x:c>
      <x:c r="G69" s="31" t="str">
        <x:v>Supported recovery factor</x:v>
      </x:c>
      <x:c r="H69" s="34" t="n">
        <x:v>0.76</x:v>
      </x:c>
      <x:c r="I69" s="31" t="str"/>
      <x:c r="J69" s="31" t="str">
        <x:v>decimal ratio</x:v>
      </x:c>
      <x:c r="K69" s="31" t="str">
        <x:v>Earlier finance review summary</x:v>
      </x:c>
      <x:c r="L69" s="37" t="str">
        <x:v>2026-07-02</x:v>
      </x:c>
      <x:c r="M69" s="31" t="str"/>
    </x:row>
    <x:row r="70" ht="28.799999237060547" hidden="0" customHeight="1">
      <x:c r="A70" s="40" t="str">
        <x:v>RPT-00254</x:v>
      </x:c>
      <x:c r="B70" s="31" t="str">
        <x:v>Operating performance review</x:v>
      </x:c>
      <x:c r="C70" s="31" t="str">
        <x:v>Operating action evidence</x:v>
      </x:c>
      <x:c r="D70" s="31" t="str">
        <x:v>Service labor productivity</x:v>
      </x:c>
      <x:c r="E70" s="31" t="str">
        <x:v>2026-07-05</x:v>
      </x:c>
      <x:c r="F70" s="31" t="str">
        <x:v>Approved case</x:v>
      </x:c>
      <x:c r="G70" s="31" t="str">
        <x:v>Dated support</x:v>
      </x:c>
      <x:c r="H70" s="34" t="str"/>
      <x:c r="I70" s="31" t="str">
        <x:v>Route-hour estimate under review</x:v>
      </x:c>
      <x:c r="J70" s="31" t="str">
        <x:v>classification</x:v>
      </x:c>
      <x:c r="K70" s="31" t="str">
        <x:v>Earlier finance review summary</x:v>
      </x:c>
      <x:c r="L70" s="37" t="str">
        <x:v>2026-07-02</x:v>
      </x:c>
      <x:c r="M70" s="31" t="str"/>
    </x:row>
    <x:row r="71" ht="28.799999237060547" hidden="0" customHeight="1">
      <x:c r="A71" s="40" t="str">
        <x:v>RPT-00255</x:v>
      </x:c>
      <x:c r="B71" s="31" t="str">
        <x:v>Operating performance review</x:v>
      </x:c>
      <x:c r="C71" s="31" t="str">
        <x:v>Operating action evidence</x:v>
      </x:c>
      <x:c r="D71" s="31" t="str">
        <x:v>Service labor productivity</x:v>
      </x:c>
      <x:c r="E71" s="31" t="str">
        <x:v>2026-07-05</x:v>
      </x:c>
      <x:c r="F71" s="31" t="str">
        <x:v>Approved case</x:v>
      </x:c>
      <x:c r="G71" s="31" t="str">
        <x:v>Earliest forecast period</x:v>
      </x:c>
      <x:c r="H71" s="34" t="str"/>
      <x:c r="I71" s="31" t="str">
        <x:v>2026-Q3</x:v>
      </x:c>
      <x:c r="J71" s="31" t="str">
        <x:v>classification</x:v>
      </x:c>
      <x:c r="K71" s="31" t="str">
        <x:v>Earlier finance review summary</x:v>
      </x:c>
      <x:c r="L71" s="37" t="str">
        <x:v>2026-07-02</x:v>
      </x:c>
      <x:c r="M71" s="31" t="str"/>
    </x:row>
    <x:row r="72" ht="28.799999237060547" hidden="0" customHeight="1">
      <x:c r="A72" s="40" t="str">
        <x:v>RPT-00256</x:v>
      </x:c>
      <x:c r="B72" s="31" t="str">
        <x:v>Operating performance review</x:v>
      </x:c>
      <x:c r="C72" s="31" t="str">
        <x:v>Operating action evidence</x:v>
      </x:c>
      <x:c r="D72" s="31" t="str">
        <x:v>Service labor productivity</x:v>
      </x:c>
      <x:c r="E72" s="31" t="str">
        <x:v>2026-07-05</x:v>
      </x:c>
      <x:c r="F72" s="31" t="str">
        <x:v>Approved case</x:v>
      </x:c>
      <x:c r="G72" s="31" t="str">
        <x:v>Next review date</x:v>
      </x:c>
      <x:c r="H72" s="34" t="str"/>
      <x:c r="I72" s="31" t="str">
        <x:v>2026-07-08</x:v>
      </x:c>
      <x:c r="J72" s="31" t="str">
        <x:v>classification</x:v>
      </x:c>
      <x:c r="K72" s="31" t="str">
        <x:v>Earlier finance review summary</x:v>
      </x:c>
      <x:c r="L72" s="37" t="str">
        <x:v>2026-07-02</x:v>
      </x:c>
      <x:c r="M72" s="31" t="str"/>
    </x:row>
    <x:row r="73" ht="28.799999237060547" hidden="0" customHeight="1">
      <x:c r="A73" s="40" t="str">
        <x:v>RPT-00257</x:v>
      </x:c>
      <x:c r="B73" s="31" t="str">
        <x:v>Operating performance review</x:v>
      </x:c>
      <x:c r="C73" s="31" t="str">
        <x:v>Operating action evidence</x:v>
      </x:c>
      <x:c r="D73" s="31" t="str">
        <x:v>Controls mix</x:v>
      </x:c>
      <x:c r="E73" s="31" t="str">
        <x:v>2026-07-05</x:v>
      </x:c>
      <x:c r="F73" s="31" t="str">
        <x:v>Approved case</x:v>
      </x:c>
      <x:c r="G73" s="31" t="str">
        <x:v>Accountable owner</x:v>
      </x:c>
      <x:c r="H73" s="34" t="str"/>
      <x:c r="I73" s="31" t="str">
        <x:v>VP Controls</x:v>
      </x:c>
      <x:c r="J73" s="31" t="str">
        <x:v>classification</x:v>
      </x:c>
      <x:c r="K73" s="31" t="str">
        <x:v>Earlier finance review summary</x:v>
      </x:c>
      <x:c r="L73" s="37" t="str">
        <x:v>2026-07-02</x:v>
      </x:c>
      <x:c r="M73" s="31" t="str"/>
    </x:row>
    <x:row r="74" ht="28.799999237060547" hidden="0" customHeight="1">
      <x:c r="A74" s="40" t="str">
        <x:v>RPT-00258</x:v>
      </x:c>
      <x:c r="B74" s="31" t="str">
        <x:v>Operating performance review</x:v>
      </x:c>
      <x:c r="C74" s="31" t="str">
        <x:v>Operating action evidence</x:v>
      </x:c>
      <x:c r="D74" s="31" t="str">
        <x:v>Controls mix</x:v>
      </x:c>
      <x:c r="E74" s="31" t="str">
        <x:v>2026-07-05</x:v>
      </x:c>
      <x:c r="F74" s="31" t="str">
        <x:v>Approved case</x:v>
      </x:c>
      <x:c r="G74" s="31" t="str">
        <x:v>Financial category</x:v>
      </x:c>
      <x:c r="H74" s="34" t="str"/>
      <x:c r="I74" s="31" t="str">
        <x:v>EBITDA</x:v>
      </x:c>
      <x:c r="J74" s="31" t="str">
        <x:v>classification</x:v>
      </x:c>
      <x:c r="K74" s="31" t="str">
        <x:v>Earlier finance review summary</x:v>
      </x:c>
      <x:c r="L74" s="37" t="str">
        <x:v>2026-07-02</x:v>
      </x:c>
      <x:c r="M74" s="31" t="str"/>
    </x:row>
    <x:row r="75" ht="28.799999237060547" hidden="0" customHeight="1">
      <x:c r="A75" s="40" t="str">
        <x:v>RPT-00259</x:v>
      </x:c>
      <x:c r="B75" s="31" t="str">
        <x:v>Operating performance review</x:v>
      </x:c>
      <x:c r="C75" s="31" t="str">
        <x:v>Operating action evidence</x:v>
      </x:c>
      <x:c r="D75" s="31" t="str">
        <x:v>Controls mix</x:v>
      </x:c>
      <x:c r="E75" s="31" t="str">
        <x:v>2026-07-05</x:v>
      </x:c>
      <x:c r="F75" s="31" t="str">
        <x:v>Approved case</x:v>
      </x:c>
      <x:c r="G75" s="31" t="str">
        <x:v>Supported recovery factor</x:v>
      </x:c>
      <x:c r="H75" s="34" t="n">
        <x:v>0.55</x:v>
      </x:c>
      <x:c r="I75" s="31" t="str"/>
      <x:c r="J75" s="31" t="str">
        <x:v>decimal ratio</x:v>
      </x:c>
      <x:c r="K75" s="31" t="str">
        <x:v>Earlier finance review summary</x:v>
      </x:c>
      <x:c r="L75" s="37" t="str">
        <x:v>2026-07-02</x:v>
      </x:c>
      <x:c r="M75" s="31" t="str"/>
    </x:row>
    <x:row r="76" ht="38.400001525878906" hidden="0" customHeight="1">
      <x:c r="A76" s="40" t="str">
        <x:v>RPT-00260</x:v>
      </x:c>
      <x:c r="B76" s="31" t="str">
        <x:v>Operating performance review</x:v>
      </x:c>
      <x:c r="C76" s="31" t="str">
        <x:v>Operating action evidence</x:v>
      </x:c>
      <x:c r="D76" s="31" t="str">
        <x:v>Controls mix</x:v>
      </x:c>
      <x:c r="E76" s="31" t="str">
        <x:v>2026-07-05</x:v>
      </x:c>
      <x:c r="F76" s="31" t="str">
        <x:v>Approved case</x:v>
      </x:c>
      <x:c r="G76" s="31" t="str">
        <x:v>Dated support</x:v>
      </x:c>
      <x:c r="H76" s="34" t="str"/>
      <x:c r="I76" s="31" t="str">
        <x:v>Commissioning sequence not yet approved</x:v>
      </x:c>
      <x:c r="J76" s="31" t="str">
        <x:v>classification</x:v>
      </x:c>
      <x:c r="K76" s="31" t="str">
        <x:v>Earlier finance review summary</x:v>
      </x:c>
      <x:c r="L76" s="37" t="str">
        <x:v>2026-07-02</x:v>
      </x:c>
      <x:c r="M76" s="31" t="str"/>
    </x:row>
    <x:row r="77" ht="28.799999237060547" hidden="0" customHeight="1">
      <x:c r="A77" s="40" t="str">
        <x:v>RPT-00261</x:v>
      </x:c>
      <x:c r="B77" s="31" t="str">
        <x:v>Operating performance review</x:v>
      </x:c>
      <x:c r="C77" s="31" t="str">
        <x:v>Operating action evidence</x:v>
      </x:c>
      <x:c r="D77" s="31" t="str">
        <x:v>Controls mix</x:v>
      </x:c>
      <x:c r="E77" s="31" t="str">
        <x:v>2026-07-05</x:v>
      </x:c>
      <x:c r="F77" s="31" t="str">
        <x:v>Approved case</x:v>
      </x:c>
      <x:c r="G77" s="31" t="str">
        <x:v>Earliest forecast period</x:v>
      </x:c>
      <x:c r="H77" s="34" t="str"/>
      <x:c r="I77" s="31" t="str">
        <x:v>2026-Q4</x:v>
      </x:c>
      <x:c r="J77" s="31" t="str">
        <x:v>classification</x:v>
      </x:c>
      <x:c r="K77" s="31" t="str">
        <x:v>Earlier finance review summary</x:v>
      </x:c>
      <x:c r="L77" s="37" t="str">
        <x:v>2026-07-02</x:v>
      </x:c>
      <x:c r="M77" s="31" t="str"/>
    </x:row>
    <x:row r="78" ht="28.799999237060547" hidden="0" customHeight="1">
      <x:c r="A78" s="40" t="str">
        <x:v>RPT-00262</x:v>
      </x:c>
      <x:c r="B78" s="31" t="str">
        <x:v>Operating performance review</x:v>
      </x:c>
      <x:c r="C78" s="31" t="str">
        <x:v>Operating action evidence</x:v>
      </x:c>
      <x:c r="D78" s="31" t="str">
        <x:v>Controls mix</x:v>
      </x:c>
      <x:c r="E78" s="31" t="str">
        <x:v>2026-07-05</x:v>
      </x:c>
      <x:c r="F78" s="31" t="str">
        <x:v>Approved case</x:v>
      </x:c>
      <x:c r="G78" s="31" t="str">
        <x:v>Next review date</x:v>
      </x:c>
      <x:c r="H78" s="34" t="str"/>
      <x:c r="I78" s="31" t="str">
        <x:v>2026-07-09</x:v>
      </x:c>
      <x:c r="J78" s="31" t="str">
        <x:v>classification</x:v>
      </x:c>
      <x:c r="K78" s="31" t="str">
        <x:v>Earlier finance review summary</x:v>
      </x:c>
      <x:c r="L78" s="37" t="str">
        <x:v>2026-07-02</x:v>
      </x:c>
      <x:c r="M78" s="31" t="str"/>
    </x:row>
    <x:row r="79" ht="28.799999237060547" hidden="0" customHeight="1">
      <x:c r="A79" s="40" t="str">
        <x:v>RPT-00263</x:v>
      </x:c>
      <x:c r="B79" s="31" t="str">
        <x:v>Operating performance review</x:v>
      </x:c>
      <x:c r="C79" s="31" t="str">
        <x:v>Operating action evidence</x:v>
      </x:c>
      <x:c r="D79" s="31" t="str">
        <x:v>Collections timing</x:v>
      </x:c>
      <x:c r="E79" s="31" t="str">
        <x:v>2026-07-05</x:v>
      </x:c>
      <x:c r="F79" s="31" t="str">
        <x:v>Approved case</x:v>
      </x:c>
      <x:c r="G79" s="31" t="str">
        <x:v>Accountable owner</x:v>
      </x:c>
      <x:c r="H79" s="34" t="str"/>
      <x:c r="I79" s="31" t="str">
        <x:v>Controller</x:v>
      </x:c>
      <x:c r="J79" s="31" t="str">
        <x:v>classification</x:v>
      </x:c>
      <x:c r="K79" s="31" t="str">
        <x:v>Earlier finance review summary</x:v>
      </x:c>
      <x:c r="L79" s="37" t="str">
        <x:v>2026-07-02</x:v>
      </x:c>
      <x:c r="M79" s="31" t="str"/>
    </x:row>
    <x:row r="80" ht="28.799999237060547" hidden="0" customHeight="1">
      <x:c r="A80" s="40" t="str">
        <x:v>RPT-00264</x:v>
      </x:c>
      <x:c r="B80" s="31" t="str">
        <x:v>Operating performance review</x:v>
      </x:c>
      <x:c r="C80" s="31" t="str">
        <x:v>Operating action evidence</x:v>
      </x:c>
      <x:c r="D80" s="31" t="str">
        <x:v>Collections timing</x:v>
      </x:c>
      <x:c r="E80" s="31" t="str">
        <x:v>2026-07-05</x:v>
      </x:c>
      <x:c r="F80" s="31" t="str">
        <x:v>Approved case</x:v>
      </x:c>
      <x:c r="G80" s="31" t="str">
        <x:v>Financial category</x:v>
      </x:c>
      <x:c r="H80" s="34" t="str"/>
      <x:c r="I80" s="31" t="str">
        <x:v>Cash</x:v>
      </x:c>
      <x:c r="J80" s="31" t="str">
        <x:v>classification</x:v>
      </x:c>
      <x:c r="K80" s="31" t="str">
        <x:v>Earlier finance review summary</x:v>
      </x:c>
      <x:c r="L80" s="37" t="str">
        <x:v>2026-07-02</x:v>
      </x:c>
      <x:c r="M80" s="31" t="str"/>
    </x:row>
    <x:row r="81" ht="28.799999237060547" hidden="0" customHeight="1">
      <x:c r="A81" s="40" t="str">
        <x:v>RPT-00265</x:v>
      </x:c>
      <x:c r="B81" s="31" t="str">
        <x:v>Operating performance review</x:v>
      </x:c>
      <x:c r="C81" s="31" t="str">
        <x:v>Operating action evidence</x:v>
      </x:c>
      <x:c r="D81" s="31" t="str">
        <x:v>Collections timing</x:v>
      </x:c>
      <x:c r="E81" s="31" t="str">
        <x:v>2026-07-05</x:v>
      </x:c>
      <x:c r="F81" s="31" t="str">
        <x:v>Approved case</x:v>
      </x:c>
      <x:c r="G81" s="31" t="str">
        <x:v>Supported recovery factor</x:v>
      </x:c>
      <x:c r="H81" s="34" t="n">
        <x:v>0.85</x:v>
      </x:c>
      <x:c r="I81" s="31" t="str"/>
      <x:c r="J81" s="31" t="str">
        <x:v>decimal ratio</x:v>
      </x:c>
      <x:c r="K81" s="31" t="str">
        <x:v>Earlier finance review summary</x:v>
      </x:c>
      <x:c r="L81" s="37" t="str">
        <x:v>2026-07-02</x:v>
      </x:c>
      <x:c r="M81" s="31" t="str"/>
    </x:row>
    <x:row r="82" ht="38.400001525878906" hidden="0" customHeight="1">
      <x:c r="A82" s="40" t="str">
        <x:v>RPT-00266</x:v>
      </x:c>
      <x:c r="B82" s="31" t="str">
        <x:v>Operating performance review</x:v>
      </x:c>
      <x:c r="C82" s="31" t="str">
        <x:v>Operating action evidence</x:v>
      </x:c>
      <x:c r="D82" s="31" t="str">
        <x:v>Collections timing</x:v>
      </x:c>
      <x:c r="E82" s="31" t="str">
        <x:v>2026-07-05</x:v>
      </x:c>
      <x:c r="F82" s="31" t="str">
        <x:v>Approved case</x:v>
      </x:c>
      <x:c r="G82" s="31" t="str">
        <x:v>Dated support</x:v>
      </x:c>
      <x:c r="H82" s="34" t="str"/>
      <x:c r="I82" s="31" t="str">
        <x:v>Customer receipt dates not yet confirmed</x:v>
      </x:c>
      <x:c r="J82" s="31" t="str">
        <x:v>classification</x:v>
      </x:c>
      <x:c r="K82" s="31" t="str">
        <x:v>Earlier finance review summary</x:v>
      </x:c>
      <x:c r="L82" s="37" t="str">
        <x:v>2026-07-02</x:v>
      </x:c>
      <x:c r="M82" s="31" t="str"/>
    </x:row>
    <x:row r="83" ht="28.799999237060547" hidden="0" customHeight="1">
      <x:c r="A83" s="40" t="str">
        <x:v>RPT-00267</x:v>
      </x:c>
      <x:c r="B83" s="31" t="str">
        <x:v>Operating performance review</x:v>
      </x:c>
      <x:c r="C83" s="31" t="str">
        <x:v>Operating action evidence</x:v>
      </x:c>
      <x:c r="D83" s="31" t="str">
        <x:v>Collections timing</x:v>
      </x:c>
      <x:c r="E83" s="31" t="str">
        <x:v>2026-07-05</x:v>
      </x:c>
      <x:c r="F83" s="31" t="str">
        <x:v>Approved case</x:v>
      </x:c>
      <x:c r="G83" s="31" t="str">
        <x:v>Earliest forecast period</x:v>
      </x:c>
      <x:c r="H83" s="34" t="str"/>
      <x:c r="I83" s="31" t="str">
        <x:v>2026-Q3</x:v>
      </x:c>
      <x:c r="J83" s="31" t="str">
        <x:v>classification</x:v>
      </x:c>
      <x:c r="K83" s="31" t="str">
        <x:v>Earlier finance review summary</x:v>
      </x:c>
      <x:c r="L83" s="37" t="str">
        <x:v>2026-07-02</x:v>
      </x:c>
      <x:c r="M83" s="31" t="str"/>
    </x:row>
    <x:row r="84" ht="28.799999237060547" hidden="0" customHeight="1">
      <x:c r="A84" s="40" t="str">
        <x:v>RPT-00268</x:v>
      </x:c>
      <x:c r="B84" s="31" t="str">
        <x:v>Operating performance review</x:v>
      </x:c>
      <x:c r="C84" s="31" t="str">
        <x:v>Operating action evidence</x:v>
      </x:c>
      <x:c r="D84" s="31" t="str">
        <x:v>Collections timing</x:v>
      </x:c>
      <x:c r="E84" s="31" t="str">
        <x:v>2026-07-05</x:v>
      </x:c>
      <x:c r="F84" s="31" t="str">
        <x:v>Approved case</x:v>
      </x:c>
      <x:c r="G84" s="31" t="str">
        <x:v>Next review date</x:v>
      </x:c>
      <x:c r="H84" s="34" t="str"/>
      <x:c r="I84" s="31" t="str">
        <x:v>2026-07-08</x:v>
      </x:c>
      <x:c r="J84" s="31" t="str">
        <x:v>classification</x:v>
      </x:c>
      <x:c r="K84" s="31" t="str">
        <x:v>Earlier finance review summary</x:v>
      </x:c>
      <x:c r="L84" s="37" t="str">
        <x:v>2026-07-02</x:v>
      </x:c>
      <x:c r="M84" s="31" t="str"/>
    </x:row>
    <x:row r="85" ht="28.799999237060547" hidden="0" customHeight="1">
      <x:c r="A85" s="40" t="str">
        <x:v>RPT-00331</x:v>
      </x:c>
      <x:c r="B85" s="31" t="str">
        <x:v>Q2 close performance</x:v>
      </x:c>
      <x:c r="C85" s="31" t="str">
        <x:v>Q2 actual export</x:v>
      </x:c>
      <x:c r="D85" s="31" t="str">
        <x:v>Construction</x:v>
      </x:c>
      <x:c r="E85" s="31" t="str">
        <x:v>2026-05</x:v>
      </x:c>
      <x:c r="F85" s="31" t="str">
        <x:v>Management stretch</x:v>
      </x:c>
      <x:c r="G85" s="31" t="str">
        <x:v>Adjusted EBITDA margin</x:v>
      </x:c>
      <x:c r="H85" s="34" t="n">
        <x:v>0.10296000000000001</x:v>
      </x:c>
      <x:c r="I85" s="31" t="str"/>
      <x:c r="J85" s="31" t="str">
        <x:v>decimal ratio</x:v>
      </x:c>
      <x:c r="K85" s="31" t="str">
        <x:v>Earlier management working export</x:v>
      </x:c>
      <x:c r="L85" s="37" t="str">
        <x:v>2026-06-24</x:v>
      </x:c>
      <x:c r="M85" s="31" t="str"/>
    </x:row>
    <x:row r="86" ht="28.799999237060547" hidden="0" customHeight="1">
      <x:c r="A86" s="40" t="str">
        <x:v>RPT-00332</x:v>
      </x:c>
      <x:c r="B86" s="31" t="str">
        <x:v>Q2 approved plan</x:v>
      </x:c>
      <x:c r="C86" s="31" t="str">
        <x:v>Q2 approved plan</x:v>
      </x:c>
      <x:c r="D86" s="31" t="str">
        <x:v>Service</x:v>
      </x:c>
      <x:c r="E86" s="31" t="str">
        <x:v>2026-05 working copy</x:v>
      </x:c>
      <x:c r="F86" s="31" t="str">
        <x:v>Approved case</x:v>
      </x:c>
      <x:c r="G86" s="31" t="str">
        <x:v>Revenue plan</x:v>
      </x:c>
      <x:c r="H86" s="34" t="n">
        <x:v>1205400</x:v>
      </x:c>
      <x:c r="I86" s="31" t="str"/>
      <x:c r="J86" s="31" t="str">
        <x:v>USD</x:v>
      </x:c>
      <x:c r="K86" s="31" t="str">
        <x:v>Earlier management working export</x:v>
      </x:c>
      <x:c r="L86" s="37" t="str">
        <x:v>2026-06-24</x:v>
      </x:c>
      <x:c r="M86" s="31" t="str"/>
    </x:row>
    <x:row r="87" ht="28.799999237060547" hidden="0" customHeight="1">
      <x:c r="A87" s="40" t="str">
        <x:v>RPT-00333</x:v>
      </x:c>
      <x:c r="B87" s="31" t="str">
        <x:v>Q2 approved plan</x:v>
      </x:c>
      <x:c r="C87" s="31" t="str">
        <x:v>Q2 approved plan</x:v>
      </x:c>
      <x:c r="D87" s="31" t="str">
        <x:v>Service</x:v>
      </x:c>
      <x:c r="E87" s="31" t="str">
        <x:v>2026-06</x:v>
      </x:c>
      <x:c r="F87" s="31" t="str">
        <x:v>Management stretch</x:v>
      </x:c>
      <x:c r="G87" s="31" t="str">
        <x:v>EBITDA plan margin</x:v>
      </x:c>
      <x:c r="H87" s="34" t="n">
        <x:v>0.18334</x:v>
      </x:c>
      <x:c r="I87" s="31" t="str"/>
      <x:c r="J87" s="31" t="str">
        <x:v>decimal ratio</x:v>
      </x:c>
      <x:c r="K87" s="31" t="str">
        <x:v>Earlier management working export</x:v>
      </x:c>
      <x:c r="L87" s="37" t="str">
        <x:v>2026-06-24</x:v>
      </x:c>
      <x:c r="M87" s="31" t="str"/>
    </x:row>
    <x:row r="88" ht="28.799999237060547" hidden="0" customHeight="1">
      <x:c r="A88" s="40" t="str">
        <x:v>RPT-00365</x:v>
      </x:c>
      <x:c r="B88" s="31" t="str">
        <x:v>FY26 guidance review</x:v>
      </x:c>
      <x:c r="C88" s="31" t="str">
        <x:v>Guidance scenarios</x:v>
      </x:c>
      <x:c r="D88" s="31" t="str">
        <x:v>Alder Ridge</x:v>
      </x:c>
      <x:c r="E88" s="31" t="str">
        <x:v>2026-05 working copy</x:v>
      </x:c>
      <x:c r="F88" s="31" t="str">
        <x:v>Approved case</x:v>
      </x:c>
      <x:c r="G88" s="31" t="str">
        <x:v>Probability</x:v>
      </x:c>
      <x:c r="H88" s="34" t="n">
        <x:v>0.20600000000000002</x:v>
      </x:c>
      <x:c r="I88" s="31" t="str"/>
      <x:c r="J88" s="31" t="str">
        <x:v>decimal ratio</x:v>
      </x:c>
      <x:c r="K88" s="31" t="str">
        <x:v>Earlier management working export</x:v>
      </x:c>
      <x:c r="L88" s="37" t="str">
        <x:v>2026-06-24</x:v>
      </x:c>
      <x:c r="M88" s="31" t="str"/>
    </x:row>
    <x:row r="89" ht="28.799999237060547" hidden="0" customHeight="1">
      <x:c r="A89" s="40" t="str">
        <x:v>RPT-00366</x:v>
      </x:c>
      <x:c r="B89" s="31" t="str">
        <x:v>FY26 guidance review</x:v>
      </x:c>
      <x:c r="C89" s="31" t="str">
        <x:v>Guidance scenarios</x:v>
      </x:c>
      <x:c r="D89" s="31" t="str">
        <x:v>Alder Ridge</x:v>
      </x:c>
      <x:c r="E89" s="31" t="str">
        <x:v>Base</x:v>
      </x:c>
      <x:c r="F89" s="31" t="str">
        <x:v>Management stretch</x:v>
      </x:c>
      <x:c r="G89" s="31" t="str">
        <x:v>Gross margin</x:v>
      </x:c>
      <x:c r="H89" s="34" t="n">
        <x:v>0.28912000000000004</x:v>
      </x:c>
      <x:c r="I89" s="31" t="str"/>
      <x:c r="J89" s="31" t="str">
        <x:v>decimal ratio</x:v>
      </x:c>
      <x:c r="K89" s="31" t="str">
        <x:v>Earlier management working export</x:v>
      </x:c>
      <x:c r="L89" s="37" t="str">
        <x:v>2026-06-24</x:v>
      </x:c>
      <x:c r="M89" s="31" t="str"/>
    </x:row>
    <x:row r="90" ht="28.799999237060547" hidden="0" customHeight="1">
      <x:c r="A90" s="40" t="str">
        <x:v>RPT-00367</x:v>
      </x:c>
      <x:c r="B90" s="31" t="str">
        <x:v>FY26 guidance review</x:v>
      </x:c>
      <x:c r="C90" s="31" t="str">
        <x:v>Guidance scenarios</x:v>
      </x:c>
      <x:c r="D90" s="31" t="str">
        <x:v>Alder Ridge</x:v>
      </x:c>
      <x:c r="E90" s="31" t="str">
        <x:v>2026-05 working copy</x:v>
      </x:c>
      <x:c r="F90" s="31" t="str">
        <x:v>Approved case</x:v>
      </x:c>
      <x:c r="G90" s="31" t="str">
        <x:v>Free cash flow</x:v>
      </x:c>
      <x:c r="H90" s="34" t="n">
        <x:v>4357500</x:v>
      </x:c>
      <x:c r="I90" s="31" t="str"/>
      <x:c r="J90" s="31" t="str">
        <x:v>USD</x:v>
      </x:c>
      <x:c r="K90" s="31" t="str">
        <x:v>Earlier management working export</x:v>
      </x:c>
      <x:c r="L90" s="37" t="str">
        <x:v>2026-06-24</x:v>
      </x:c>
      <x:c r="M90" s="31" t="str"/>
    </x:row>
    <x:row r="91" ht="28.799999237060547" hidden="0" customHeight="1">
      <x:c r="A91" s="40" t="str">
        <x:v>RPT-00368</x:v>
      </x:c>
      <x:c r="B91" s="31" t="str">
        <x:v>FY26 guidance review</x:v>
      </x:c>
      <x:c r="C91" s="31" t="str">
        <x:v>Guidance risk register</x:v>
      </x:c>
      <x:c r="D91" s="31" t="str">
        <x:v>Copper escalation</x:v>
      </x:c>
      <x:c r="E91" s="31" t="str">
        <x:v>FY26</x:v>
      </x:c>
      <x:c r="F91" s="31" t="str">
        <x:v>Management stretch</x:v>
      </x:c>
      <x:c r="G91" s="31" t="str">
        <x:v>Revenue impact</x:v>
      </x:c>
      <x:c r="H91" s="34" t="n">
        <x:v>0</x:v>
      </x:c>
      <x:c r="I91" s="31" t="str"/>
      <x:c r="J91" s="31" t="str">
        <x:v>USD</x:v>
      </x:c>
      <x:c r="K91" s="31" t="str">
        <x:v>Earlier management working export</x:v>
      </x:c>
      <x:c r="L91" s="37" t="str">
        <x:v>2026-06-24</x:v>
      </x:c>
      <x:c r="M91" s="31" t="str"/>
    </x:row>
    <x:row r="92" ht="28.799999237060547" hidden="0" customHeight="1">
      <x:c r="A92" s="40" t="str">
        <x:v>RPT-00369</x:v>
      </x:c>
      <x:c r="B92" s="31" t="str">
        <x:v>FY26 guidance review</x:v>
      </x:c>
      <x:c r="C92" s="31" t="str">
        <x:v>Investor guidance policy</x:v>
      </x:c>
      <x:c r="D92" s="31" t="str">
        <x:v>Alder Ridge</x:v>
      </x:c>
      <x:c r="E92" s="31" t="str">
        <x:v>2026-05 working copy</x:v>
      </x:c>
      <x:c r="F92" s="31" t="str">
        <x:v>Approved case</x:v>
      </x:c>
      <x:c r="G92" s="31" t="str">
        <x:v>Revenue rounding increment</x:v>
      </x:c>
      <x:c r="H92" s="34" t="n">
        <x:v>520000</x:v>
      </x:c>
      <x:c r="I92" s="31" t="str"/>
      <x:c r="J92" s="31" t="str">
        <x:v>USD</x:v>
      </x:c>
      <x:c r="K92" s="31" t="str">
        <x:v>Earlier management working export</x:v>
      </x:c>
      <x:c r="L92" s="37" t="str">
        <x:v>2026-06-24</x:v>
      </x:c>
      <x:c r="M92" s="31" t="str"/>
    </x:row>
    <x:row r="93" ht="28.799999237060547" hidden="0" customHeight="1">
      <x:c r="A93" s="40" t="str">
        <x:v>RPT-00370</x:v>
      </x:c>
      <x:c r="B93" s="31" t="str">
        <x:v>FY26 guidance review</x:v>
      </x:c>
      <x:c r="C93" s="31" t="str">
        <x:v>Guidance scenarios</x:v>
      </x:c>
      <x:c r="D93" s="31" t="str">
        <x:v>Alder Ridge</x:v>
      </x:c>
      <x:c r="E93" s="31" t="str">
        <x:v>Base</x:v>
      </x:c>
      <x:c r="F93" s="31" t="str">
        <x:v>Management stretch</x:v>
      </x:c>
      <x:c r="G93" s="31" t="str">
        <x:v>Probability</x:v>
      </x:c>
      <x:c r="H93" s="34" t="n">
        <x:v>0.525</x:v>
      </x:c>
      <x:c r="I93" s="31" t="str"/>
      <x:c r="J93" s="31" t="str">
        <x:v>decimal ratio</x:v>
      </x:c>
      <x:c r="K93" s="31" t="str">
        <x:v>Earlier management working export</x:v>
      </x:c>
      <x:c r="L93" s="37" t="str">
        <x:v>2026-06-24</x:v>
      </x:c>
      <x:c r="M93" s="31" t="str"/>
    </x:row>
    <x:row r="94" ht="28.799999237060547" hidden="0" customHeight="1">
      <x:c r="A94" s="40" t="str">
        <x:v>RPT-00371</x:v>
      </x:c>
      <x:c r="B94" s="31" t="str">
        <x:v>FY26 guidance review</x:v>
      </x:c>
      <x:c r="C94" s="31" t="str">
        <x:v>Guidance scenarios</x:v>
      </x:c>
      <x:c r="D94" s="31" t="str">
        <x:v>Alder Ridge</x:v>
      </x:c>
      <x:c r="E94" s="31" t="str">
        <x:v>2026-05 working copy</x:v>
      </x:c>
      <x:c r="F94" s="31" t="str">
        <x:v>Approved case</x:v>
      </x:c>
      <x:c r="G94" s="31" t="str">
        <x:v>Gross margin</x:v>
      </x:c>
      <x:c r="H94" s="34" t="n">
        <x:v>0.29973</x:v>
      </x:c>
      <x:c r="I94" s="31" t="str"/>
      <x:c r="J94" s="31" t="str">
        <x:v>decimal ratio</x:v>
      </x:c>
      <x:c r="K94" s="31" t="str">
        <x:v>Earlier management working export</x:v>
      </x:c>
      <x:c r="L94" s="37" t="str">
        <x:v>2026-06-24</x:v>
      </x:c>
      <x:c r="M94" s="31" t="str"/>
    </x:row>
    <x:row r="95" ht="28.799999237060547" hidden="0" customHeight="1">
      <x:c r="A95" s="40" t="str">
        <x:v>RPT-00372</x:v>
      </x:c>
      <x:c r="B95" s="31" t="str">
        <x:v>FY26 guidance review</x:v>
      </x:c>
      <x:c r="C95" s="31" t="str">
        <x:v>Guidance risk register</x:v>
      </x:c>
      <x:c r="D95" s="31" t="str">
        <x:v>Service renewal upside</x:v>
      </x:c>
      <x:c r="E95" s="31" t="str">
        <x:v>FY26</x:v>
      </x:c>
      <x:c r="F95" s="31" t="str">
        <x:v>Management stretch</x:v>
      </x:c>
      <x:c r="G95" s="31" t="str">
        <x:v>EBITDA impact</x:v>
      </x:c>
      <x:c r="H95" s="34" t="n">
        <x:v>343200</x:v>
      </x:c>
      <x:c r="I95" s="31" t="str"/>
      <x:c r="J95" s="31" t="str">
        <x:v>USD</x:v>
      </x:c>
      <x:c r="K95" s="31" t="str">
        <x:v>Earlier management working export</x:v>
      </x:c>
      <x:c r="L95" s="37" t="str">
        <x:v>2026-06-24</x:v>
      </x:c>
      <x:c r="M95" s="31" t="str"/>
    </x:row>
    <x:row r="96" ht="28.799999237060547" hidden="0" customHeight="1">
      <x:c r="A96" s="40" t="str">
        <x:v>RPT-00373</x:v>
      </x:c>
      <x:c r="B96" s="31" t="str">
        <x:v>FY26 guidance review</x:v>
      </x:c>
      <x:c r="C96" s="31" t="str">
        <x:v>Guidance risk register</x:v>
      </x:c>
      <x:c r="D96" s="31" t="str">
        <x:v>Controls commissioning</x:v>
      </x:c>
      <x:c r="E96" s="31" t="str">
        <x:v>2026-05 working copy</x:v>
      </x:c>
      <x:c r="F96" s="31" t="str">
        <x:v>Approved case</x:v>
      </x:c>
      <x:c r="G96" s="31" t="str">
        <x:v>Probability</x:v>
      </x:c>
      <x:c r="H96" s="34" t="n">
        <x:v>0.63</x:v>
      </x:c>
      <x:c r="I96" s="31" t="str"/>
      <x:c r="J96" s="31" t="str">
        <x:v>decimal ratio</x:v>
      </x:c>
      <x:c r="K96" s="31" t="str">
        <x:v>Earlier management working export</x:v>
      </x:c>
      <x:c r="L96" s="37" t="str">
        <x:v>2026-06-24</x:v>
      </x:c>
      <x:c r="M96" s="31" t="str"/>
    </x:row>
    <x:row r="97" ht="28.799999237060547" hidden="0" customHeight="1">
      <x:c r="A97" s="40" t="str">
        <x:v>RPT-00374</x:v>
      </x:c>
      <x:c r="B97" s="31" t="str">
        <x:v>FY26 guidance review</x:v>
      </x:c>
      <x:c r="C97" s="31" t="str">
        <x:v>Guidance scenarios</x:v>
      </x:c>
      <x:c r="D97" s="31" t="str">
        <x:v>Alder Ridge</x:v>
      </x:c>
      <x:c r="E97" s="31" t="str">
        <x:v>Low</x:v>
      </x:c>
      <x:c r="F97" s="31" t="str">
        <x:v>Management stretch</x:v>
      </x:c>
      <x:c r="G97" s="31" t="str">
        <x:v>Operating expense</x:v>
      </x:c>
      <x:c r="H97" s="34" t="n">
        <x:v>11690500</x:v>
      </x:c>
      <x:c r="I97" s="31" t="str"/>
      <x:c r="J97" s="31" t="str">
        <x:v>USD</x:v>
      </x:c>
      <x:c r="K97" s="31" t="str">
        <x:v>Earlier management working export</x:v>
      </x:c>
      <x:c r="L97" s="37" t="str">
        <x:v>2026-06-24</x:v>
      </x:c>
      <x:c r="M97" s="31" t="str"/>
    </x:row>
    <x:row r="98" ht="28.799999237060547" hidden="0" customHeight="1">
      <x:c r="A98" s="40" t="str">
        <x:v>RPT-00375</x:v>
      </x:c>
      <x:c r="B98" s="31" t="str">
        <x:v>FY26 guidance review</x:v>
      </x:c>
      <x:c r="C98" s="31" t="str">
        <x:v>Guidance scenarios</x:v>
      </x:c>
      <x:c r="D98" s="31" t="str">
        <x:v>Alder Ridge</x:v>
      </x:c>
      <x:c r="E98" s="31" t="str">
        <x:v>2026-05 working copy</x:v>
      </x:c>
      <x:c r="F98" s="31" t="str">
        <x:v>Approved case</x:v>
      </x:c>
      <x:c r="G98" s="31" t="str">
        <x:v>Probability</x:v>
      </x:c>
      <x:c r="H98" s="34" t="n">
        <x:v>0.312</x:v>
      </x:c>
      <x:c r="I98" s="31" t="str"/>
      <x:c r="J98" s="31" t="str">
        <x:v>decimal ratio</x:v>
      </x:c>
      <x:c r="K98" s="31" t="str">
        <x:v>Earlier management working export</x:v>
      </x:c>
      <x:c r="L98" s="37" t="str">
        <x:v>2026-06-24</x:v>
      </x:c>
      <x:c r="M98" s="31" t="str"/>
    </x:row>
    <x:row r="99" ht="28.799999237060547" hidden="0" customHeight="1">
      <x:c r="A99" s="40" t="str">
        <x:v>RPT-00376</x:v>
      </x:c>
      <x:c r="B99" s="31" t="str">
        <x:v>FY26 guidance review</x:v>
      </x:c>
      <x:c r="C99" s="31" t="str">
        <x:v>Guidance risk register</x:v>
      </x:c>
      <x:c r="D99" s="31" t="str">
        <x:v>Helix schedule slip</x:v>
      </x:c>
      <x:c r="E99" s="31" t="str">
        <x:v>FY26</x:v>
      </x:c>
      <x:c r="F99" s="31" t="str">
        <x:v>Management stretch</x:v>
      </x:c>
      <x:c r="G99" s="31" t="str">
        <x:v>Probability</x:v>
      </x:c>
      <x:c r="H99" s="34" t="n">
        <x:v>0.3675</x:v>
      </x:c>
      <x:c r="I99" s="31" t="str"/>
      <x:c r="J99" s="31" t="str">
        <x:v>decimal ratio</x:v>
      </x:c>
      <x:c r="K99" s="31" t="str">
        <x:v>Earlier management working export</x:v>
      </x:c>
      <x:c r="L99" s="37" t="str">
        <x:v>2026-06-24</x:v>
      </x:c>
      <x:c r="M99" s="31" t="str"/>
    </x:row>
    <x:row r="100" ht="28.799999237060547" hidden="0" customHeight="1">
      <x:c r="A100" s="40" t="str">
        <x:v>RPT-00377</x:v>
      </x:c>
      <x:c r="B100" s="31" t="str">
        <x:v>FY26 guidance review</x:v>
      </x:c>
      <x:c r="C100" s="31" t="str">
        <x:v>Guidance risk register</x:v>
      </x:c>
      <x:c r="D100" s="31" t="str">
        <x:v>Controls commissioning</x:v>
      </x:c>
      <x:c r="E100" s="31" t="str">
        <x:v>2026-05 working copy</x:v>
      </x:c>
      <x:c r="F100" s="31" t="str">
        <x:v>Approved case</x:v>
      </x:c>
      <x:c r="G100" s="31" t="str">
        <x:v>Revenue impact</x:v>
      </x:c>
      <x:c r="H100" s="34" t="n">
        <x:v>463500</x:v>
      </x:c>
      <x:c r="I100" s="31" t="str"/>
      <x:c r="J100" s="31" t="str">
        <x:v>USD</x:v>
      </x:c>
      <x:c r="K100" s="31" t="str">
        <x:v>Earlier management working export</x:v>
      </x:c>
      <x:c r="L100" s="37" t="str">
        <x:v>2026-06-24</x:v>
      </x:c>
      <x:c r="M100" s="31" t="str"/>
    </x:row>
    <x:row r="101" ht="28.799999237060547" hidden="0" customHeight="1">
      <x:c r="A101" s="40" t="str">
        <x:v>RPT-00378</x:v>
      </x:c>
      <x:c r="B101" s="31" t="str">
        <x:v>FY26 guidance review</x:v>
      </x:c>
      <x:c r="C101" s="31" t="str">
        <x:v>Guidance scenarios</x:v>
      </x:c>
      <x:c r="D101" s="31" t="str">
        <x:v>Alder Ridge</x:v>
      </x:c>
      <x:c r="E101" s="31" t="str">
        <x:v>Low</x:v>
      </x:c>
      <x:c r="F101" s="31" t="str">
        <x:v>Management stretch</x:v>
      </x:c>
      <x:c r="G101" s="31" t="str">
        <x:v>Revenue</x:v>
      </x:c>
      <x:c r="H101" s="34" t="n">
        <x:v>51792000</x:v>
      </x:c>
      <x:c r="I101" s="31" t="str"/>
      <x:c r="J101" s="31" t="str">
        <x:v>USD</x:v>
      </x:c>
      <x:c r="K101" s="31" t="str">
        <x:v>Earlier management working export</x:v>
      </x:c>
      <x:c r="L101" s="37" t="str">
        <x:v>2026-06-24</x:v>
      </x:c>
      <x:c r="M101" s="31" t="str"/>
    </x:row>
    <x:row r="102" ht="38.400001525878906" hidden="0" customHeight="1">
      <x:c r="A102" s="40" t="str">
        <x:v>RPT-00390</x:v>
      </x:c>
      <x:c r="B102" s="31" t="str">
        <x:v>FY26 guidance review</x:v>
      </x:c>
      <x:c r="C102" s="31" t="str">
        <x:v>June forecast sensitivity record</x:v>
      </x:c>
      <x:c r="D102" s="31" t="str">
        <x:v>Alder Ridge</x:v>
      </x:c>
      <x:c r="E102" s="31" t="str">
        <x:v>2026-05 working copy</x:v>
      </x:c>
      <x:c r="F102" s="31" t="str">
        <x:v>Approved case</x:v>
      </x:c>
      <x:c r="G102" s="31" t="str">
        <x:v>Revenue step-down from reviewed case</x:v>
      </x:c>
      <x:c r="H102" s="34" t="n">
        <x:v>-0.0103</x:v>
      </x:c>
      <x:c r="I102" s="31" t="str"/>
      <x:c r="J102" s="31" t="str">
        <x:v>decimal ratio</x:v>
      </x:c>
      <x:c r="K102" s="31" t="str">
        <x:v>Earlier management working export</x:v>
      </x:c>
      <x:c r="L102" s="37" t="str">
        <x:v>2026-06-24</x:v>
      </x:c>
      <x:c r="M102" s="31" t="str"/>
    </x:row>
    <x:row r="103" ht="38.400001525878906" hidden="0" customHeight="1">
      <x:c r="A103" s="40" t="str">
        <x:v>RPT-00391</x:v>
      </x:c>
      <x:c r="B103" s="31" t="str">
        <x:v>FY26 guidance review</x:v>
      </x:c>
      <x:c r="C103" s="31" t="str">
        <x:v>June forecast sensitivity record</x:v>
      </x:c>
      <x:c r="D103" s="31" t="str">
        <x:v>Alder Ridge</x:v>
      </x:c>
      <x:c r="E103" s="31" t="str">
        <x:v>2026-07-05</x:v>
      </x:c>
      <x:c r="F103" s="31" t="str">
        <x:v>Management stretch</x:v>
      </x:c>
      <x:c r="G103" s="31" t="str">
        <x:v>Operating-expense flex on revenue movement</x:v>
      </x:c>
      <x:c r="H103" s="34" t="n">
        <x:v>0.1872</x:v>
      </x:c>
      <x:c r="I103" s="31" t="str"/>
      <x:c r="J103" s="31" t="str">
        <x:v>decimal ratio</x:v>
      </x:c>
      <x:c r="K103" s="31" t="str">
        <x:v>Earlier management working export</x:v>
      </x:c>
      <x:c r="L103" s="37" t="str">
        <x:v>2026-06-24</x:v>
      </x:c>
      <x:c r="M103" s="31" t="str"/>
    </x:row>
    <x:row r="104" ht="38.400001525878906" hidden="0" customHeight="1">
      <x:c r="A104" s="40" t="str">
        <x:v>RPT-00392</x:v>
      </x:c>
      <x:c r="B104" s="31" t="str">
        <x:v>FY26 guidance review</x:v>
      </x:c>
      <x:c r="C104" s="31" t="str">
        <x:v>June forecast sensitivity record</x:v>
      </x:c>
      <x:c r="D104" s="31" t="str">
        <x:v>Alder Ridge</x:v>
      </x:c>
      <x:c r="E104" s="31" t="str">
        <x:v>2026-05 working copy</x:v>
      </x:c>
      <x:c r="F104" s="31" t="str">
        <x:v>Approved case</x:v>
      </x:c>
      <x:c r="G104" s="31" t="str">
        <x:v>Release buffer in approved EBITDA increments</x:v>
      </x:c>
      <x:c r="H104" s="34" t="n">
        <x:v>1.05</x:v>
      </x:c>
      <x:c r="I104" s="31" t="str"/>
      <x:c r="J104" s="31" t="str">
        <x:v>count</x:v>
      </x:c>
      <x:c r="K104" s="31" t="str">
        <x:v>Earlier management working export</x:v>
      </x:c>
      <x:c r="L104" s="37" t="str">
        <x:v>2026-06-24</x:v>
      </x:c>
      <x:c r="M104" s="31" t="str"/>
    </x:row>
    <x:row r="105" ht="28.799999237060547" hidden="0" customHeight="1">
      <x:c r="A105" s="40" t="str">
        <x:v>RPT-00393</x:v>
      </x:c>
      <x:c r="B105" s="31" t="str">
        <x:v>FY26 guidance review</x:v>
      </x:c>
      <x:c r="C105" s="31" t="str">
        <x:v>June forecast sensitivity record</x:v>
      </x:c>
      <x:c r="D105" s="31" t="str">
        <x:v>Alder Ridge</x:v>
      </x:c>
      <x:c r="E105" s="31" t="str">
        <x:v>2026-07-05</x:v>
      </x:c>
      <x:c r="F105" s="31" t="str">
        <x:v>Management stretch</x:v>
      </x:c>
      <x:c r="G105" s="31" t="str">
        <x:v>Gross-margin overlay</x:v>
      </x:c>
      <x:c r="H105" s="34" t="n">
        <x:v>-36.050000000000004</x:v>
      </x:c>
      <x:c r="I105" s="31" t="str"/>
      <x:c r="J105" s="31" t="str">
        <x:v>basis points</x:v>
      </x:c>
      <x:c r="K105" s="31" t="str">
        <x:v>Earlier management working export</x:v>
      </x:c>
      <x:c r="L105" s="37" t="str">
        <x:v>2026-06-24</x:v>
      </x:c>
      <x:c r="M105" s="31" t="str"/>
    </x:row>
    <x:row r="106" ht="28.799999237060547" hidden="0" customHeight="1">
      <x:c r="A106" s="40" t="str">
        <x:v>RPT-00507</x:v>
      </x:c>
      <x:c r="B106" s="31" t="str">
        <x:v>FY27 board outlook</x:v>
      </x:c>
      <x:c r="C106" s="31" t="str">
        <x:v>Board operating outlook</x:v>
      </x:c>
      <x:c r="D106" s="31" t="str">
        <x:v>Construction</x:v>
      </x:c>
      <x:c r="E106" s="31" t="str">
        <x:v>2026-05 working copy</x:v>
      </x:c>
      <x:c r="F106" s="31" t="str">
        <x:v>Approved case</x:v>
      </x:c>
      <x:c r="G106" s="31" t="str">
        <x:v>Forecast revenue</x:v>
      </x:c>
      <x:c r="H106" s="34" t="n">
        <x:v>32393500</x:v>
      </x:c>
      <x:c r="I106" s="31" t="str"/>
      <x:c r="J106" s="31" t="str">
        <x:v>USD</x:v>
      </x:c>
      <x:c r="K106" s="31" t="str">
        <x:v>Earlier management working export</x:v>
      </x:c>
      <x:c r="L106" s="37" t="str">
        <x:v>2026-06-24</x:v>
      </x:c>
      <x:c r="M106" s="31" t="str"/>
    </x:row>
    <x:row r="107" ht="28.799999237060547" hidden="0" customHeight="1">
      <x:c r="A107" s="40" t="str">
        <x:v>RPT-00508</x:v>
      </x:c>
      <x:c r="B107" s="31" t="str">
        <x:v>FY27 board outlook</x:v>
      </x:c>
      <x:c r="C107" s="31" t="str">
        <x:v>Board operating outlook</x:v>
      </x:c>
      <x:c r="D107" s="31" t="str">
        <x:v>Service</x:v>
      </x:c>
      <x:c r="E107" s="31" t="str">
        <x:v>FY26</x:v>
      </x:c>
      <x:c r="F107" s="31" t="str">
        <x:v>Management stretch</x:v>
      </x:c>
      <x:c r="G107" s="31" t="str">
        <x:v>Plan revenue</x:v>
      </x:c>
      <x:c r="H107" s="34" t="n">
        <x:v>14196000</x:v>
      </x:c>
      <x:c r="I107" s="31" t="str"/>
      <x:c r="J107" s="31" t="str">
        <x:v>USD</x:v>
      </x:c>
      <x:c r="K107" s="31" t="str">
        <x:v>Earlier management working export</x:v>
      </x:c>
      <x:c r="L107" s="37" t="str">
        <x:v>2026-06-24</x:v>
      </x:c>
      <x:c r="M107" s="31" t="str"/>
    </x:row>
    <x:row r="108" ht="28.799999237060547" hidden="0" customHeight="1">
      <x:c r="A108" s="40" t="str">
        <x:v>RPT-00509</x:v>
      </x:c>
      <x:c r="B108" s="31" t="str">
        <x:v>FY27 board outlook</x:v>
      </x:c>
      <x:c r="C108" s="31" t="str">
        <x:v>Board operating outlook</x:v>
      </x:c>
      <x:c r="D108" s="31" t="str">
        <x:v>Controls</x:v>
      </x:c>
      <x:c r="E108" s="31" t="str">
        <x:v>2026-05 working copy</x:v>
      </x:c>
      <x:c r="F108" s="31" t="str">
        <x:v>Approved case</x:v>
      </x:c>
      <x:c r="G108" s="31" t="str">
        <x:v>Forecast gross margin</x:v>
      </x:c>
      <x:c r="H108" s="34" t="n">
        <x:v>0.30974999999999997</x:v>
      </x:c>
      <x:c r="I108" s="31" t="str"/>
      <x:c r="J108" s="31" t="str">
        <x:v>decimal ratio</x:v>
      </x:c>
      <x:c r="K108" s="31" t="str">
        <x:v>Earlier management working export</x:v>
      </x:c>
      <x:c r="L108" s="37" t="str">
        <x:v>2026-06-24</x:v>
      </x:c>
      <x:c r="M108" s="31" t="str"/>
    </x:row>
    <x:row r="109" ht="28.799999237060547" hidden="0" customHeight="1">
      <x:c r="A109" s="40" t="str">
        <x:v>RPT-00510</x:v>
      </x:c>
      <x:c r="B109" s="31" t="str">
        <x:v>FY27 board outlook</x:v>
      </x:c>
      <x:c r="C109" s="31" t="str">
        <x:v>Board risk outlook</x:v>
      </x:c>
      <x:c r="D109" s="31" t="str">
        <x:v>Alder Ridge</x:v>
      </x:c>
      <x:c r="E109" s="31" t="str">
        <x:v>Downside</x:v>
      </x:c>
      <x:c r="F109" s="31" t="str">
        <x:v>Management stretch</x:v>
      </x:c>
      <x:c r="G109" s="31" t="str">
        <x:v>Covenant EBITDA</x:v>
      </x:c>
      <x:c r="H109" s="34" t="n">
        <x:v>3893400</x:v>
      </x:c>
      <x:c r="I109" s="31" t="str"/>
      <x:c r="J109" s="31" t="str">
        <x:v>USD</x:v>
      </x:c>
      <x:c r="K109" s="31" t="str">
        <x:v>Earlier management working export</x:v>
      </x:c>
      <x:c r="L109" s="37" t="str">
        <x:v>2026-06-24</x:v>
      </x:c>
      <x:c r="M109" s="31" t="str"/>
    </x:row>
    <x:row r="110" ht="28.799999237060547" hidden="0" customHeight="1">
      <x:c r="A110" s="40" t="str">
        <x:v>RPT-00511</x:v>
      </x:c>
      <x:c r="B110" s="31" t="str">
        <x:v>FY27 board outlook</x:v>
      </x:c>
      <x:c r="C110" s="31" t="str">
        <x:v>Board strategic priorities</x:v>
      </x:c>
      <x:c r="D110" s="31" t="str">
        <x:v>Procurement program</x:v>
      </x:c>
      <x:c r="E110" s="31" t="str">
        <x:v>2026-05 working copy</x:v>
      </x:c>
      <x:c r="F110" s="31" t="str">
        <x:v>Approved case</x:v>
      </x:c>
      <x:c r="G110" s="31" t="str">
        <x:v>Realization probability</x:v>
      </x:c>
      <x:c r="H110" s="34" t="n">
        <x:v>0.8320000000000001</x:v>
      </x:c>
      <x:c r="I110" s="31" t="str"/>
      <x:c r="J110" s="31" t="str">
        <x:v>decimal ratio</x:v>
      </x:c>
      <x:c r="K110" s="31" t="str">
        <x:v>Earlier management working export</x:v>
      </x:c>
      <x:c r="L110" s="37" t="str">
        <x:v>2026-06-24</x:v>
      </x:c>
      <x:c r="M110" s="31" t="str"/>
    </x:row>
    <x:row r="111" ht="28.799999237060547" hidden="0" customHeight="1">
      <x:c r="A111" s="40" t="str">
        <x:v>RPT-00512</x:v>
      </x:c>
      <x:c r="B111" s="31" t="str">
        <x:v>FY27 board outlook</x:v>
      </x:c>
      <x:c r="C111" s="31" t="str">
        <x:v>Board presentation controls</x:v>
      </x:c>
      <x:c r="D111" s="31" t="str">
        <x:v>Alder Ridge</x:v>
      </x:c>
      <x:c r="E111" s="31" t="str">
        <x:v>FY26</x:v>
      </x:c>
      <x:c r="F111" s="31" t="str">
        <x:v>Management stretch</x:v>
      </x:c>
      <x:c r="G111" s="31" t="str">
        <x:v>Minimum cash</x:v>
      </x:c>
      <x:c r="H111" s="34" t="n">
        <x:v>2362500</x:v>
      </x:c>
      <x:c r="I111" s="31" t="str"/>
      <x:c r="J111" s="31" t="str">
        <x:v>USD</x:v>
      </x:c>
      <x:c r="K111" s="31" t="str">
        <x:v>Earlier management working export</x:v>
      </x:c>
      <x:c r="L111" s="37" t="str">
        <x:v>2026-06-24</x:v>
      </x:c>
      <x:c r="M111" s="31" t="str"/>
    </x:row>
    <x:row r="112" ht="28.799999237060547" hidden="0" customHeight="1">
      <x:c r="A112" s="40" t="str">
        <x:v>RPT-00513</x:v>
      </x:c>
      <x:c r="B112" s="31" t="str">
        <x:v>FY27 board outlook</x:v>
      </x:c>
      <x:c r="C112" s="31" t="str">
        <x:v>Board operating outlook</x:v>
      </x:c>
      <x:c r="D112" s="31" t="str">
        <x:v>Construction</x:v>
      </x:c>
      <x:c r="E112" s="31" t="str">
        <x:v>2026-05 working copy</x:v>
      </x:c>
      <x:c r="F112" s="31" t="str">
        <x:v>Approved case</x:v>
      </x:c>
      <x:c r="G112" s="31" t="str">
        <x:v>Forecast gross margin</x:v>
      </x:c>
      <x:c r="H112" s="34" t="n">
        <x:v>0.23896</x:v>
      </x:c>
      <x:c r="I112" s="31" t="str"/>
      <x:c r="J112" s="31" t="str">
        <x:v>decimal ratio</x:v>
      </x:c>
      <x:c r="K112" s="31" t="str">
        <x:v>Earlier management working export</x:v>
      </x:c>
      <x:c r="L112" s="37" t="str">
        <x:v>2026-06-24</x:v>
      </x:c>
      <x:c r="M112" s="31" t="str"/>
    </x:row>
    <x:row r="113" ht="28.799999237060547" hidden="0" customHeight="1">
      <x:c r="A113" s="40" t="str">
        <x:v>RPT-00514</x:v>
      </x:c>
      <x:c r="B113" s="31" t="str">
        <x:v>FY27 board outlook</x:v>
      </x:c>
      <x:c r="C113" s="31" t="str">
        <x:v>Board operating outlook</x:v>
      </x:c>
      <x:c r="D113" s="31" t="str">
        <x:v>Service</x:v>
      </x:c>
      <x:c r="E113" s="31" t="str">
        <x:v>FY26</x:v>
      </x:c>
      <x:c r="F113" s="31" t="str">
        <x:v>Management stretch</x:v>
      </x:c>
      <x:c r="G113" s="31" t="str">
        <x:v>Plan gross margin</x:v>
      </x:c>
      <x:c r="H113" s="34" t="n">
        <x:v>0.442</x:v>
      </x:c>
      <x:c r="I113" s="31" t="str"/>
      <x:c r="J113" s="31" t="str">
        <x:v>decimal ratio</x:v>
      </x:c>
      <x:c r="K113" s="31" t="str">
        <x:v>Earlier management working export</x:v>
      </x:c>
      <x:c r="L113" s="37" t="str">
        <x:v>2026-06-24</x:v>
      </x:c>
      <x:c r="M113" s="31" t="str"/>
    </x:row>
    <x:row r="114" ht="28.799999237060547" hidden="0" customHeight="1">
      <x:c r="A114" s="40" t="str">
        <x:v>RPT-00515</x:v>
      </x:c>
      <x:c r="B114" s="31" t="str">
        <x:v>FY27 board outlook</x:v>
      </x:c>
      <x:c r="C114" s="31" t="str">
        <x:v>Board operating outlook</x:v>
      </x:c>
      <x:c r="D114" s="31" t="str">
        <x:v>Controls</x:v>
      </x:c>
      <x:c r="E114" s="31" t="str">
        <x:v>2026-05 working copy</x:v>
      </x:c>
      <x:c r="F114" s="31" t="str">
        <x:v>Approved case</x:v>
      </x:c>
      <x:c r="G114" s="31" t="str">
        <x:v>Forecast opex</x:v>
      </x:c>
      <x:c r="H114" s="34" t="n">
        <x:v>1113000</x:v>
      </x:c>
      <x:c r="I114" s="31" t="str"/>
      <x:c r="J114" s="31" t="str">
        <x:v>USD</x:v>
      </x:c>
      <x:c r="K114" s="31" t="str">
        <x:v>Earlier management working export</x:v>
      </x:c>
      <x:c r="L114" s="37" t="str">
        <x:v>2026-06-24</x:v>
      </x:c>
      <x:c r="M114" s="31" t="str"/>
    </x:row>
    <x:row r="115" ht="28.799999237060547" hidden="0" customHeight="1">
      <x:c r="A115" s="40" t="str">
        <x:v>RPT-00516</x:v>
      </x:c>
      <x:c r="B115" s="31" t="str">
        <x:v>FY27 board outlook</x:v>
      </x:c>
      <x:c r="C115" s="31" t="str">
        <x:v>Board risk outlook</x:v>
      </x:c>
      <x:c r="D115" s="31" t="str">
        <x:v>Alder Ridge</x:v>
      </x:c>
      <x:c r="E115" s="31" t="str">
        <x:v>Downside</x:v>
      </x:c>
      <x:c r="F115" s="31" t="str">
        <x:v>Management stretch</x:v>
      </x:c>
      <x:c r="G115" s="31" t="str">
        <x:v>Revolver balance</x:v>
      </x:c>
      <x:c r="H115" s="34" t="n">
        <x:v>4738000</x:v>
      </x:c>
      <x:c r="I115" s="31" t="str"/>
      <x:c r="J115" s="31" t="str">
        <x:v>USD</x:v>
      </x:c>
      <x:c r="K115" s="31" t="str">
        <x:v>Earlier management working export</x:v>
      </x:c>
      <x:c r="L115" s="37" t="str">
        <x:v>2026-06-24</x:v>
      </x:c>
      <x:c r="M115" s="31" t="str"/>
    </x:row>
    <x:row r="116" ht="28.799999237060547" hidden="0" customHeight="1">
      <x:c r="A116" s="40" t="str">
        <x:v>RPT-00517</x:v>
      </x:c>
      <x:c r="B116" s="31" t="str">
        <x:v>FY27 board outlook</x:v>
      </x:c>
      <x:c r="C116" s="31" t="str">
        <x:v>Board strategic priorities</x:v>
      </x:c>
      <x:c r="D116" s="31" t="str">
        <x:v>Service technician hiring</x:v>
      </x:c>
      <x:c r="E116" s="31" t="str">
        <x:v>2026-05 working copy</x:v>
      </x:c>
      <x:c r="F116" s="31" t="str">
        <x:v>Approved case</x:v>
      </x:c>
      <x:c r="G116" s="31" t="str">
        <x:v>Realization probability</x:v>
      </x:c>
      <x:c r="H116" s="34" t="n">
        <x:v>0.728</x:v>
      </x:c>
      <x:c r="I116" s="31" t="str"/>
      <x:c r="J116" s="31" t="str">
        <x:v>decimal ratio</x:v>
      </x:c>
      <x:c r="K116" s="31" t="str">
        <x:v>Earlier management working export</x:v>
      </x:c>
      <x:c r="L116" s="37" t="str">
        <x:v>2026-06-24</x:v>
      </x:c>
      <x:c r="M116" s="31" t="str"/>
    </x:row>
    <x:row r="117" ht="28.799999237060547" hidden="0" customHeight="1">
      <x:c r="A117" s="40" t="str">
        <x:v>RPT-00518</x:v>
      </x:c>
      <x:c r="B117" s="31" t="str">
        <x:v>FY27 board outlook</x:v>
      </x:c>
      <x:c r="C117" s="31" t="str">
        <x:v>Board presentation controls</x:v>
      </x:c>
      <x:c r="D117" s="31" t="str">
        <x:v>Alder Ridge</x:v>
      </x:c>
      <x:c r="E117" s="31" t="str">
        <x:v>FY26</x:v>
      </x:c>
      <x:c r="F117" s="31" t="str">
        <x:v>Management stretch</x:v>
      </x:c>
      <x:c r="G117" s="31" t="str">
        <x:v>Maximum leverage</x:v>
      </x:c>
      <x:c r="H117" s="34" t="n">
        <x:v>2.625</x:v>
      </x:c>
      <x:c r="I117" s="31" t="str"/>
      <x:c r="J117" s="31" t="str">
        <x:v>multiple</x:v>
      </x:c>
      <x:c r="K117" s="31" t="str">
        <x:v>Earlier management working export</x:v>
      </x:c>
      <x:c r="L117" s="37" t="str">
        <x:v>2026-06-24</x:v>
      </x:c>
      <x:c r="M117" s="31" t="str"/>
    </x:row>
    <x:row r="118" ht="28.799999237060547" hidden="0" customHeight="1">
      <x:c r="A118" s="40" t="str">
        <x:v>RPT-00519</x:v>
      </x:c>
      <x:c r="B118" s="31" t="str">
        <x:v>FY27 board outlook</x:v>
      </x:c>
      <x:c r="C118" s="31" t="str">
        <x:v>Board operating outlook</x:v>
      </x:c>
      <x:c r="D118" s="31" t="str">
        <x:v>Construction</x:v>
      </x:c>
      <x:c r="E118" s="31" t="str">
        <x:v>2026-05 working copy</x:v>
      </x:c>
      <x:c r="F118" s="31" t="str">
        <x:v>Approved case</x:v>
      </x:c>
      <x:c r="G118" s="31" t="str">
        <x:v>Forecast opex</x:v>
      </x:c>
      <x:c r="H118" s="34" t="n">
        <x:v>1905500</x:v>
      </x:c>
      <x:c r="I118" s="31" t="str"/>
      <x:c r="J118" s="31" t="str">
        <x:v>USD</x:v>
      </x:c>
      <x:c r="K118" s="31" t="str">
        <x:v>Earlier management working export</x:v>
      </x:c>
      <x:c r="L118" s="37" t="str">
        <x:v>2026-06-24</x:v>
      </x:c>
      <x:c r="M118" s="31" t="str"/>
    </x:row>
    <x:row r="119" ht="28.799999237060547" hidden="0" customHeight="1">
      <x:c r="A119" s="40" t="str">
        <x:v>RPT-00520</x:v>
      </x:c>
      <x:c r="B119" s="31" t="str">
        <x:v>FY27 board outlook</x:v>
      </x:c>
      <x:c r="C119" s="31" t="str">
        <x:v>Board operating outlook</x:v>
      </x:c>
      <x:c r="D119" s="31" t="str">
        <x:v>Service</x:v>
      </x:c>
      <x:c r="E119" s="31" t="str">
        <x:v>FY26</x:v>
      </x:c>
      <x:c r="F119" s="31" t="str">
        <x:v>Management stretch</x:v>
      </x:c>
      <x:c r="G119" s="31" t="str">
        <x:v>Plan opex</x:v>
      </x:c>
      <x:c r="H119" s="34" t="n">
        <x:v>2059200</x:v>
      </x:c>
      <x:c r="I119" s="31" t="str"/>
      <x:c r="J119" s="31" t="str">
        <x:v>USD</x:v>
      </x:c>
      <x:c r="K119" s="31" t="str">
        <x:v>Earlier management working export</x:v>
      </x:c>
      <x:c r="L119" s="37" t="str">
        <x:v>2026-06-24</x:v>
      </x:c>
      <x:c r="M119" s="31" t="str"/>
    </x:row>
    <x:row r="120" ht="28.799999237060547" hidden="0" customHeight="1">
      <x:c r="A120" s="40" t="str">
        <x:v>RPT-00521</x:v>
      </x:c>
      <x:c r="B120" s="31" t="str">
        <x:v>FY27 board outlook</x:v>
      </x:c>
      <x:c r="C120" s="31" t="str">
        <x:v>Board risk outlook</x:v>
      </x:c>
      <x:c r="D120" s="31" t="str">
        <x:v>Alder Ridge</x:v>
      </x:c>
      <x:c r="E120" s="31" t="str">
        <x:v>2026-05 working copy</x:v>
      </x:c>
      <x:c r="F120" s="31" t="str">
        <x:v>Approved case</x:v>
      </x:c>
      <x:c r="G120" s="31" t="str">
        <x:v>Covenant EBITDA</x:v>
      </x:c>
      <x:c r="H120" s="34" t="n">
        <x:v>5796000</x:v>
      </x:c>
      <x:c r="I120" s="31" t="str"/>
      <x:c r="J120" s="31" t="str">
        <x:v>USD</x:v>
      </x:c>
      <x:c r="K120" s="31" t="str">
        <x:v>Earlier management working export</x:v>
      </x:c>
      <x:c r="L120" s="37" t="str">
        <x:v>2026-06-24</x:v>
      </x:c>
      <x:c r="M120" s="31" t="str"/>
    </x:row>
    <x:row r="121" ht="28.799999237060547" hidden="0" customHeight="1">
      <x:c r="A121" s="40" t="str">
        <x:v>RPT-00522</x:v>
      </x:c>
      <x:c r="B121" s="31" t="str">
        <x:v>FY27 board outlook</x:v>
      </x:c>
      <x:c r="C121" s="31" t="str">
        <x:v>Board risk outlook</x:v>
      </x:c>
      <x:c r="D121" s="31" t="str">
        <x:v>Alder Ridge</x:v>
      </x:c>
      <x:c r="E121" s="31" t="str">
        <x:v>Severe</x:v>
      </x:c>
      <x:c r="F121" s="31" t="str">
        <x:v>Management stretch</x:v>
      </x:c>
      <x:c r="G121" s="31" t="str">
        <x:v>Ending cash before financing</x:v>
      </x:c>
      <x:c r="H121" s="34" t="n">
        <x:v>844600</x:v>
      </x:c>
      <x:c r="I121" s="31" t="str"/>
      <x:c r="J121" s="31" t="str">
        <x:v>USD</x:v>
      </x:c>
      <x:c r="K121" s="31" t="str">
        <x:v>Earlier management working export</x:v>
      </x:c>
      <x:c r="L121" s="37" t="str">
        <x:v>2026-06-24</x:v>
      </x:c>
      <x:c r="M121" s="31" t="str"/>
    </x:row>
    <x:row r="122" ht="28.799999237060547" hidden="0" customHeight="1">
      <x:c r="A122" s="40" t="str">
        <x:v>RPT-00540</x:v>
      </x:c>
      <x:c r="B122" s="31" t="str">
        <x:v>FY27 board outlook</x:v>
      </x:c>
      <x:c r="C122" s="31" t="str">
        <x:v>Board decision portfolio</x:v>
      </x:c>
      <x:c r="D122" s="31" t="str">
        <x:v>Procurement program</x:v>
      </x:c>
      <x:c r="E122" s="31" t="str">
        <x:v>2026-05 working copy</x:v>
      </x:c>
      <x:c r="F122" s="31" t="str">
        <x:v>Approved case</x:v>
      </x:c>
      <x:c r="G122" s="31" t="str">
        <x:v>Cash investment</x:v>
      </x:c>
      <x:c r="H122" s="34" t="n">
        <x:v>432600</x:v>
      </x:c>
      <x:c r="I122" s="31" t="str"/>
      <x:c r="J122" s="31" t="str">
        <x:v>USD</x:v>
      </x:c>
      <x:c r="K122" s="31" t="str">
        <x:v>Earlier management working export</x:v>
      </x:c>
      <x:c r="L122" s="37" t="str">
        <x:v>2026-06-24</x:v>
      </x:c>
      <x:c r="M122" s="31" t="str"/>
    </x:row>
    <x:row r="123" ht="28.799999237060547" hidden="0" customHeight="1">
      <x:c r="A123" s="40" t="str">
        <x:v>RPT-00541</x:v>
      </x:c>
      <x:c r="B123" s="31" t="str">
        <x:v>FY27 board outlook</x:v>
      </x:c>
      <x:c r="C123" s="31" t="str">
        <x:v>Board decision portfolio</x:v>
      </x:c>
      <x:c r="D123" s="31" t="str">
        <x:v>Pioneer acquisition</x:v>
      </x:c>
      <x:c r="E123" s="31" t="str">
        <x:v>FY27</x:v>
      </x:c>
      <x:c r="F123" s="31" t="str">
        <x:v>Management stretch</x:v>
      </x:c>
      <x:c r="G123" s="31" t="str">
        <x:v>Severe benefit factor</x:v>
      </x:c>
      <x:c r="H123" s="34" t="n">
        <x:v>0.468</x:v>
      </x:c>
      <x:c r="I123" s="31" t="str"/>
      <x:c r="J123" s="31" t="str">
        <x:v>decimal ratio</x:v>
      </x:c>
      <x:c r="K123" s="31" t="str">
        <x:v>Earlier management working export</x:v>
      </x:c>
      <x:c r="L123" s="37" t="str">
        <x:v>2026-06-24</x:v>
      </x:c>
      <x:c r="M123" s="31" t="str"/>
    </x:row>
    <x:row r="124" ht="28.799999237060547" hidden="0" customHeight="1">
      <x:c r="A124" s="40" t="str">
        <x:v>RPT-00542</x:v>
      </x:c>
      <x:c r="B124" s="31" t="str">
        <x:v>FY27 board outlook</x:v>
      </x:c>
      <x:c r="C124" s="31" t="str">
        <x:v>Board decision portfolio</x:v>
      </x:c>
      <x:c r="D124" s="31" t="str">
        <x:v>Service technician hiring</x:v>
      </x:c>
      <x:c r="E124" s="31" t="str">
        <x:v>2026-05 working copy</x:v>
      </x:c>
      <x:c r="F124" s="31" t="str">
        <x:v>Approved case</x:v>
      </x:c>
      <x:c r="G124" s="31" t="str">
        <x:v>Severe benefit factor</x:v>
      </x:c>
      <x:c r="H124" s="34" t="n">
        <x:v>0.6825000000000001</x:v>
      </x:c>
      <x:c r="I124" s="31" t="str"/>
      <x:c r="J124" s="31" t="str">
        <x:v>decimal ratio</x:v>
      </x:c>
      <x:c r="K124" s="31" t="str">
        <x:v>Earlier management working export</x:v>
      </x:c>
      <x:c r="L124" s="37" t="str">
        <x:v>2026-06-24</x:v>
      </x:c>
      <x:c r="M124" s="31" t="str"/>
    </x:row>
    <x:row r="125" ht="28.799999237060547" hidden="0" customHeight="1">
      <x:c r="A125" s="40" t="str">
        <x:v>RPT-00543</x:v>
      </x:c>
      <x:c r="B125" s="31" t="str">
        <x:v>FY27 board outlook</x:v>
      </x:c>
      <x:c r="C125" s="31" t="str">
        <x:v>Board decision portfolio policy</x:v>
      </x:c>
      <x:c r="D125" s="31" t="str">
        <x:v>Alder Ridge</x:v>
      </x:c>
      <x:c r="E125" s="31" t="str">
        <x:v>FY27</x:v>
      </x:c>
      <x:c r="F125" s="31" t="str">
        <x:v>Management stretch</x:v>
      </x:c>
      <x:c r="G125" s="31" t="str">
        <x:v>Severe EBITDA cash conversion</x:v>
      </x:c>
      <x:c r="H125" s="34" t="n">
        <x:v>0.721</x:v>
      </x:c>
      <x:c r="I125" s="31" t="str"/>
      <x:c r="J125" s="31" t="str">
        <x:v>decimal ratio</x:v>
      </x:c>
      <x:c r="K125" s="31" t="str">
        <x:v>Earlier management working export</x:v>
      </x:c>
      <x:c r="L125" s="37" t="str">
        <x:v>2026-06-24</x:v>
      </x:c>
      <x:c r="M125" s="31" t="str"/>
    </x:row>
    <x:row r="126" ht="28.799999237060547" hidden="0" customHeight="1">
      <x:c r="A126" s="40" t="str">
        <x:v>RPT-00544</x:v>
      </x:c>
      <x:c r="B126" s="31" t="str">
        <x:v>FY27 board outlook</x:v>
      </x:c>
      <x:c r="C126" s="31" t="str">
        <x:v>Board decision portfolio</x:v>
      </x:c>
      <x:c r="D126" s="31" t="str">
        <x:v>Pioneer acquisition</x:v>
      </x:c>
      <x:c r="E126" s="31" t="str">
        <x:v>2026-05 working copy</x:v>
      </x:c>
      <x:c r="F126" s="31" t="str">
        <x:v>Approved case</x:v>
      </x:c>
      <x:c r="G126" s="31" t="str">
        <x:v>Cash investment</x:v>
      </x:c>
      <x:c r="H126" s="34" t="n">
        <x:v>1196000</x:v>
      </x:c>
      <x:c r="I126" s="31" t="str"/>
      <x:c r="J126" s="31" t="str">
        <x:v>USD</x:v>
      </x:c>
      <x:c r="K126" s="31" t="str">
        <x:v>Earlier management working export</x:v>
      </x:c>
      <x:c r="L126" s="37" t="str">
        <x:v>2026-06-24</x:v>
      </x:c>
      <x:c r="M126" s="31" t="str"/>
    </x:row>
    <x:row r="127" ht="28.799999237060547" hidden="0" customHeight="1">
      <x:c r="A127" s="40" t="str">
        <x:v>RPT-00545</x:v>
      </x:c>
      <x:c r="B127" s="31" t="str">
        <x:v>FY27 board outlook</x:v>
      </x:c>
      <x:c r="C127" s="31" t="str">
        <x:v>Board decision portfolio</x:v>
      </x:c>
      <x:c r="D127" s="31" t="str">
        <x:v>Service technician hiring</x:v>
      </x:c>
      <x:c r="E127" s="31" t="str">
        <x:v>FY27</x:v>
      </x:c>
      <x:c r="F127" s="31" t="str">
        <x:v>Management stretch</x:v>
      </x:c>
      <x:c r="G127" s="31" t="str">
        <x:v>Cash investment</x:v>
      </x:c>
      <x:c r="H127" s="34" t="n">
        <x:v>640500</x:v>
      </x:c>
      <x:c r="I127" s="31" t="str"/>
      <x:c r="J127" s="31" t="str">
        <x:v>USD</x:v>
      </x:c>
      <x:c r="K127" s="31" t="str">
        <x:v>Earlier management working export</x:v>
      </x:c>
      <x:c r="L127" s="37" t="str">
        <x:v>2026-06-24</x:v>
      </x:c>
      <x:c r="M127" s="31" t="str"/>
    </x:row>
    <x:row r="128" ht="38.400001525878906" hidden="0" customHeight="1">
      <x:c r="A128" s="40" t="str">
        <x:v>RPT-E22CBF73FE2</x:v>
      </x:c>
      <x:c r="B128" s="31" t="str">
        <x:v>FY26 guidance review</x:v>
      </x:c>
      <x:c r="C128" s="31" t="str">
        <x:v>June forecast sensitivity record</x:v>
      </x:c>
      <x:c r="D128" s="31" t="str">
        <x:v>Alder Ridge</x:v>
      </x:c>
      <x:c r="E128" s="31" t="str">
        <x:v>2026-05 working copy</x:v>
      </x:c>
      <x:c r="F128" s="31" t="str">
        <x:v>Approved case</x:v>
      </x:c>
      <x:c r="G128" s="31" t="str">
        <x:v>Cash realization on stressed earnings</x:v>
      </x:c>
      <x:c r="H128" s="34" t="n">
        <x:v>0.6448</x:v>
      </x:c>
      <x:c r="I128" s="31" t="str"/>
      <x:c r="J128" s="31" t="str">
        <x:v>decimal ratio</x:v>
      </x:c>
      <x:c r="K128" s="31" t="str">
        <x:v>Earlier management working export</x:v>
      </x:c>
      <x:c r="L128" s="37" t="str">
        <x:v>2026-06-24</x:v>
      </x:c>
      <x:c r="M128" s="31" t="str"/>
    </x:row>
    <x:row r="129" ht="38.400001525878906" hidden="0" customHeight="1">
      <x:c r="A129" s="40" t="str">
        <x:v>RPT-EDAA768AB4E</x:v>
      </x:c>
      <x:c r="B129" s="31" t="str">
        <x:v>FY26 guidance review</x:v>
      </x:c>
      <x:c r="C129" s="31" t="str">
        <x:v>June forecast sensitivity record</x:v>
      </x:c>
      <x:c r="D129" s="31" t="str">
        <x:v>Alder Ridge</x:v>
      </x:c>
      <x:c r="E129" s="31" t="str">
        <x:v>2026-07-05</x:v>
      </x:c>
      <x:c r="F129" s="31" t="str">
        <x:v>Management stretch</x:v>
      </x:c>
      <x:c r="G129" s="31" t="str">
        <x:v>Revenue step-down from reviewed case</x:v>
      </x:c>
      <x:c r="H129" s="34" t="n">
        <x:v>-0.0105</x:v>
      </x:c>
      <x:c r="I129" s="31" t="str"/>
      <x:c r="J129" s="31" t="str">
        <x:v>decimal ratio</x:v>
      </x:c>
      <x:c r="K129" s="31" t="str">
        <x:v>Earlier management working export</x:v>
      </x:c>
      <x:c r="L129" s="37" t="str">
        <x:v>2026-06-24</x:v>
      </x:c>
      <x:c r="M129" s="31" t="str"/>
    </x:row>
    <x:row r="130" ht="28.799999237060547" hidden="0" customHeight="1">
      <x:c r="A130" s="40" t="str">
        <x:v>RPT-E6914C0DD31</x:v>
      </x:c>
      <x:c r="B130" s="31" t="str">
        <x:v>FY26 guidance review</x:v>
      </x:c>
      <x:c r="C130" s="31" t="str">
        <x:v>Guidance protection action register</x:v>
      </x:c>
      <x:c r="D130" s="31" t="str">
        <x:v>Copper price collar</x:v>
      </x:c>
      <x:c r="E130" s="31" t="str">
        <x:v>2026-05 working copy</x:v>
      </x:c>
      <x:c r="F130" s="31" t="str">
        <x:v>Approved case</x:v>
      </x:c>
      <x:c r="G130" s="31" t="str">
        <x:v>Cash cost</x:v>
      </x:c>
      <x:c r="H130" s="34" t="n">
        <x:v>149350</x:v>
      </x:c>
      <x:c r="I130" s="31" t="str"/>
      <x:c r="J130" s="31" t="str">
        <x:v>USD</x:v>
      </x:c>
      <x:c r="K130" s="31" t="str">
        <x:v>Earlier management working export</x:v>
      </x:c>
      <x:c r="L130" s="37" t="str">
        <x:v>2026-06-24</x:v>
      </x:c>
      <x:c r="M130" s="31" t="str"/>
    </x:row>
    <x:row r="131" ht="28.799999237060547" hidden="0" customHeight="1">
      <x:c r="A131" s="40" t="str">
        <x:v>RPT-EE1C7641BCC</x:v>
      </x:c>
      <x:c r="B131" s="31" t="str">
        <x:v>FY26 guidance review</x:v>
      </x:c>
      <x:c r="C131" s="31" t="str">
        <x:v>Guidance protection action register</x:v>
      </x:c>
      <x:c r="D131" s="31" t="str">
        <x:v>Construction buyout reset</x:v>
      </x:c>
      <x:c r="E131" s="31" t="str">
        <x:v>Management review</x:v>
      </x:c>
      <x:c r="F131" s="31" t="str">
        <x:v>Management stretch</x:v>
      </x:c>
      <x:c r="G131" s="31" t="str">
        <x:v>Capacity units</x:v>
      </x:c>
      <x:c r="H131" s="34" t="n">
        <x:v>249.60000000000002</x:v>
      </x:c>
      <x:c r="I131" s="31" t="str"/>
      <x:c r="J131" s="31" t="str">
        <x:v>forecast-response points</x:v>
      </x:c>
      <x:c r="K131" s="31" t="str">
        <x:v>Earlier management working export</x:v>
      </x:c>
      <x:c r="L131" s="37" t="str">
        <x:v>2026-06-24</x:v>
      </x:c>
      <x:c r="M131" s="31" t="str"/>
    </x:row>
    <x:row r="132" ht="28.799999237060547" hidden="0" customHeight="1">
      <x:c r="A132" s="40" t="str">
        <x:v>RPT-E51A7D249D2</x:v>
      </x:c>
      <x:c r="B132" s="31" t="str">
        <x:v>FY26 guidance review</x:v>
      </x:c>
      <x:c r="C132" s="31" t="str">
        <x:v>Guidance protection action register</x:v>
      </x:c>
      <x:c r="D132" s="31" t="str">
        <x:v>Discretionary opex hold</x:v>
      </x:c>
      <x:c r="E132" s="31" t="str">
        <x:v>2026-05 working copy</x:v>
      </x:c>
      <x:c r="F132" s="31" t="str">
        <x:v>Approved case</x:v>
      </x:c>
      <x:c r="G132" s="31" t="str">
        <x:v>Realization probability</x:v>
      </x:c>
      <x:c r="H132" s="34" t="n">
        <x:v>0.9660000000000001</x:v>
      </x:c>
      <x:c r="I132" s="31" t="str"/>
      <x:c r="J132" s="31" t="str">
        <x:v>decimal ratio</x:v>
      </x:c>
      <x:c r="K132" s="31" t="str">
        <x:v>Earlier management working export</x:v>
      </x:c>
      <x:c r="L132" s="37" t="str">
        <x:v>2026-06-24</x:v>
      </x:c>
      <x:c r="M132" s="31" t="str"/>
    </x:row>
    <x:row r="133" ht="28.799999237060547" hidden="0" customHeight="1">
      <x:c r="A133" s="40" t="str">
        <x:v>RPT-E67B18F2855</x:v>
      </x:c>
      <x:c r="B133" s="31" t="str">
        <x:v>FY26 guidance review</x:v>
      </x:c>
      <x:c r="C133" s="31" t="str">
        <x:v>Guidance protection action register</x:v>
      </x:c>
      <x:c r="D133" s="31" t="str">
        <x:v>Portfolio policy</x:v>
      </x:c>
      <x:c r="E133" s="31" t="str">
        <x:v>Management review</x:v>
      </x:c>
      <x:c r="F133" s="31" t="str">
        <x:v>Management stretch</x:v>
      </x:c>
      <x:c r="G133" s="31" t="str">
        <x:v>Capacity limit</x:v>
      </x:c>
      <x:c r="H133" s="34" t="n">
        <x:v>968.2</x:v>
      </x:c>
      <x:c r="I133" s="31" t="str"/>
      <x:c r="J133" s="31" t="str">
        <x:v>forecast-response points</x:v>
      </x:c>
      <x:c r="K133" s="31" t="str">
        <x:v>Earlier management working export</x:v>
      </x:c>
      <x:c r="L133" s="37" t="str">
        <x:v>2026-06-24</x:v>
      </x:c>
      <x:c r="M133" s="31" t="str"/>
    </x:row>
    <x:row r="134" ht="28.799999237060547" hidden="0" customHeight="1">
      <x:c r="A134" s="40" t="str">
        <x:v>RPT-EA03747F0C0</x:v>
      </x:c>
      <x:c r="B134" s="31" t="str">
        <x:v>FY26 guidance review</x:v>
      </x:c>
      <x:c r="C134" s="31" t="str">
        <x:v>Guidance protection action register</x:v>
      </x:c>
      <x:c r="D134" s="31" t="str">
        <x:v>Construction buyout reset</x:v>
      </x:c>
      <x:c r="E134" s="31" t="str">
        <x:v>2026-05 working copy</x:v>
      </x:c>
      <x:c r="F134" s="31" t="str">
        <x:v>Approved case</x:v>
      </x:c>
      <x:c r="G134" s="31" t="str">
        <x:v>Cash cost</x:v>
      </x:c>
      <x:c r="H134" s="34" t="n">
        <x:v>140400</x:v>
      </x:c>
      <x:c r="I134" s="31" t="str"/>
      <x:c r="J134" s="31" t="str">
        <x:v>USD</x:v>
      </x:c>
      <x:c r="K134" s="31" t="str">
        <x:v>Earlier management working export</x:v>
      </x:c>
      <x:c r="L134" s="37" t="str">
        <x:v>2026-06-24</x:v>
      </x:c>
      <x:c r="M134" s="31" t="str"/>
    </x:row>
    <x:row r="135" ht="28.799999237060547" hidden="0" customHeight="1">
      <x:c r="A135" s="40" t="str">
        <x:v>RPT-E519169ED1F</x:v>
      </x:c>
      <x:c r="B135" s="31" t="str">
        <x:v>FY26 guidance review</x:v>
      </x:c>
      <x:c r="C135" s="31" t="str">
        <x:v>Guidance protection action register</x:v>
      </x:c>
      <x:c r="D135" s="31" t="str">
        <x:v>Service labor recovery</x:v>
      </x:c>
      <x:c r="E135" s="31" t="str">
        <x:v>Management review</x:v>
      </x:c>
      <x:c r="F135" s="31" t="str">
        <x:v>Management stretch</x:v>
      </x:c>
      <x:c r="G135" s="31" t="str">
        <x:v>Capacity units</x:v>
      </x:c>
      <x:c r="H135" s="34" t="n">
        <x:v>231</x:v>
      </x:c>
      <x:c r="I135" s="31" t="str"/>
      <x:c r="J135" s="31" t="str">
        <x:v>forecast-response points</x:v>
      </x:c>
      <x:c r="K135" s="31" t="str">
        <x:v>Earlier management working export</x:v>
      </x:c>
      <x:c r="L135" s="37" t="str">
        <x:v>2026-06-24</x:v>
      </x:c>
      <x:c r="M135" s="31" t="str"/>
    </x:row>
    <x:row r="136" ht="28.799999237060547" hidden="0" customHeight="1">
      <x:c r="A136" s="40" t="str">
        <x:v>RPT-E0C792062F2</x:v>
      </x:c>
      <x:c r="B136" s="31" t="str">
        <x:v>FY26 guidance review</x:v>
      </x:c>
      <x:c r="C136" s="31" t="str">
        <x:v>Guidance protection action register</x:v>
      </x:c>
      <x:c r="D136" s="31" t="str">
        <x:v>Backlog acceleration program</x:v>
      </x:c>
      <x:c r="E136" s="31" t="str">
        <x:v>2026-05 working copy</x:v>
      </x:c>
      <x:c r="F136" s="31" t="str">
        <x:v>Approved case</x:v>
      </x:c>
      <x:c r="G136" s="31" t="str">
        <x:v>Realization probability</x:v>
      </x:c>
      <x:c r="H136" s="34" t="n">
        <x:v>0.6386000000000001</x:v>
      </x:c>
      <x:c r="I136" s="31" t="str"/>
      <x:c r="J136" s="31" t="str">
        <x:v>decimal ratio</x:v>
      </x:c>
      <x:c r="K136" s="31" t="str">
        <x:v>Earlier management working export</x:v>
      </x:c>
      <x:c r="L136" s="37" t="str">
        <x:v>2026-06-24</x:v>
      </x:c>
      <x:c r="M136" s="31" t="str"/>
    </x:row>
    <x:row r="137" ht="28.799999237060547" hidden="0" customHeight="1">
      <x:c r="A137" s="40" t="str">
        <x:v>RPT-EBBDEAF2B69</x:v>
      </x:c>
      <x:c r="B137" s="31" t="str">
        <x:v>FY26 guidance review</x:v>
      </x:c>
      <x:c r="C137" s="31" t="str">
        <x:v>Guidance protection action register</x:v>
      </x:c>
      <x:c r="D137" s="31" t="str">
        <x:v>Copper price collar</x:v>
      </x:c>
      <x:c r="E137" s="31" t="str">
        <x:v>Management review</x:v>
      </x:c>
      <x:c r="F137" s="31" t="str">
        <x:v>Management stretch</x:v>
      </x:c>
      <x:c r="G137" s="31" t="str">
        <x:v>Gross financial effect</x:v>
      </x:c>
      <x:c r="H137" s="34" t="n">
        <x:v>540800</x:v>
      </x:c>
      <x:c r="I137" s="31" t="str"/>
      <x:c r="J137" s="31" t="str">
        <x:v>USD</x:v>
      </x:c>
      <x:c r="K137" s="31" t="str">
        <x:v>Earlier management working export</x:v>
      </x:c>
      <x:c r="L137" s="37" t="str">
        <x:v>2026-06-24</x:v>
      </x:c>
      <x:c r="M137" s="31" t="str"/>
    </x:row>
    <x:row r="138" ht="28.799999237060547" hidden="0" customHeight="1">
      <x:c r="A138" s="40" t="str">
        <x:v>RPT-E083C733DB6</x:v>
      </x:c>
      <x:c r="B138" s="31" t="str">
        <x:v>FY26 guidance review</x:v>
      </x:c>
      <x:c r="C138" s="31" t="str">
        <x:v>Guidance protection action register</x:v>
      </x:c>
      <x:c r="D138" s="31" t="str">
        <x:v>Service labor recovery</x:v>
      </x:c>
      <x:c r="E138" s="31" t="str">
        <x:v>2026-05 working copy</x:v>
      </x:c>
      <x:c r="F138" s="31" t="str">
        <x:v>Approved case</x:v>
      </x:c>
      <x:c r="G138" s="31" t="str">
        <x:v>Cash cost</x:v>
      </x:c>
      <x:c r="H138" s="34" t="n">
        <x:v>126000</x:v>
      </x:c>
      <x:c r="I138" s="31" t="str"/>
      <x:c r="J138" s="31" t="str">
        <x:v>USD</x:v>
      </x:c>
      <x:c r="K138" s="31" t="str">
        <x:v>Earlier management working export</x:v>
      </x:c>
      <x:c r="L138" s="37" t="str">
        <x:v>2026-06-24</x:v>
      </x:c>
      <x:c r="M138" s="31" t="str"/>
    </x:row>
    <x:row r="139" ht="28.799999237060547" hidden="0" customHeight="1">
      <x:c r="A139" s="40" t="str">
        <x:v>RPT-E0BB1B8B438</x:v>
      </x:c>
      <x:c r="B139" s="31" t="str">
        <x:v>FY26 guidance review</x:v>
      </x:c>
      <x:c r="C139" s="31" t="str">
        <x:v>Guidance protection action register</x:v>
      </x:c>
      <x:c r="D139" s="31" t="str">
        <x:v>Discretionary opex hold</x:v>
      </x:c>
      <x:c r="E139" s="31" t="str">
        <x:v>Management review</x:v>
      </x:c>
      <x:c r="F139" s="31" t="str">
        <x:v>Management stretch</x:v>
      </x:c>
      <x:c r="G139" s="31" t="str">
        <x:v>Capacity units</x:v>
      </x:c>
      <x:c r="H139" s="34" t="n">
        <x:v>175.1</x:v>
      </x:c>
      <x:c r="I139" s="31" t="str"/>
      <x:c r="J139" s="31" t="str">
        <x:v>forecast-response points</x:v>
      </x:c>
      <x:c r="K139" s="31" t="str">
        <x:v>Earlier management working export</x:v>
      </x:c>
      <x:c r="L139" s="37" t="str">
        <x:v>2026-06-24</x:v>
      </x:c>
      <x:c r="M139" s="31" t="str"/>
    </x:row>
    <x:row r="140" ht="48" hidden="0" customHeight="1">
      <x:c r="A140" s="40" t="str">
        <x:v>RPT-E31C932671A</x:v>
      </x:c>
      <x:c r="B140" s="31" t="str">
        <x:v>FY26 guidance review</x:v>
      </x:c>
      <x:c r="C140" s="31" t="str">
        <x:v>Guidance protection action register scenario controls</x:v>
      </x:c>
      <x:c r="D140" s="31" t="str">
        <x:v>Board guidance base</x:v>
      </x:c>
      <x:c r="E140" s="31" t="str">
        <x:v>2026-05 working copy</x:v>
      </x:c>
      <x:c r="F140" s="31" t="str">
        <x:v>Approved case</x:v>
      </x:c>
      <x:c r="G140" s="31" t="str">
        <x:v>Gross effect factor</x:v>
      </x:c>
      <x:c r="H140" s="34" t="n">
        <x:v>1.03</x:v>
      </x:c>
      <x:c r="I140" s="31" t="str"/>
      <x:c r="J140" s="31" t="str">
        <x:v>decimal ratio</x:v>
      </x:c>
      <x:c r="K140" s="31" t="str">
        <x:v>Earlier management working export</x:v>
      </x:c>
      <x:c r="L140" s="37" t="str">
        <x:v>2026-06-24</x:v>
      </x:c>
      <x:c r="M140" s="31" t="str"/>
    </x:row>
    <x:row r="141" ht="48" hidden="0" customHeight="1">
      <x:c r="A141" s="40" t="str">
        <x:v>RPT-EF4FD5D6A0D</x:v>
      </x:c>
      <x:c r="B141" s="31" t="str">
        <x:v>FY26 guidance review</x:v>
      </x:c>
      <x:c r="C141" s="31" t="str">
        <x:v>Guidance protection action register scenario controls</x:v>
      </x:c>
      <x:c r="D141" s="31" t="str">
        <x:v>Copper and buyout squeeze</x:v>
      </x:c>
      <x:c r="E141" s="31" t="str">
        <x:v>Management review</x:v>
      </x:c>
      <x:c r="F141" s="31" t="str">
        <x:v>Management stretch</x:v>
      </x:c>
      <x:c r="G141" s="31" t="str">
        <x:v>Gross effect factor</x:v>
      </x:c>
      <x:c r="H141" s="34" t="n">
        <x:v>0.8528</x:v>
      </x:c>
      <x:c r="I141" s="31" t="str"/>
      <x:c r="J141" s="31" t="str">
        <x:v>decimal ratio</x:v>
      </x:c>
      <x:c r="K141" s="31" t="str">
        <x:v>Earlier management working export</x:v>
      </x:c>
      <x:c r="L141" s="37" t="str">
        <x:v>2026-06-24</x:v>
      </x:c>
      <x:c r="M141" s="31" t="str"/>
    </x:row>
    <x:row r="142" ht="48" hidden="0" customHeight="1">
      <x:c r="A142" s="40" t="str">
        <x:v>RPT-E6054434DFF</x:v>
      </x:c>
      <x:c r="B142" s="31" t="str">
        <x:v>FY26 guidance review</x:v>
      </x:c>
      <x:c r="C142" s="31" t="str">
        <x:v>Guidance protection action register scenario controls</x:v>
      </x:c>
      <x:c r="D142" s="31" t="str">
        <x:v>Service labor recovery delay</x:v>
      </x:c>
      <x:c r="E142" s="31" t="str">
        <x:v>2026-05 working copy</x:v>
      </x:c>
      <x:c r="F142" s="31" t="str">
        <x:v>Approved case</x:v>
      </x:c>
      <x:c r="G142" s="31" t="str">
        <x:v>Gross effect factor</x:v>
      </x:c>
      <x:c r="H142" s="34" t="n">
        <x:v>0.903</x:v>
      </x:c>
      <x:c r="I142" s="31" t="str"/>
      <x:c r="J142" s="31" t="str">
        <x:v>decimal ratio</x:v>
      </x:c>
      <x:c r="K142" s="31" t="str">
        <x:v>Earlier management working export</x:v>
      </x:c>
      <x:c r="L142" s="37" t="str">
        <x:v>2026-06-24</x:v>
      </x:c>
      <x:c r="M142" s="31" t="str"/>
    </x:row>
    <x:row r="143" ht="48" hidden="0" customHeight="1">
      <x:c r="A143" s="40" t="str">
        <x:v>RPT-E999C8C58C3</x:v>
      </x:c>
      <x:c r="B143" s="31" t="str">
        <x:v>FY26 guidance review</x:v>
      </x:c>
      <x:c r="C143" s="31" t="str">
        <x:v>Guidance protection action register scenario controls</x:v>
      </x:c>
      <x:c r="D143" s="31" t="str">
        <x:v>Backlog conversion shortfall</x:v>
      </x:c>
      <x:c r="E143" s="31" t="str">
        <x:v>Management review</x:v>
      </x:c>
      <x:c r="F143" s="31" t="str">
        <x:v>Management stretch</x:v>
      </x:c>
      <x:c r="G143" s="31" t="str">
        <x:v>Gross effect factor</x:v>
      </x:c>
      <x:c r="H143" s="34" t="n">
        <x:v>0.7416</x:v>
      </x:c>
      <x:c r="I143" s="31" t="str"/>
      <x:c r="J143" s="31" t="str">
        <x:v>decimal ratio</x:v>
      </x:c>
      <x:c r="K143" s="31" t="str">
        <x:v>Earlier management working export</x:v>
      </x:c>
      <x:c r="L143" s="37" t="str">
        <x:v>2026-06-24</x:v>
      </x:c>
      <x:c r="M143" s="31" t="str"/>
    </x:row>
    <x:row r="144" ht="48" hidden="0" customHeight="1">
      <x:c r="A144" s="40" t="str">
        <x:v>RPT-E6840D49620</x:v>
      </x:c>
      <x:c r="B144" s="31" t="str">
        <x:v>FY26 guidance review</x:v>
      </x:c>
      <x:c r="C144" s="31" t="str">
        <x:v>Guidance protection action register scenario controls</x:v>
      </x:c>
      <x:c r="D144" s="31" t="str">
        <x:v>Combined guidance downside</x:v>
      </x:c>
      <x:c r="E144" s="31" t="str">
        <x:v>2026-05 working copy</x:v>
      </x:c>
      <x:c r="F144" s="31" t="str">
        <x:v>Approved case</x:v>
      </x:c>
      <x:c r="G144" s="31" t="str">
        <x:v>Gross effect factor</x:v>
      </x:c>
      <x:c r="H144" s="34" t="n">
        <x:v>0.624</x:v>
      </x:c>
      <x:c r="I144" s="31" t="str"/>
      <x:c r="J144" s="31" t="str">
        <x:v>decimal ratio</x:v>
      </x:c>
      <x:c r="K144" s="31" t="str">
        <x:v>Earlier management working export</x:v>
      </x:c>
      <x:c r="L144" s="37" t="str">
        <x:v>2026-06-24</x:v>
      </x:c>
      <x:c r="M144" s="31" t="str"/>
    </x:row>
    <x:row r="145" ht="48" hidden="0" customHeight="1">
      <x:c r="A145" s="40" t="str">
        <x:v>RPT-E7E6DCA97E1</x:v>
      </x:c>
      <x:c r="B145" s="31" t="str">
        <x:v>FY26 guidance review</x:v>
      </x:c>
      <x:c r="C145" s="31" t="str">
        <x:v>Guidance protection action register scenario controls</x:v>
      </x:c>
      <x:c r="D145" s="31" t="str">
        <x:v>Board guidance base</x:v>
      </x:c>
      <x:c r="E145" s="31" t="str">
        <x:v>Management review</x:v>
      </x:c>
      <x:c r="F145" s="31" t="str">
        <x:v>Management stretch</x:v>
      </x:c>
      <x:c r="G145" s="31" t="str">
        <x:v>Gross effect factor</x:v>
      </x:c>
      <x:c r="H145" s="34" t="n">
        <x:v>1.05</x:v>
      </x:c>
      <x:c r="I145" s="31" t="str"/>
      <x:c r="J145" s="31" t="str">
        <x:v>decimal ratio</x:v>
      </x:c>
      <x:c r="K145" s="31" t="str">
        <x:v>Earlier management working export</x:v>
      </x:c>
      <x:c r="L145" s="37" t="str">
        <x:v>2026-06-24</x:v>
      </x:c>
      <x:c r="M145" s="31" t="str"/>
    </x:row>
    <x:row r="146" ht="48" hidden="0" customHeight="1">
      <x:c r="A146" s="40" t="str">
        <x:v>RPT-ED2E5051992</x:v>
      </x:c>
      <x:c r="B146" s="31" t="str">
        <x:v>FY26 guidance review</x:v>
      </x:c>
      <x:c r="C146" s="31" t="str">
        <x:v>Guidance protection action register scenario controls</x:v>
      </x:c>
      <x:c r="D146" s="31" t="str">
        <x:v>Copper and buyout squeeze</x:v>
      </x:c>
      <x:c r="E146" s="31" t="str">
        <x:v>2026-05 working copy</x:v>
      </x:c>
      <x:c r="F146" s="31" t="str">
        <x:v>Approved case</x:v>
      </x:c>
      <x:c r="G146" s="31" t="str">
        <x:v>Gross effect factor</x:v>
      </x:c>
      <x:c r="H146" s="34" t="n">
        <x:v>0.8446</x:v>
      </x:c>
      <x:c r="I146" s="31" t="str"/>
      <x:c r="J146" s="31" t="str">
        <x:v>decimal ratio</x:v>
      </x:c>
      <x:c r="K146" s="31" t="str">
        <x:v>Earlier management working export</x:v>
      </x:c>
      <x:c r="L146" s="37" t="str">
        <x:v>2026-06-24</x:v>
      </x:c>
      <x:c r="M146" s="31" t="str"/>
    </x:row>
    <x:row r="147" ht="48" hidden="0" customHeight="1">
      <x:c r="A147" s="41" t="str">
        <x:v>RPT-E1C4BF904EA</x:v>
      </x:c>
      <x:c r="B147" s="32" t="str">
        <x:v>FY26 guidance review</x:v>
      </x:c>
      <x:c r="C147" s="32" t="str">
        <x:v>Guidance protection action register scenario controls</x:v>
      </x:c>
      <x:c r="D147" s="32" t="str">
        <x:v>Service labor recovery delay</x:v>
      </x:c>
      <x:c r="E147" s="32" t="str">
        <x:v>Management review</x:v>
      </x:c>
      <x:c r="F147" s="32" t="str">
        <x:v>Management stretch</x:v>
      </x:c>
      <x:c r="G147" s="32" t="str">
        <x:v>Gross effect factor</x:v>
      </x:c>
      <x:c r="H147" s="35" t="n">
        <x:v>0.8944</x:v>
      </x:c>
      <x:c r="I147" s="32" t="str"/>
      <x:c r="J147" s="32" t="str">
        <x:v>decimal ratio</x:v>
      </x:c>
      <x:c r="K147" s="32" t="str">
        <x:v>Earlier management working export</x:v>
      </x:c>
      <x:c r="L147" s="38" t="str">
        <x:v>2026-06-24</x:v>
      </x:c>
      <x:c r="M147" s="32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44" hidden="0" customWidth="1"/>
  </x:cols>
  <x:sheetData>
    <x:row r="1" ht="25" customHeight="1">
      <x:c r="A1" s="9" t="str">
        <x:v>Q2 management reporting and investor materials | data checks</x:v>
      </x:c>
      <x:c r="B1" s="9"/>
      <x:c r="C1" s="9"/>
      <x:c r="D1" s="9"/>
      <x:c r="E1" s="9"/>
      <x:c r="F1" s="9"/>
    </x:row>
    <x:row r="2" ht="25" customHeight="1">
      <x:c r="A2" s="11" t="str">
        <x:v>Row-count and version checks; investigate any unexpected change before using the book</x:v>
      </x:c>
      <x:c r="B2" s="11"/>
      <x:c r="C2" s="11"/>
      <x:c r="D2" s="11"/>
      <x:c r="E2" s="11"/>
      <x:c r="F2" s="11"/>
    </x:row>
    <x:row r="4" ht="30" customHeight="1">
      <x:c r="A4" s="20" t="str">
        <x:v>Data sheet</x:v>
      </x:c>
      <x:c r="B4" s="21" t="str">
        <x:v>Expected rows</x:v>
      </x:c>
      <x:c r="C4" s="21" t="str">
        <x:v>Workbook rows</x:v>
      </x:c>
      <x:c r="D4" s="21" t="str">
        <x:v>Difference</x:v>
      </x:c>
      <x:c r="E4" s="21" t="str">
        <x:v>Status</x:v>
      </x:c>
      <x:c r="F4" s="22" t="str">
        <x:v>Version note</x:v>
      </x:c>
    </x:row>
    <x:row r="5">
      <x:c r="A5" s="43" t="str">
        <x:v>Quarterly KPIs</x:v>
      </x:c>
      <x:c r="B5" s="43" t="n">
        <x:v>36</x:v>
      </x:c>
      <x:c r="C5" s="43" t="n">
        <x:f>COUNTA('Quarterly KPIs'!$A$5:$A$40)</x:f>
        <x:v>36</x:v>
      </x:c>
      <x:c r="D5" s="43" t="n">
        <x:f>C5-B5</x:f>
        <x:v>0</x:v>
      </x:c>
      <x:c r="E5" s="45" t="str">
        <x:f>IF(D5=0,"OK","CHECK")</x:f>
        <x:v>OK</x:v>
      </x:c>
      <x:c r="F5" s="43" t="str">
        <x:v>PRIOR REVIEW COPY • NOT CURRENT</x:v>
      </x:c>
    </x:row>
    <x:row r="6">
      <x:c r="A6" s="44" t="str">
        <x:v>Board Performance</x:v>
      </x:c>
      <x:c r="B6" s="44" t="n">
        <x:v>143</x:v>
      </x:c>
      <x:c r="C6" s="44" t="n">
        <x:f>COUNTA('Board Performance'!$A$5:$A$147)</x:f>
        <x:v>143</x:v>
      </x:c>
      <x:c r="D6" s="44" t="n">
        <x:f>C6-B6</x:f>
        <x:v>0</x:v>
      </x:c>
      <x:c r="E6" s="46" t="str">
        <x:f>IF(D6=0,"OK","CHECK")</x:f>
        <x:v>OK</x:v>
      </x:c>
      <x:c r="F6" s="44" t="str">
        <x:v>PRIOR REVIEW COPY • NOT CURRENT</x:v>
      </x:c>
    </x:row>
  </x:sheetData>
  <x:mergeCells>
    <x:mergeCell ref="A1:F1"/>
    <x:mergeCell ref="A2:F2"/>
  </x:mergeCells>
  <x:pageMargins left="0.7" right="0.7" top="0.75" bottom="0.75" header="0.3" footer="0.3"/>
</x:worksheet>
</file>