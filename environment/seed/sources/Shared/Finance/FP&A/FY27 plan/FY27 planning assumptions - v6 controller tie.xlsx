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Id5"/>
    <x:sheet xmlns:r="http://schemas.openxmlformats.org/officeDocument/2006/relationships" name="Revenue and Service" sheetId="2" r:id="rId6"/>
    <x:sheet xmlns:r="http://schemas.openxmlformats.org/officeDocument/2006/relationships" name="Margin and Accuracy" sheetId="3" r:id="rId7"/>
    <x:sheet xmlns:r="http://schemas.openxmlformats.org/officeDocument/2006/relationships" name="Opex and Workforce" sheetId="4" r:id="rId8"/>
    <x:sheet xmlns:r="http://schemas.openxmlformats.org/officeDocument/2006/relationships" name="Branches and Backlog" sheetId="5" r:id="rId9"/>
    <x:sheet xmlns:r="http://schemas.openxmlformats.org/officeDocument/2006/relationships" name="Working Capital" sheetId="6" r:id="rId10"/>
    <x:sheet xmlns:r="http://schemas.openxmlformats.org/officeDocument/2006/relationships" name="Data Checks" sheetId="7" r:id="rI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;[Red](#,##0.0000);-"/>
    <x:numFmt numFmtId="201" formatCode="yyyy-mm-dd"/>
  </x:numFmts>
  <x:fonts count="8">
    <x:font>
      <x:sz val="11"/>
      <x:name val="Carlito"/>
    </x:font>
    <x:font>
      <x:b/>
      <x:sz val="10"/>
      <x:color rgb="FF252321"/>
      <x:name val="Aptos"/>
    </x:font>
    <x:font>
      <x:sz val="10"/>
      <x:color rgb="FF252321"/>
      <x:name val="Aptos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9"/>
      <x:color rgb="FFFFFFFF"/>
      <x:name val="Aptos"/>
    </x:font>
    <x:font>
      <x:sz val="8"/>
      <x:color rgb="FF252321"/>
      <x:name val="Aptos"/>
    </x:font>
    <x:font>
      <x:sz val="9"/>
      <x:color rgb="FF25232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E4ECE7"/>
      </x:patternFill>
    </x:fill>
    <x:fill>
      <x:patternFill patternType="solid">
        <x:fgColor rgb="FFE2EFE6"/>
      </x:patternFill>
    </x:fill>
    <x:fill>
      <x:patternFill patternType="solid">
        <x:fgColor rgb="FF2A4337"/>
      </x:patternFill>
    </x:fill>
    <x:fill>
      <x:patternFill patternType="solid">
        <x:fgColor rgb="FF5A7669"/>
      </x:patternFill>
    </x:fill>
  </x:fills>
  <x:borders count="10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0C6"/>
      </x:bottom>
    </x:border>
    <x:border>
      <x:top style="hair">
        <x:color rgb="FFD8D0C6"/>
      </x:top>
      <x:bottom style="hair">
        <x:color rgb="FFD8D0C6"/>
      </x:bottom>
    </x:border>
    <x:border>
      <x:top style="hair">
        <x:color rgb="FFD8D0C6"/>
      </x:top>
    </x:border>
    <x:border>
      <x:bottom style="thin">
        <x:color rgb="FFD8D0C6"/>
      </x:bottom>
    </x:border>
    <x:border>
      <x:top style="thin">
        <x:color rgb="FFD8D0C6"/>
      </x:top>
      <x:bottom style="thin">
        <x:color rgb="FFD8D0C6"/>
      </x:bottom>
    </x:border>
    <x:border>
      <x:top style="thin">
        <x:color rgb="FFD8D0C6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201" fontId="6" fillId="0" borderId="4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6" fillId="2" borderId="5" xfId="0" applyNumberFormat="1" applyFont="1" applyFill="1" applyBorder="1" applyAlignment="1">
      <x:alignment vertical="center"/>
    </x:xf>
    <x:xf numFmtId="0" fontId="6" fillId="2" borderId="6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3" borderId="7" xfId="0" applyNumberFormat="1" applyFont="1" applyFill="1" applyBorder="1"/>
    <x:xf numFmtId="0" fontId="7" fillId="3" borderId="8" xfId="0" applyNumberFormat="1" applyFont="1" applyFill="1" applyBorder="1"/>
    <x:xf numFmtId="0" fontId="7" fillId="3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4" /><Relationship Type="http://schemas.openxmlformats.org/officeDocument/2006/relationships/sharedStrings" Target="/xl/sharedStrings.xml" Id="rId2" /><Relationship Type="http://schemas.openxmlformats.org/officeDocument/2006/relationships/worksheet" Target="/xl/worksheets/sheet1.xml" Id="rId5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microsoft.com/office/2017/10/relationships/person" Target="/xl/persons/person.xml" Id="rId1" /></Relationships>
</file>

<file path=xl/persons/person.xml><?xml version="1.0" encoding="utf-8"?>
<xltc:personList xmlns:xltc="http://schemas.microsoft.com/office/spreadsheetml/2018/threadedcomments">
  <xltc:person displayName="Alder Ridge Finance" id="{BD67AABD-AFE6-B47E-2605-AD863483D93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25" customHeight="1">
      <x:c r="A1" s="6"/>
    </x:row>
    <x:row r="2" ht="25" customHeight="1"/>
    <x:row r="4">
      <x:c r="A4" s="2" t="str">
        <x:v>Company</x:v>
      </x:c>
      <x:c r="B4" s="5" t="str">
        <x:v>Alder Ridge Mechanical</x:v>
      </x:c>
    </x:row>
    <x:row r="5">
      <x:c r="A5" s="2" t="str">
        <x:v>Reporting cutoff</x:v>
      </x:c>
      <x:c r="B5" s="5" t="str">
        <x:v>2026-06-30</x:v>
      </x:c>
    </x:row>
    <x:row r="6">
      <x:c r="A6" s="2" t="str">
        <x:v>Review date</x:v>
      </x:c>
      <x:c r="B6" s="5" t="str">
        <x:v>2026-07-05</x:v>
      </x:c>
    </x:row>
    <x:row r="7">
      <x:c r="A7" s="2" t="str">
        <x:v>Version</x:v>
      </x:c>
      <x:c r="B7" s="5" t="str">
        <x:v>Current controller-reviewed version</x:v>
      </x:c>
    </x:row>
    <x:row r="8">
      <x:c r="A8" s="2" t="str">
        <x:v>Workbook status</x:v>
      </x:c>
      <x:c r="B8" s="5" t="str">
        <x:v>CURRENT • CONTROLLER REVIEW COMPLETE</x:v>
      </x:c>
    </x:row>
    <x:row r="9">
      <x:c r="A9" s="2" t="str">
        <x:v>Purpose</x:v>
      </x:c>
      <x:c r="B9" s="5" t="str">
        <x:v>Management assumptions and supporting schedules used across the finance review</x:v>
      </x:c>
    </x:row>
    <x:row r="10">
      <x:c r="A10" s="2" t="str">
        <x:v>Authority</x:v>
      </x:c>
      <x:c r="B10" s="5" t="str">
        <x:v>Current management assumptions; posted actuals must be reconciled to Vista ERP</x:v>
      </x:c>
    </x:row>
    <x:row r="12" ht="42" customHeight="1">
      <x:c r="B12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FY27 operating plan | Revenue and Service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CURRENT WORKING SOURCE - controller tie completed 2026-07-03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>
      <x:c r="A5" s="36" t="str">
        <x:v>PLN-00001</x:v>
      </x:c>
      <x:c r="B5" s="27" t="str">
        <x:v>FY27 branch revenue driver forecast</x:v>
      </x:c>
      <x:c r="C5" s="27" t="str">
        <x:v>FY26 posted revenue tie</x:v>
      </x:c>
      <x:c r="D5" s="27" t="str">
        <x:v>Construction</x:v>
      </x:c>
      <x:c r="E5" s="27" t="str">
        <x:v>LTM 2026-06-30</x:v>
      </x:c>
      <x:c r="F5" s="27" t="str">
        <x:v>Approved case</x:v>
      </x:c>
      <x:c r="G5" s="27" t="str">
        <x:v>Posted revenue allocation</x:v>
      </x:c>
      <x:c r="H5" s="30" t="n">
        <x:v>0.58</x:v>
      </x:c>
      <x:c r="I5" s="27" t="str"/>
      <x:c r="J5" s="27" t="str">
        <x:v>ledger allocation factor</x:v>
      </x:c>
      <x:c r="K5" s="27" t="str">
        <x:v>Branch mapping maintained outside the GL</x:v>
      </x:c>
      <x:c r="L5" s="33" t="str">
        <x:v>2026-06-30</x:v>
      </x:c>
      <x:c r="M5" s="27" t="str">
        <x:v>Vista ERP P&amp;L, 2025-07-01 through 2026-06-30; Revenue total</x:v>
      </x:c>
    </x:row>
    <x:row r="6">
      <x:c r="A6" s="37" t="str">
        <x:v>PLN-00002</x:v>
      </x:c>
      <x:c r="B6" s="28" t="str">
        <x:v>FY27 branch revenue driver forecast</x:v>
      </x:c>
      <x:c r="C6" s="28" t="str">
        <x:v>FY26 posted revenue tie</x:v>
      </x:c>
      <x:c r="D6" s="28" t="str">
        <x:v>Service</x:v>
      </x:c>
      <x:c r="E6" s="28" t="str">
        <x:v>LTM 2026-06-30</x:v>
      </x:c>
      <x:c r="F6" s="28" t="str">
        <x:v>Approved case</x:v>
      </x:c>
      <x:c r="G6" s="28" t="str">
        <x:v>Posted revenue allocation</x:v>
      </x:c>
      <x:c r="H6" s="31" t="n">
        <x:v>0.27</x:v>
      </x:c>
      <x:c r="I6" s="28" t="str"/>
      <x:c r="J6" s="28" t="str">
        <x:v>ledger allocation factor</x:v>
      </x:c>
      <x:c r="K6" s="28" t="str">
        <x:v>Branch mapping maintained outside the GL</x:v>
      </x:c>
      <x:c r="L6" s="34" t="str">
        <x:v>2026-06-30</x:v>
      </x:c>
      <x:c r="M6" s="28" t="str">
        <x:v>Vista ERP P&amp;L, 2025-07-01 through 2026-06-30; Revenue total</x:v>
      </x:c>
    </x:row>
    <x:row r="7">
      <x:c r="A7" s="37" t="str">
        <x:v>PLN-00003</x:v>
      </x:c>
      <x:c r="B7" s="28" t="str">
        <x:v>FY27 branch revenue driver forecast</x:v>
      </x:c>
      <x:c r="C7" s="28" t="str">
        <x:v>FY26 posted revenue tie</x:v>
      </x:c>
      <x:c r="D7" s="28" t="str">
        <x:v>Controls</x:v>
      </x:c>
      <x:c r="E7" s="28" t="str">
        <x:v>LTM 2026-06-30</x:v>
      </x:c>
      <x:c r="F7" s="28" t="str">
        <x:v>Approved case</x:v>
      </x:c>
      <x:c r="G7" s="28" t="str">
        <x:v>Posted revenue allocation</x:v>
      </x:c>
      <x:c r="H7" s="31" t="n">
        <x:v>0.15</x:v>
      </x:c>
      <x:c r="I7" s="28" t="str"/>
      <x:c r="J7" s="28" t="str">
        <x:v>ledger allocation factor</x:v>
      </x:c>
      <x:c r="K7" s="28" t="str">
        <x:v>Branch mapping maintained outside the GL</x:v>
      </x:c>
      <x:c r="L7" s="34" t="str">
        <x:v>2026-06-30</x:v>
      </x:c>
      <x:c r="M7" s="28" t="str">
        <x:v>Vista ERP P&amp;L, 2025-07-01 through 2026-06-30; Revenue total</x:v>
      </x:c>
    </x:row>
    <x:row r="8">
      <x:c r="A8" s="37" t="str">
        <x:v>PLN-00004</x:v>
      </x:c>
      <x:c r="B8" s="28" t="str">
        <x:v>FY27 branch revenue driver forecast</x:v>
      </x:c>
      <x:c r="C8" s="28" t="str">
        <x:v>FY27 approved branch drivers</x:v>
      </x:c>
      <x:c r="D8" s="28" t="str">
        <x:v>Construction</x:v>
      </x:c>
      <x:c r="E8" s="28" t="str">
        <x:v>FY27</x:v>
      </x:c>
      <x:c r="F8" s="28" t="str">
        <x:v>Approved case</x:v>
      </x:c>
      <x:c r="G8" s="28" t="str">
        <x:v>Core volume growth</x:v>
      </x:c>
      <x:c r="H8" s="31" t="n">
        <x:v>-0.02</x:v>
      </x:c>
      <x:c r="I8" s="28" t="str"/>
      <x:c r="J8" s="28" t="str">
        <x:v>decimal ratio</x:v>
      </x:c>
      <x:c r="K8" s="28" t="str">
        <x:v>Approved FY27 branch driver submission</x:v>
      </x:c>
      <x:c r="L8" s="34" t="str">
        <x:v>2026-06-30</x:v>
      </x:c>
      <x:c r="M8" s="28" t="str"/>
    </x:row>
    <x:row r="9">
      <x:c r="A9" s="37" t="str">
        <x:v>PLN-00005</x:v>
      </x:c>
      <x:c r="B9" s="28" t="str">
        <x:v>FY27 branch revenue driver forecast</x:v>
      </x:c>
      <x:c r="C9" s="28" t="str">
        <x:v>FY27 approved branch drivers</x:v>
      </x:c>
      <x:c r="D9" s="28" t="str">
        <x:v>Construction</x:v>
      </x:c>
      <x:c r="E9" s="28" t="str">
        <x:v>FY27</x:v>
      </x:c>
      <x:c r="F9" s="28" t="str">
        <x:v>Approved case</x:v>
      </x:c>
      <x:c r="G9" s="28" t="str">
        <x:v>Core price growth</x:v>
      </x:c>
      <x:c r="H9" s="31" t="n">
        <x:v>0.032</x:v>
      </x:c>
      <x:c r="I9" s="28" t="str"/>
      <x:c r="J9" s="28" t="str">
        <x:v>decimal ratio</x:v>
      </x:c>
      <x:c r="K9" s="28" t="str">
        <x:v>Approved FY27 branch driver submission</x:v>
      </x:c>
      <x:c r="L9" s="34" t="str">
        <x:v>2026-06-30</x:v>
      </x:c>
      <x:c r="M9" s="28" t="str"/>
    </x:row>
    <x:row r="10">
      <x:c r="A10" s="37" t="str">
        <x:v>PLN-00006</x:v>
      </x:c>
      <x:c r="B10" s="28" t="str">
        <x:v>FY27 branch revenue driver forecast</x:v>
      </x:c>
      <x:c r="C10" s="28" t="str">
        <x:v>FY27 approved branch drivers</x:v>
      </x:c>
      <x:c r="D10" s="28" t="str">
        <x:v>Construction</x:v>
      </x:c>
      <x:c r="E10" s="28" t="str">
        <x:v>FY27</x:v>
      </x:c>
      <x:c r="F10" s="28" t="str">
        <x:v>Approved case</x:v>
      </x:c>
      <x:c r="G10" s="28" t="str">
        <x:v>Pass-through share</x:v>
      </x:c>
      <x:c r="H10" s="31" t="n">
        <x:v>0.18</x:v>
      </x:c>
      <x:c r="I10" s="28" t="str"/>
      <x:c r="J10" s="28" t="str">
        <x:v>decimal ratio</x:v>
      </x:c>
      <x:c r="K10" s="28" t="str">
        <x:v>Approved FY27 branch driver submission</x:v>
      </x:c>
      <x:c r="L10" s="34" t="str">
        <x:v>2026-06-30</x:v>
      </x:c>
      <x:c r="M10" s="28" t="str"/>
    </x:row>
    <x:row r="11">
      <x:c r="A11" s="37" t="str">
        <x:v>PLN-00007</x:v>
      </x:c>
      <x:c r="B11" s="28" t="str">
        <x:v>FY27 branch revenue driver forecast</x:v>
      </x:c>
      <x:c r="C11" s="28" t="str">
        <x:v>FY27 approved branch drivers</x:v>
      </x:c>
      <x:c r="D11" s="28" t="str">
        <x:v>Construction</x:v>
      </x:c>
      <x:c r="E11" s="28" t="str">
        <x:v>FY27</x:v>
      </x:c>
      <x:c r="F11" s="28" t="str">
        <x:v>Approved case</x:v>
      </x:c>
      <x:c r="G11" s="28" t="str">
        <x:v>Signed backlog incremental revenue</x:v>
      </x:c>
      <x:c r="H11" s="31" t="n">
        <x:v>2600000</x:v>
      </x:c>
      <x:c r="I11" s="28" t="str"/>
      <x:c r="J11" s="28" t="str">
        <x:v>USD</x:v>
      </x:c>
      <x:c r="K11" s="28" t="str">
        <x:v>Approved FY27 branch driver submission</x:v>
      </x:c>
      <x:c r="L11" s="34" t="str">
        <x:v>2026-06-30</x:v>
      </x:c>
      <x:c r="M11" s="28" t="str"/>
    </x:row>
    <x:row r="12">
      <x:c r="A12" s="37" t="str">
        <x:v>PLN-00008</x:v>
      </x:c>
      <x:c r="B12" s="28" t="str">
        <x:v>FY27 branch revenue driver forecast</x:v>
      </x:c>
      <x:c r="C12" s="28" t="str">
        <x:v>FY27 approved branch drivers</x:v>
      </x:c>
      <x:c r="D12" s="28" t="str">
        <x:v>Service</x:v>
      </x:c>
      <x:c r="E12" s="28" t="str">
        <x:v>FY27</x:v>
      </x:c>
      <x:c r="F12" s="28" t="str">
        <x:v>Approved case</x:v>
      </x:c>
      <x:c r="G12" s="28" t="str">
        <x:v>Recurring share</x:v>
      </x:c>
      <x:c r="H12" s="31" t="n">
        <x:v>0.48</x:v>
      </x:c>
      <x:c r="I12" s="28" t="str"/>
      <x:c r="J12" s="28" t="str">
        <x:v>decimal ratio</x:v>
      </x:c>
      <x:c r="K12" s="28" t="str">
        <x:v>Approved FY27 branch driver submission</x:v>
      </x:c>
      <x:c r="L12" s="34" t="str">
        <x:v>2026-06-30</x:v>
      </x:c>
      <x:c r="M12" s="28" t="str"/>
    </x:row>
    <x:row r="13">
      <x:c r="A13" s="37" t="str">
        <x:v>PLN-00009</x:v>
      </x:c>
      <x:c r="B13" s="28" t="str">
        <x:v>FY27 branch revenue driver forecast</x:v>
      </x:c>
      <x:c r="C13" s="28" t="str">
        <x:v>FY27 approved branch drivers</x:v>
      </x:c>
      <x:c r="D13" s="28" t="str">
        <x:v>Service</x:v>
      </x:c>
      <x:c r="E13" s="28" t="str">
        <x:v>FY27</x:v>
      </x:c>
      <x:c r="F13" s="28" t="str">
        <x:v>Approved case</x:v>
      </x:c>
      <x:c r="G13" s="28" t="str">
        <x:v>Gross renewal rate</x:v>
      </x:c>
      <x:c r="H13" s="31" t="n">
        <x:v>0.925</x:v>
      </x:c>
      <x:c r="I13" s="28" t="str"/>
      <x:c r="J13" s="28" t="str">
        <x:v>decimal ratio</x:v>
      </x:c>
      <x:c r="K13" s="28" t="str">
        <x:v>Approved FY27 branch driver submission</x:v>
      </x:c>
      <x:c r="L13" s="34" t="str">
        <x:v>2026-06-30</x:v>
      </x:c>
      <x:c r="M13" s="28" t="str"/>
    </x:row>
    <x:row r="14">
      <x:c r="A14" s="37" t="str">
        <x:v>PLN-00010</x:v>
      </x:c>
      <x:c r="B14" s="28" t="str">
        <x:v>FY27 branch revenue driver forecast</x:v>
      </x:c>
      <x:c r="C14" s="28" t="str">
        <x:v>FY27 approved branch drivers</x:v>
      </x:c>
      <x:c r="D14" s="28" t="str">
        <x:v>Service</x:v>
      </x:c>
      <x:c r="E14" s="28" t="str">
        <x:v>FY27</x:v>
      </x:c>
      <x:c r="F14" s="28" t="str">
        <x:v>Approved case</x:v>
      </x:c>
      <x:c r="G14" s="28" t="str">
        <x:v>Renewal price escalation</x:v>
      </x:c>
      <x:c r="H14" s="31" t="n">
        <x:v>0.04</x:v>
      </x:c>
      <x:c r="I14" s="28" t="str"/>
      <x:c r="J14" s="28" t="str">
        <x:v>decimal ratio</x:v>
      </x:c>
      <x:c r="K14" s="28" t="str">
        <x:v>Approved FY27 branch driver submission</x:v>
      </x:c>
      <x:c r="L14" s="34" t="str">
        <x:v>2026-06-30</x:v>
      </x:c>
      <x:c r="M14" s="28" t="str"/>
    </x:row>
    <x:row r="15">
      <x:c r="A15" s="37" t="str">
        <x:v>PLN-00011</x:v>
      </x:c>
      <x:c r="B15" s="28" t="str">
        <x:v>FY27 branch revenue driver forecast</x:v>
      </x:c>
      <x:c r="C15" s="28" t="str">
        <x:v>FY27 approved branch drivers</x:v>
      </x:c>
      <x:c r="D15" s="28" t="str">
        <x:v>Service</x:v>
      </x:c>
      <x:c r="E15" s="28" t="str">
        <x:v>FY27</x:v>
      </x:c>
      <x:c r="F15" s="28" t="str">
        <x:v>Approved case</x:v>
      </x:c>
      <x:c r="G15" s="28" t="str">
        <x:v>Expansion ARR</x:v>
      </x:c>
      <x:c r="H15" s="31" t="n">
        <x:v>760000</x:v>
      </x:c>
      <x:c r="I15" s="28" t="str"/>
      <x:c r="J15" s="28" t="str">
        <x:v>USD</x:v>
      </x:c>
      <x:c r="K15" s="28" t="str">
        <x:v>Approved FY27 branch driver submission</x:v>
      </x:c>
      <x:c r="L15" s="34" t="str">
        <x:v>2026-06-30</x:v>
      </x:c>
      <x:c r="M15" s="28" t="str"/>
    </x:row>
    <x:row r="16">
      <x:c r="A16" s="37" t="str">
        <x:v>PLN-00012</x:v>
      </x:c>
      <x:c r="B16" s="28" t="str">
        <x:v>FY27 branch revenue driver forecast</x:v>
      </x:c>
      <x:c r="C16" s="28" t="str">
        <x:v>FY27 approved branch drivers</x:v>
      </x:c>
      <x:c r="D16" s="28" t="str">
        <x:v>Service</x:v>
      </x:c>
      <x:c r="E16" s="28" t="str">
        <x:v>FY27</x:v>
      </x:c>
      <x:c r="F16" s="28" t="str">
        <x:v>Approved case</x:v>
      </x:c>
      <x:c r="G16" s="28" t="str">
        <x:v>Demand-work volume growth</x:v>
      </x:c>
      <x:c r="H16" s="31" t="n">
        <x:v>0.055</x:v>
      </x:c>
      <x:c r="I16" s="28" t="str"/>
      <x:c r="J16" s="28" t="str">
        <x:v>decimal ratio</x:v>
      </x:c>
      <x:c r="K16" s="28" t="str">
        <x:v>Approved FY27 branch driver submission</x:v>
      </x:c>
      <x:c r="L16" s="34" t="str">
        <x:v>2026-06-30</x:v>
      </x:c>
      <x:c r="M16" s="28" t="str"/>
    </x:row>
    <x:row r="17">
      <x:c r="A17" s="37" t="str">
        <x:v>PLN-00013</x:v>
      </x:c>
      <x:c r="B17" s="28" t="str">
        <x:v>FY27 branch revenue driver forecast</x:v>
      </x:c>
      <x:c r="C17" s="28" t="str">
        <x:v>FY27 approved branch drivers</x:v>
      </x:c>
      <x:c r="D17" s="28" t="str">
        <x:v>Service</x:v>
      </x:c>
      <x:c r="E17" s="28" t="str">
        <x:v>FY27</x:v>
      </x:c>
      <x:c r="F17" s="28" t="str">
        <x:v>Approved case</x:v>
      </x:c>
      <x:c r="G17" s="28" t="str">
        <x:v>Demand-work price growth</x:v>
      </x:c>
      <x:c r="H17" s="31" t="n">
        <x:v>0.025</x:v>
      </x:c>
      <x:c r="I17" s="28" t="str"/>
      <x:c r="J17" s="28" t="str">
        <x:v>decimal ratio</x:v>
      </x:c>
      <x:c r="K17" s="28" t="str">
        <x:v>Approved FY27 branch driver submission</x:v>
      </x:c>
      <x:c r="L17" s="34" t="str">
        <x:v>2026-06-30</x:v>
      </x:c>
      <x:c r="M17" s="28" t="str"/>
    </x:row>
    <x:row r="18">
      <x:c r="A18" s="37" t="str">
        <x:v>PLN-00014</x:v>
      </x:c>
      <x:c r="B18" s="28" t="str">
        <x:v>FY27 branch revenue driver forecast</x:v>
      </x:c>
      <x:c r="C18" s="28" t="str">
        <x:v>FY27 approved branch drivers</x:v>
      </x:c>
      <x:c r="D18" s="28" t="str">
        <x:v>Service</x:v>
      </x:c>
      <x:c r="E18" s="28" t="str">
        <x:v>FY27</x:v>
      </x:c>
      <x:c r="F18" s="28" t="str">
        <x:v>Approved case</x:v>
      </x:c>
      <x:c r="G18" s="28" t="str">
        <x:v>Pass-through share</x:v>
      </x:c>
      <x:c r="H18" s="31" t="n">
        <x:v>0.1</x:v>
      </x:c>
      <x:c r="I18" s="28" t="str"/>
      <x:c r="J18" s="28" t="str">
        <x:v>decimal ratio</x:v>
      </x:c>
      <x:c r="K18" s="28" t="str">
        <x:v>Approved FY27 branch driver submission</x:v>
      </x:c>
      <x:c r="L18" s="34" t="str">
        <x:v>2026-06-30</x:v>
      </x:c>
      <x:c r="M18" s="28" t="str"/>
    </x:row>
    <x:row r="19">
      <x:c r="A19" s="37" t="str">
        <x:v>PLN-00015</x:v>
      </x:c>
      <x:c r="B19" s="28" t="str">
        <x:v>FY27 branch revenue driver forecast</x:v>
      </x:c>
      <x:c r="C19" s="28" t="str">
        <x:v>FY27 approved branch drivers</x:v>
      </x:c>
      <x:c r="D19" s="28" t="str">
        <x:v>Controls</x:v>
      </x:c>
      <x:c r="E19" s="28" t="str">
        <x:v>FY27</x:v>
      </x:c>
      <x:c r="F19" s="28" t="str">
        <x:v>Approved case</x:v>
      </x:c>
      <x:c r="G19" s="28" t="str">
        <x:v>Project volume growth</x:v>
      </x:c>
      <x:c r="H19" s="31" t="n">
        <x:v>0.07</x:v>
      </x:c>
      <x:c r="I19" s="28" t="str"/>
      <x:c r="J19" s="28" t="str">
        <x:v>decimal ratio</x:v>
      </x:c>
      <x:c r="K19" s="28" t="str">
        <x:v>Approved FY27 branch driver submission</x:v>
      </x:c>
      <x:c r="L19" s="34" t="str">
        <x:v>2026-06-30</x:v>
      </x:c>
      <x:c r="M19" s="28" t="str"/>
    </x:row>
    <x:row r="20">
      <x:c r="A20" s="37" t="str">
        <x:v>PLN-00016</x:v>
      </x:c>
      <x:c r="B20" s="28" t="str">
        <x:v>FY27 branch revenue driver forecast</x:v>
      </x:c>
      <x:c r="C20" s="28" t="str">
        <x:v>FY27 approved branch drivers</x:v>
      </x:c>
      <x:c r="D20" s="28" t="str">
        <x:v>Controls</x:v>
      </x:c>
      <x:c r="E20" s="28" t="str">
        <x:v>FY27</x:v>
      </x:c>
      <x:c r="F20" s="28" t="str">
        <x:v>Approved case</x:v>
      </x:c>
      <x:c r="G20" s="28" t="str">
        <x:v>Project price growth</x:v>
      </x:c>
      <x:c r="H20" s="31" t="n">
        <x:v>0.028</x:v>
      </x:c>
      <x:c r="I20" s="28" t="str"/>
      <x:c r="J20" s="28" t="str">
        <x:v>decimal ratio</x:v>
      </x:c>
      <x:c r="K20" s="28" t="str">
        <x:v>Approved FY27 branch driver submission</x:v>
      </x:c>
      <x:c r="L20" s="34" t="str">
        <x:v>2026-06-30</x:v>
      </x:c>
      <x:c r="M20" s="28" t="str"/>
    </x:row>
    <x:row r="21">
      <x:c r="A21" s="37" t="str">
        <x:v>PLN-00017</x:v>
      </x:c>
      <x:c r="B21" s="28" t="str">
        <x:v>FY27 branch revenue driver forecast</x:v>
      </x:c>
      <x:c r="C21" s="28" t="str">
        <x:v>FY27 approved branch drivers</x:v>
      </x:c>
      <x:c r="D21" s="28" t="str">
        <x:v>Controls</x:v>
      </x:c>
      <x:c r="E21" s="28" t="str">
        <x:v>FY27</x:v>
      </x:c>
      <x:c r="F21" s="28" t="str">
        <x:v>Approved case</x:v>
      </x:c>
      <x:c r="G21" s="28" t="str">
        <x:v>Monitoring growth</x:v>
      </x:c>
      <x:c r="H21" s="31" t="n">
        <x:v>0.11</x:v>
      </x:c>
      <x:c r="I21" s="28" t="str"/>
      <x:c r="J21" s="28" t="str">
        <x:v>decimal ratio</x:v>
      </x:c>
      <x:c r="K21" s="28" t="str">
        <x:v>Approved FY27 branch driver submission</x:v>
      </x:c>
      <x:c r="L21" s="34" t="str">
        <x:v>2026-06-30</x:v>
      </x:c>
      <x:c r="M21" s="28" t="str"/>
    </x:row>
    <x:row r="22">
      <x:c r="A22" s="37" t="str">
        <x:v>PLN-00018</x:v>
      </x:c>
      <x:c r="B22" s="28" t="str">
        <x:v>FY27 branch revenue driver forecast</x:v>
      </x:c>
      <x:c r="C22" s="28" t="str">
        <x:v>FY27 approved branch drivers</x:v>
      </x:c>
      <x:c r="D22" s="28" t="str">
        <x:v>Controls</x:v>
      </x:c>
      <x:c r="E22" s="28" t="str">
        <x:v>FY27</x:v>
      </x:c>
      <x:c r="F22" s="28" t="str">
        <x:v>Approved case</x:v>
      </x:c>
      <x:c r="G22" s="28" t="str">
        <x:v>Monitoring share</x:v>
      </x:c>
      <x:c r="H22" s="31" t="n">
        <x:v>0.22</x:v>
      </x:c>
      <x:c r="I22" s="28" t="str"/>
      <x:c r="J22" s="28" t="str">
        <x:v>decimal ratio</x:v>
      </x:c>
      <x:c r="K22" s="28" t="str">
        <x:v>Approved FY27 branch driver submission</x:v>
      </x:c>
      <x:c r="L22" s="34" t="str">
        <x:v>2026-06-30</x:v>
      </x:c>
      <x:c r="M22" s="28" t="str"/>
    </x:row>
    <x:row r="23">
      <x:c r="A23" s="37" t="str">
        <x:v>PLN-00019</x:v>
      </x:c>
      <x:c r="B23" s="28" t="str">
        <x:v>FY27 branch revenue driver forecast</x:v>
      </x:c>
      <x:c r="C23" s="28" t="str">
        <x:v>FY27 approved branch drivers</x:v>
      </x:c>
      <x:c r="D23" s="28" t="str">
        <x:v>Controls</x:v>
      </x:c>
      <x:c r="E23" s="28" t="str">
        <x:v>FY27</x:v>
      </x:c>
      <x:c r="F23" s="28" t="str">
        <x:v>Approved case</x:v>
      </x:c>
      <x:c r="G23" s="28" t="str">
        <x:v>Signed backlog incremental revenue</x:v>
      </x:c>
      <x:c r="H23" s="31" t="n">
        <x:v>640000</x:v>
      </x:c>
      <x:c r="I23" s="28" t="str"/>
      <x:c r="J23" s="28" t="str">
        <x:v>USD</x:v>
      </x:c>
      <x:c r="K23" s="28" t="str">
        <x:v>Approved FY27 branch driver submission</x:v>
      </x:c>
      <x:c r="L23" s="34" t="str">
        <x:v>2026-06-30</x:v>
      </x:c>
      <x:c r="M23" s="28" t="str"/>
    </x:row>
    <x:row r="24">
      <x:c r="A24" s="37" t="str">
        <x:v>PLN-00020</x:v>
      </x:c>
      <x:c r="B24" s="28" t="str">
        <x:v>FY27 branch revenue driver forecast</x:v>
      </x:c>
      <x:c r="C24" s="28" t="str">
        <x:v>Reconciliation</x:v>
      </x:c>
      <x:c r="D24" s="28" t="str">
        <x:v>Corporate eliminations</x:v>
      </x:c>
      <x:c r="E24" s="28" t="str">
        <x:v>LTM 2026-06-30</x:v>
      </x:c>
      <x:c r="F24" s="28" t="str">
        <x:v>Approved case</x:v>
      </x:c>
      <x:c r="G24" s="28" t="str">
        <x:v>Unallocated posted revenue</x:v>
      </x:c>
      <x:c r="H24" s="31" t="n">
        <x:v>0</x:v>
      </x:c>
      <x:c r="I24" s="28" t="str"/>
      <x:c r="J24" s="28" t="str">
        <x:v>USD</x:v>
      </x:c>
      <x:c r="K24" s="28" t="str">
        <x:v>Controller branch mapping control</x:v>
      </x:c>
      <x:c r="L24" s="34" t="str">
        <x:v>2026-06-30</x:v>
      </x:c>
      <x:c r="M24" s="28" t="str"/>
    </x:row>
    <x:row r="25">
      <x:c r="A25" s="37" t="str">
        <x:v>PLN-00298</x:v>
      </x:c>
      <x:c r="B25" s="28" t="str">
        <x:v>Service revenue price-volume-mix variance</x:v>
      </x:c>
      <x:c r="C25" s="28" t="str">
        <x:v>Q2 service product detail</x:v>
      </x:c>
      <x:c r="D25" s="28" t="str">
        <x:v>Preventive</x:v>
      </x:c>
      <x:c r="E25" s="28" t="str">
        <x:v>2026-Q2</x:v>
      </x:c>
      <x:c r="F25" s="28" t="str">
        <x:v>Approved case</x:v>
      </x:c>
      <x:c r="G25" s="28" t="str">
        <x:v>Budget units</x:v>
      </x:c>
      <x:c r="H25" s="31" t="n">
        <x:v>48000</x:v>
      </x:c>
      <x:c r="I25" s="28" t="str"/>
      <x:c r="J25" s="28" t="str">
        <x:v>count</x:v>
      </x:c>
      <x:c r="K25" s="28" t="str">
        <x:v>Service operations and billing reconciliation</x:v>
      </x:c>
      <x:c r="L25" s="34" t="str">
        <x:v>2026-06-30</x:v>
      </x:c>
      <x:c r="M25" s="28" t="str"/>
    </x:row>
    <x:row r="26">
      <x:c r="A26" s="37" t="str">
        <x:v>PLN-00299</x:v>
      </x:c>
      <x:c r="B26" s="28" t="str">
        <x:v>Service revenue price-volume-mix variance</x:v>
      </x:c>
      <x:c r="C26" s="28" t="str">
        <x:v>Q2 service product detail</x:v>
      </x:c>
      <x:c r="D26" s="28" t="str">
        <x:v>Preventive</x:v>
      </x:c>
      <x:c r="E26" s="28" t="str">
        <x:v>2026-Q2</x:v>
      </x:c>
      <x:c r="F26" s="28" t="str">
        <x:v>Approved case</x:v>
      </x:c>
      <x:c r="G26" s="28" t="str">
        <x:v>Budget unit price</x:v>
      </x:c>
      <x:c r="H26" s="31" t="n">
        <x:v>96</x:v>
      </x:c>
      <x:c r="I26" s="28" t="str"/>
      <x:c r="J26" s="28" t="str">
        <x:v>USD per unit</x:v>
      </x:c>
      <x:c r="K26" s="28" t="str">
        <x:v>Service operations and billing reconciliation</x:v>
      </x:c>
      <x:c r="L26" s="34" t="str">
        <x:v>2026-06-30</x:v>
      </x:c>
      <x:c r="M26" s="28" t="str"/>
    </x:row>
    <x:row r="27">
      <x:c r="A27" s="37" t="str">
        <x:v>PLN-00300</x:v>
      </x:c>
      <x:c r="B27" s="28" t="str">
        <x:v>Service revenue price-volume-mix variance</x:v>
      </x:c>
      <x:c r="C27" s="28" t="str">
        <x:v>Q2 service product detail</x:v>
      </x:c>
      <x:c r="D27" s="28" t="str">
        <x:v>Preventive</x:v>
      </x:c>
      <x:c r="E27" s="28" t="str">
        <x:v>2026-Q2</x:v>
      </x:c>
      <x:c r="F27" s="28" t="str">
        <x:v>Approved case</x:v>
      </x:c>
      <x:c r="G27" s="28" t="str">
        <x:v>Actual units</x:v>
      </x:c>
      <x:c r="H27" s="31" t="n">
        <x:v>51600</x:v>
      </x:c>
      <x:c r="I27" s="28" t="str"/>
      <x:c r="J27" s="28" t="str">
        <x:v>count</x:v>
      </x:c>
      <x:c r="K27" s="28" t="str">
        <x:v>Service operations and billing reconciliation</x:v>
      </x:c>
      <x:c r="L27" s="34" t="str">
        <x:v>2026-06-30</x:v>
      </x:c>
      <x:c r="M27" s="28" t="str"/>
    </x:row>
    <x:row r="28">
      <x:c r="A28" s="37" t="str">
        <x:v>PLN-00301</x:v>
      </x:c>
      <x:c r="B28" s="28" t="str">
        <x:v>Service revenue price-volume-mix variance</x:v>
      </x:c>
      <x:c r="C28" s="28" t="str">
        <x:v>Q2 service product detail</x:v>
      </x:c>
      <x:c r="D28" s="28" t="str">
        <x:v>Preventive</x:v>
      </x:c>
      <x:c r="E28" s="28" t="str">
        <x:v>2026-Q2</x:v>
      </x:c>
      <x:c r="F28" s="28" t="str">
        <x:v>Approved case</x:v>
      </x:c>
      <x:c r="G28" s="28" t="str">
        <x:v>Actual unit price</x:v>
      </x:c>
      <x:c r="H28" s="31" t="n">
        <x:v>98.4</x:v>
      </x:c>
      <x:c r="I28" s="28" t="str"/>
      <x:c r="J28" s="28" t="str">
        <x:v>USD per unit</x:v>
      </x:c>
      <x:c r="K28" s="28" t="str">
        <x:v>Service operations and billing reconciliation</x:v>
      </x:c>
      <x:c r="L28" s="34" t="str">
        <x:v>2026-06-30</x:v>
      </x:c>
      <x:c r="M28" s="28" t="str"/>
    </x:row>
    <x:row r="29">
      <x:c r="A29" s="37" t="str">
        <x:v>PLN-00302</x:v>
      </x:c>
      <x:c r="B29" s="28" t="str">
        <x:v>Service revenue price-volume-mix variance</x:v>
      </x:c>
      <x:c r="C29" s="28" t="str">
        <x:v>Q2 service product detail</x:v>
      </x:c>
      <x:c r="D29" s="28" t="str">
        <x:v>Preventive</x:v>
      </x:c>
      <x:c r="E29" s="28" t="str">
        <x:v>2026-Q2</x:v>
      </x:c>
      <x:c r="F29" s="28" t="str">
        <x:v>Approved case</x:v>
      </x:c>
      <x:c r="G29" s="28" t="str">
        <x:v>Executed SLA credits</x:v>
      </x:c>
      <x:c r="H29" s="31" t="n">
        <x:v>-18000</x:v>
      </x:c>
      <x:c r="I29" s="28" t="str"/>
      <x:c r="J29" s="28" t="str">
        <x:v>USD</x:v>
      </x:c>
      <x:c r="K29" s="28" t="str">
        <x:v>Service operations and billing reconciliation</x:v>
      </x:c>
      <x:c r="L29" s="34" t="str">
        <x:v>2026-06-30</x:v>
      </x:c>
      <x:c r="M29" s="28" t="str"/>
    </x:row>
    <x:row r="30">
      <x:c r="A30" s="37" t="str">
        <x:v>PLN-00303</x:v>
      </x:c>
      <x:c r="B30" s="28" t="str">
        <x:v>Service revenue price-volume-mix variance</x:v>
      </x:c>
      <x:c r="C30" s="28" t="str">
        <x:v>Q2 service product detail</x:v>
      </x:c>
      <x:c r="D30" s="28" t="str">
        <x:v>Predictive</x:v>
      </x:c>
      <x:c r="E30" s="28" t="str">
        <x:v>2026-Q2</x:v>
      </x:c>
      <x:c r="F30" s="28" t="str">
        <x:v>Approved case</x:v>
      </x:c>
      <x:c r="G30" s="28" t="str">
        <x:v>Budget units</x:v>
      </x:c>
      <x:c r="H30" s="31" t="n">
        <x:v>27000</x:v>
      </x:c>
      <x:c r="I30" s="28" t="str"/>
      <x:c r="J30" s="28" t="str">
        <x:v>count</x:v>
      </x:c>
      <x:c r="K30" s="28" t="str">
        <x:v>Service operations and billing reconciliation</x:v>
      </x:c>
      <x:c r="L30" s="34" t="str">
        <x:v>2026-06-30</x:v>
      </x:c>
      <x:c r="M30" s="28" t="str"/>
    </x:row>
    <x:row r="31">
      <x:c r="A31" s="37" t="str">
        <x:v>PLN-00304</x:v>
      </x:c>
      <x:c r="B31" s="28" t="str">
        <x:v>Service revenue price-volume-mix variance</x:v>
      </x:c>
      <x:c r="C31" s="28" t="str">
        <x:v>Q2 service product detail</x:v>
      </x:c>
      <x:c r="D31" s="28" t="str">
        <x:v>Predictive</x:v>
      </x:c>
      <x:c r="E31" s="28" t="str">
        <x:v>2026-Q2</x:v>
      </x:c>
      <x:c r="F31" s="28" t="str">
        <x:v>Approved case</x:v>
      </x:c>
      <x:c r="G31" s="28" t="str">
        <x:v>Budget unit price</x:v>
      </x:c>
      <x:c r="H31" s="31" t="n">
        <x:v>138</x:v>
      </x:c>
      <x:c r="I31" s="28" t="str"/>
      <x:c r="J31" s="28" t="str">
        <x:v>USD per unit</x:v>
      </x:c>
      <x:c r="K31" s="28" t="str">
        <x:v>Service operations and billing reconciliation</x:v>
      </x:c>
      <x:c r="L31" s="34" t="str">
        <x:v>2026-06-30</x:v>
      </x:c>
      <x:c r="M31" s="28" t="str"/>
    </x:row>
    <x:row r="32">
      <x:c r="A32" s="37" t="str">
        <x:v>PLN-00305</x:v>
      </x:c>
      <x:c r="B32" s="28" t="str">
        <x:v>Service revenue price-volume-mix variance</x:v>
      </x:c>
      <x:c r="C32" s="28" t="str">
        <x:v>Q2 service product detail</x:v>
      </x:c>
      <x:c r="D32" s="28" t="str">
        <x:v>Predictive</x:v>
      </x:c>
      <x:c r="E32" s="28" t="str">
        <x:v>2026-Q2</x:v>
      </x:c>
      <x:c r="F32" s="28" t="str">
        <x:v>Approved case</x:v>
      </x:c>
      <x:c r="G32" s="28" t="str">
        <x:v>Actual units</x:v>
      </x:c>
      <x:c r="H32" s="31" t="n">
        <x:v>25200</x:v>
      </x:c>
      <x:c r="I32" s="28" t="str"/>
      <x:c r="J32" s="28" t="str">
        <x:v>count</x:v>
      </x:c>
      <x:c r="K32" s="28" t="str">
        <x:v>Service operations and billing reconciliation</x:v>
      </x:c>
      <x:c r="L32" s="34" t="str">
        <x:v>2026-06-30</x:v>
      </x:c>
      <x:c r="M32" s="28" t="str"/>
    </x:row>
    <x:row r="33">
      <x:c r="A33" s="37" t="str">
        <x:v>PLN-00306</x:v>
      </x:c>
      <x:c r="B33" s="28" t="str">
        <x:v>Service revenue price-volume-mix variance</x:v>
      </x:c>
      <x:c r="C33" s="28" t="str">
        <x:v>Q2 service product detail</x:v>
      </x:c>
      <x:c r="D33" s="28" t="str">
        <x:v>Predictive</x:v>
      </x:c>
      <x:c r="E33" s="28" t="str">
        <x:v>2026-Q2</x:v>
      </x:c>
      <x:c r="F33" s="28" t="str">
        <x:v>Approved case</x:v>
      </x:c>
      <x:c r="G33" s="28" t="str">
        <x:v>Actual unit price</x:v>
      </x:c>
      <x:c r="H33" s="31" t="n">
        <x:v>142.5</x:v>
      </x:c>
      <x:c r="I33" s="28" t="str"/>
      <x:c r="J33" s="28" t="str">
        <x:v>USD per unit</x:v>
      </x:c>
      <x:c r="K33" s="28" t="str">
        <x:v>Service operations and billing reconciliation</x:v>
      </x:c>
      <x:c r="L33" s="34" t="str">
        <x:v>2026-06-30</x:v>
      </x:c>
      <x:c r="M33" s="28" t="str"/>
    </x:row>
    <x:row r="34">
      <x:c r="A34" s="37" t="str">
        <x:v>PLN-00307</x:v>
      </x:c>
      <x:c r="B34" s="28" t="str">
        <x:v>Service revenue price-volume-mix variance</x:v>
      </x:c>
      <x:c r="C34" s="28" t="str">
        <x:v>Q2 service product detail</x:v>
      </x:c>
      <x:c r="D34" s="28" t="str">
        <x:v>Predictive</x:v>
      </x:c>
      <x:c r="E34" s="28" t="str">
        <x:v>2026-Q2</x:v>
      </x:c>
      <x:c r="F34" s="28" t="str">
        <x:v>Approved case</x:v>
      </x:c>
      <x:c r="G34" s="28" t="str">
        <x:v>Executed SLA credits</x:v>
      </x:c>
      <x:c r="H34" s="31" t="n">
        <x:v>-24000</x:v>
      </x:c>
      <x:c r="I34" s="28" t="str"/>
      <x:c r="J34" s="28" t="str">
        <x:v>USD</x:v>
      </x:c>
      <x:c r="K34" s="28" t="str">
        <x:v>Service operations and billing reconciliation</x:v>
      </x:c>
      <x:c r="L34" s="34" t="str">
        <x:v>2026-06-30</x:v>
      </x:c>
      <x:c r="M34" s="28" t="str"/>
    </x:row>
    <x:row r="35">
      <x:c r="A35" s="37" t="str">
        <x:v>PLN-00308</x:v>
      </x:c>
      <x:c r="B35" s="28" t="str">
        <x:v>Service revenue price-volume-mix variance</x:v>
      </x:c>
      <x:c r="C35" s="28" t="str">
        <x:v>Q2 service product detail</x:v>
      </x:c>
      <x:c r="D35" s="28" t="str">
        <x:v>Emergency</x:v>
      </x:c>
      <x:c r="E35" s="28" t="str">
        <x:v>2026-Q2</x:v>
      </x:c>
      <x:c r="F35" s="28" t="str">
        <x:v>Approved case</x:v>
      </x:c>
      <x:c r="G35" s="28" t="str">
        <x:v>Budget units</x:v>
      </x:c>
      <x:c r="H35" s="31" t="n">
        <x:v>15000</x:v>
      </x:c>
      <x:c r="I35" s="28" t="str"/>
      <x:c r="J35" s="28" t="str">
        <x:v>count</x:v>
      </x:c>
      <x:c r="K35" s="28" t="str">
        <x:v>Service operations and billing reconciliation</x:v>
      </x:c>
      <x:c r="L35" s="34" t="str">
        <x:v>2026-06-30</x:v>
      </x:c>
      <x:c r="M35" s="28" t="str"/>
    </x:row>
    <x:row r="36">
      <x:c r="A36" s="37" t="str">
        <x:v>PLN-00309</x:v>
      </x:c>
      <x:c r="B36" s="28" t="str">
        <x:v>Service revenue price-volume-mix variance</x:v>
      </x:c>
      <x:c r="C36" s="28" t="str">
        <x:v>Q2 service product detail</x:v>
      </x:c>
      <x:c r="D36" s="28" t="str">
        <x:v>Emergency</x:v>
      </x:c>
      <x:c r="E36" s="28" t="str">
        <x:v>2026-Q2</x:v>
      </x:c>
      <x:c r="F36" s="28" t="str">
        <x:v>Approved case</x:v>
      </x:c>
      <x:c r="G36" s="28" t="str">
        <x:v>Budget unit price</x:v>
      </x:c>
      <x:c r="H36" s="31" t="n">
        <x:v>192</x:v>
      </x:c>
      <x:c r="I36" s="28" t="str"/>
      <x:c r="J36" s="28" t="str">
        <x:v>USD per unit</x:v>
      </x:c>
      <x:c r="K36" s="28" t="str">
        <x:v>Service operations and billing reconciliation</x:v>
      </x:c>
      <x:c r="L36" s="34" t="str">
        <x:v>2026-06-30</x:v>
      </x:c>
      <x:c r="M36" s="28" t="str"/>
    </x:row>
    <x:row r="37">
      <x:c r="A37" s="37" t="str">
        <x:v>PLN-00310</x:v>
      </x:c>
      <x:c r="B37" s="28" t="str">
        <x:v>Service revenue price-volume-mix variance</x:v>
      </x:c>
      <x:c r="C37" s="28" t="str">
        <x:v>Q2 service product detail</x:v>
      </x:c>
      <x:c r="D37" s="28" t="str">
        <x:v>Emergency</x:v>
      </x:c>
      <x:c r="E37" s="28" t="str">
        <x:v>2026-Q2</x:v>
      </x:c>
      <x:c r="F37" s="28" t="str">
        <x:v>Approved case</x:v>
      </x:c>
      <x:c r="G37" s="28" t="str">
        <x:v>Actual units</x:v>
      </x:c>
      <x:c r="H37" s="31" t="n">
        <x:v>17450</x:v>
      </x:c>
      <x:c r="I37" s="28" t="str"/>
      <x:c r="J37" s="28" t="str">
        <x:v>count</x:v>
      </x:c>
      <x:c r="K37" s="28" t="str">
        <x:v>Service operations and billing reconciliation</x:v>
      </x:c>
      <x:c r="L37" s="34" t="str">
        <x:v>2026-06-30</x:v>
      </x:c>
      <x:c r="M37" s="28" t="str"/>
    </x:row>
    <x:row r="38">
      <x:c r="A38" s="37" t="str">
        <x:v>PLN-00311</x:v>
      </x:c>
      <x:c r="B38" s="28" t="str">
        <x:v>Service revenue price-volume-mix variance</x:v>
      </x:c>
      <x:c r="C38" s="28" t="str">
        <x:v>Q2 service product detail</x:v>
      </x:c>
      <x:c r="D38" s="28" t="str">
        <x:v>Emergency</x:v>
      </x:c>
      <x:c r="E38" s="28" t="str">
        <x:v>2026-Q2</x:v>
      </x:c>
      <x:c r="F38" s="28" t="str">
        <x:v>Approved case</x:v>
      </x:c>
      <x:c r="G38" s="28" t="str">
        <x:v>Actual unit price</x:v>
      </x:c>
      <x:c r="H38" s="31" t="n">
        <x:v>202</x:v>
      </x:c>
      <x:c r="I38" s="28" t="str"/>
      <x:c r="J38" s="28" t="str">
        <x:v>USD per unit</x:v>
      </x:c>
      <x:c r="K38" s="28" t="str">
        <x:v>Service operations and billing reconciliation</x:v>
      </x:c>
      <x:c r="L38" s="34" t="str">
        <x:v>2026-06-30</x:v>
      </x:c>
      <x:c r="M38" s="28" t="str"/>
    </x:row>
    <x:row r="39">
      <x:c r="A39" s="37" t="str">
        <x:v>PLN-00312</x:v>
      </x:c>
      <x:c r="B39" s="28" t="str">
        <x:v>Service revenue price-volume-mix variance</x:v>
      </x:c>
      <x:c r="C39" s="28" t="str">
        <x:v>Q2 service product detail</x:v>
      </x:c>
      <x:c r="D39" s="28" t="str">
        <x:v>Emergency</x:v>
      </x:c>
      <x:c r="E39" s="28" t="str">
        <x:v>2026-Q2</x:v>
      </x:c>
      <x:c r="F39" s="28" t="str">
        <x:v>Approved case</x:v>
      </x:c>
      <x:c r="G39" s="28" t="str">
        <x:v>Executed SLA credits</x:v>
      </x:c>
      <x:c r="H39" s="31" t="n">
        <x:v>-42000</x:v>
      </x:c>
      <x:c r="I39" s="28" t="str"/>
      <x:c r="J39" s="28" t="str">
        <x:v>USD</x:v>
      </x:c>
      <x:c r="K39" s="28" t="str">
        <x:v>Service operations and billing reconciliation</x:v>
      </x:c>
      <x:c r="L39" s="34" t="str">
        <x:v>2026-06-30</x:v>
      </x:c>
      <x:c r="M39" s="28" t="str"/>
    </x:row>
    <x:row r="40">
      <x:c r="A40" s="37" t="str">
        <x:v>PLN-00313</x:v>
      </x:c>
      <x:c r="B40" s="28" t="str">
        <x:v>Service revenue price-volume-mix variance</x:v>
      </x:c>
      <x:c r="C40" s="28" t="str">
        <x:v>Q2 service product detail</x:v>
      </x:c>
      <x:c r="D40" s="28" t="str">
        <x:v>Remote monitoring</x:v>
      </x:c>
      <x:c r="E40" s="28" t="str">
        <x:v>2026-Q2</x:v>
      </x:c>
      <x:c r="F40" s="28" t="str">
        <x:v>Approved case</x:v>
      </x:c>
      <x:c r="G40" s="28" t="str">
        <x:v>Budget units</x:v>
      </x:c>
      <x:c r="H40" s="31" t="n">
        <x:v>10000</x:v>
      </x:c>
      <x:c r="I40" s="28" t="str"/>
      <x:c r="J40" s="28" t="str">
        <x:v>count</x:v>
      </x:c>
      <x:c r="K40" s="28" t="str">
        <x:v>Service operations and billing reconciliation</x:v>
      </x:c>
      <x:c r="L40" s="34" t="str">
        <x:v>2026-06-30</x:v>
      </x:c>
      <x:c r="M40" s="28" t="str"/>
    </x:row>
    <x:row r="41">
      <x:c r="A41" s="37" t="str">
        <x:v>PLN-00314</x:v>
      </x:c>
      <x:c r="B41" s="28" t="str">
        <x:v>Service revenue price-volume-mix variance</x:v>
      </x:c>
      <x:c r="C41" s="28" t="str">
        <x:v>Q2 service product detail</x:v>
      </x:c>
      <x:c r="D41" s="28" t="str">
        <x:v>Remote monitoring</x:v>
      </x:c>
      <x:c r="E41" s="28" t="str">
        <x:v>2026-Q2</x:v>
      </x:c>
      <x:c r="F41" s="28" t="str">
        <x:v>Approved case</x:v>
      </x:c>
      <x:c r="G41" s="28" t="str">
        <x:v>Budget unit price</x:v>
      </x:c>
      <x:c r="H41" s="31" t="n">
        <x:v>76.2</x:v>
      </x:c>
      <x:c r="I41" s="28" t="str"/>
      <x:c r="J41" s="28" t="str">
        <x:v>USD per unit</x:v>
      </x:c>
      <x:c r="K41" s="28" t="str">
        <x:v>Service operations and billing reconciliation</x:v>
      </x:c>
      <x:c r="L41" s="34" t="str">
        <x:v>2026-06-30</x:v>
      </x:c>
      <x:c r="M41" s="28" t="str"/>
    </x:row>
    <x:row r="42">
      <x:c r="A42" s="37" t="str">
        <x:v>PLN-00315</x:v>
      </x:c>
      <x:c r="B42" s="28" t="str">
        <x:v>Service revenue price-volume-mix variance</x:v>
      </x:c>
      <x:c r="C42" s="28" t="str">
        <x:v>Q2 service product detail</x:v>
      </x:c>
      <x:c r="D42" s="28" t="str">
        <x:v>Remote monitoring</x:v>
      </x:c>
      <x:c r="E42" s="28" t="str">
        <x:v>2026-Q2</x:v>
      </x:c>
      <x:c r="F42" s="28" t="str">
        <x:v>Approved case</x:v>
      </x:c>
      <x:c r="G42" s="28" t="str">
        <x:v>Actual units</x:v>
      </x:c>
      <x:c r="H42" s="31" t="n">
        <x:v>9850</x:v>
      </x:c>
      <x:c r="I42" s="28" t="str"/>
      <x:c r="J42" s="28" t="str">
        <x:v>count</x:v>
      </x:c>
      <x:c r="K42" s="28" t="str">
        <x:v>Service operations and billing reconciliation</x:v>
      </x:c>
      <x:c r="L42" s="34" t="str">
        <x:v>2026-06-30</x:v>
      </x:c>
      <x:c r="M42" s="28" t="str"/>
    </x:row>
    <x:row r="43">
      <x:c r="A43" s="37" t="str">
        <x:v>PLN-00316</x:v>
      </x:c>
      <x:c r="B43" s="28" t="str">
        <x:v>Service revenue price-volume-mix variance</x:v>
      </x:c>
      <x:c r="C43" s="28" t="str">
        <x:v>Q2 service product detail</x:v>
      </x:c>
      <x:c r="D43" s="28" t="str">
        <x:v>Remote monitoring</x:v>
      </x:c>
      <x:c r="E43" s="28" t="str">
        <x:v>2026-Q2</x:v>
      </x:c>
      <x:c r="F43" s="28" t="str">
        <x:v>Approved case</x:v>
      </x:c>
      <x:c r="G43" s="28" t="str">
        <x:v>Actual unit price</x:v>
      </x:c>
      <x:c r="H43" s="31" t="n">
        <x:v>79</x:v>
      </x:c>
      <x:c r="I43" s="28" t="str"/>
      <x:c r="J43" s="28" t="str">
        <x:v>USD per unit</x:v>
      </x:c>
      <x:c r="K43" s="28" t="str">
        <x:v>Service operations and billing reconciliation</x:v>
      </x:c>
      <x:c r="L43" s="34" t="str">
        <x:v>2026-06-30</x:v>
      </x:c>
      <x:c r="M43" s="28" t="str"/>
    </x:row>
    <x:row r="44">
      <x:c r="A44" s="37" t="str">
        <x:v>PLN-00317</x:v>
      </x:c>
      <x:c r="B44" s="28" t="str">
        <x:v>Service revenue price-volume-mix variance</x:v>
      </x:c>
      <x:c r="C44" s="28" t="str">
        <x:v>Q2 service product detail</x:v>
      </x:c>
      <x:c r="D44" s="28" t="str">
        <x:v>Remote monitoring</x:v>
      </x:c>
      <x:c r="E44" s="28" t="str">
        <x:v>2026-Q2</x:v>
      </x:c>
      <x:c r="F44" s="28" t="str">
        <x:v>Approved case</x:v>
      </x:c>
      <x:c r="G44" s="28" t="str">
        <x:v>Executed SLA credits</x:v>
      </x:c>
      <x:c r="H44" s="31" t="n">
        <x:v>-6000</x:v>
      </x:c>
      <x:c r="I44" s="28" t="str"/>
      <x:c r="J44" s="28" t="str">
        <x:v>USD</x:v>
      </x:c>
      <x:c r="K44" s="28" t="str">
        <x:v>Service operations and billing reconciliation</x:v>
      </x:c>
      <x:c r="L44" s="34" t="str">
        <x:v>2026-06-30</x:v>
      </x:c>
      <x:c r="M44" s="28" t="str"/>
    </x:row>
    <x:row r="45">
      <x:c r="A45" s="37" t="str">
        <x:v>PLN-00318</x:v>
      </x:c>
      <x:c r="B45" s="28" t="str">
        <x:v>Service revenue price-volume-mix variance</x:v>
      </x:c>
      <x:c r="C45" s="28" t="str">
        <x:v>Posted tie</x:v>
      </x:c>
      <x:c r="D45" s="28" t="str">
        <x:v>Service</x:v>
      </x:c>
      <x:c r="E45" s="28" t="str">
        <x:v>2026-Q2</x:v>
      </x:c>
      <x:c r="F45" s="28" t="str">
        <x:v>Approved case</x:v>
      </x:c>
      <x:c r="G45" s="28" t="str">
        <x:v>Posted Service revenue</x:v>
      </x:c>
      <x:c r="H45" s="31" t="n">
        <x:v>1</x:v>
      </x:c>
      <x:c r="I45" s="28" t="str"/>
      <x:c r="J45" s="28" t="str">
        <x:v>ledger allocation factor</x:v>
      </x:c>
      <x:c r="K45" s="28" t="str">
        <x:v>Vista ERP posted Q2 Service-department revenue</x:v>
      </x:c>
      <x:c r="L45" s="34" t="str">
        <x:v>2026-06-30</x:v>
      </x:c>
      <x:c r="M45" s="28" t="str">
        <x:v>Vista ERP Q2 2026 P&amp;L by department; Service revenue</x:v>
      </x:c>
    </x:row>
    <x:row r="46">
      <x:c r="A46" s="37" t="str">
        <x:v>PLN-029X01</x:v>
      </x:c>
      <x:c r="B46" s="28" t="str">
        <x:v>Service revenue price-volume-mix variance</x:v>
      </x:c>
      <x:c r="C46" s="28" t="str">
        <x:v>Q3 service recovery action register</x:v>
      </x:c>
      <x:c r="D46" s="28" t="str">
        <x:v>Predictive renewal outreach</x:v>
      </x:c>
      <x:c r="E46" s="28" t="str">
        <x:v>Management review</x:v>
      </x:c>
      <x:c r="F46" s="28" t="str">
        <x:v>Approved case</x:v>
      </x:c>
      <x:c r="G46" s="28" t="str">
        <x:v>Cash cost</x:v>
      </x:c>
      <x:c r="H46" s="31" t="n">
        <x:v>140000</x:v>
      </x:c>
      <x:c r="I46" s="28" t="str"/>
      <x:c r="J46" s="28" t="str">
        <x:v>USD</x:v>
      </x:c>
      <x:c r="K46" s="28" t="str">
        <x:v>Finance operating schedule</x:v>
      </x:c>
      <x:c r="L46" s="34" t="str">
        <x:v>2026-06-30</x:v>
      </x:c>
      <x:c r="M46" s="28" t="str"/>
    </x:row>
    <x:row r="47">
      <x:c r="A47" s="37" t="str">
        <x:v>PLN-029X02</x:v>
      </x:c>
      <x:c r="B47" s="28" t="str">
        <x:v>Service revenue price-volume-mix variance</x:v>
      </x:c>
      <x:c r="C47" s="28" t="str">
        <x:v>Q3 service recovery action register</x:v>
      </x:c>
      <x:c r="D47" s="28" t="str">
        <x:v>Predictive renewal outreach</x:v>
      </x:c>
      <x:c r="E47" s="28" t="str">
        <x:v>Management review</x:v>
      </x:c>
      <x:c r="F47" s="28" t="str">
        <x:v>Approved case</x:v>
      </x:c>
      <x:c r="G47" s="28" t="str">
        <x:v>Gross financial effect</x:v>
      </x:c>
      <x:c r="H47" s="31" t="n">
        <x:v>390000</x:v>
      </x:c>
      <x:c r="I47" s="28" t="str"/>
      <x:c r="J47" s="28" t="str">
        <x:v>USD</x:v>
      </x:c>
      <x:c r="K47" s="28" t="str">
        <x:v>Finance operating schedule</x:v>
      </x:c>
      <x:c r="L47" s="34" t="str">
        <x:v>2026-06-30</x:v>
      </x:c>
      <x:c r="M47" s="28" t="str"/>
    </x:row>
    <x:row r="48">
      <x:c r="A48" s="37" t="str">
        <x:v>PLN-029X03</x:v>
      </x:c>
      <x:c r="B48" s="28" t="str">
        <x:v>Service revenue price-volume-mix variance</x:v>
      </x:c>
      <x:c r="C48" s="28" t="str">
        <x:v>Q3 service recovery action register</x:v>
      </x:c>
      <x:c r="D48" s="28" t="str">
        <x:v>Predictive renewal outreach</x:v>
      </x:c>
      <x:c r="E48" s="28" t="str">
        <x:v>Management review</x:v>
      </x:c>
      <x:c r="F48" s="28" t="str">
        <x:v>Approved case</x:v>
      </x:c>
      <x:c r="G48" s="28" t="str">
        <x:v>Realization probability</x:v>
      </x:c>
      <x:c r="H48" s="31" t="n">
        <x:v>0.75</x:v>
      </x:c>
      <x:c r="I48" s="28" t="str"/>
      <x:c r="J48" s="28" t="str">
        <x:v>decimal ratio</x:v>
      </x:c>
      <x:c r="K48" s="28" t="str">
        <x:v>Finance operating schedule</x:v>
      </x:c>
      <x:c r="L48" s="34" t="str">
        <x:v>2026-06-30</x:v>
      </x:c>
      <x:c r="M48" s="28" t="str"/>
    </x:row>
    <x:row r="49">
      <x:c r="A49" s="37" t="str">
        <x:v>PLN-029X04</x:v>
      </x:c>
      <x:c r="B49" s="28" t="str">
        <x:v>Service revenue price-volume-mix variance</x:v>
      </x:c>
      <x:c r="C49" s="28" t="str">
        <x:v>Q3 service recovery action register</x:v>
      </x:c>
      <x:c r="D49" s="28" t="str">
        <x:v>Predictive renewal outreach</x:v>
      </x:c>
      <x:c r="E49" s="28" t="str">
        <x:v>Management review</x:v>
      </x:c>
      <x:c r="F49" s="28" t="str">
        <x:v>Approved case</x:v>
      </x:c>
      <x:c r="G49" s="28" t="str">
        <x:v>Capacity units</x:v>
      </x:c>
      <x:c r="H49" s="31" t="n">
        <x:v>260</x:v>
      </x:c>
      <x:c r="I49" s="28" t="str"/>
      <x:c r="J49" s="28" t="str">
        <x:v>implementation hours</x:v>
      </x:c>
      <x:c r="K49" s="28" t="str">
        <x:v>Finance operating schedule</x:v>
      </x:c>
      <x:c r="L49" s="34" t="str">
        <x:v>2026-06-30</x:v>
      </x:c>
      <x:c r="M49" s="28" t="str"/>
    </x:row>
    <x:row r="50">
      <x:c r="A50" s="37" t="str">
        <x:v>PLN-029X05</x:v>
      </x:c>
      <x:c r="B50" s="28" t="str">
        <x:v>Service revenue price-volume-mix variance</x:v>
      </x:c>
      <x:c r="C50" s="28" t="str">
        <x:v>Q3 service recovery action register</x:v>
      </x:c>
      <x:c r="D50" s="28" t="str">
        <x:v>Predictive renewal outreach</x:v>
      </x:c>
      <x:c r="E50" s="28" t="str">
        <x:v>Management review</x:v>
      </x:c>
      <x:c r="F50" s="28" t="str">
        <x:v>Approved case</x:v>
      </x:c>
      <x:c r="G50" s="28" t="str">
        <x:v>Status</x:v>
      </x:c>
      <x:c r="H50" s="31" t="str"/>
      <x:c r="I50" s="28" t="str">
        <x:v>Approved</x:v>
      </x:c>
      <x:c r="J50" s="28" t="str">
        <x:v>classification</x:v>
      </x:c>
      <x:c r="K50" s="28" t="str">
        <x:v>Finance operating schedule</x:v>
      </x:c>
      <x:c r="L50" s="34" t="str">
        <x:v>2026-06-30</x:v>
      </x:c>
      <x:c r="M50" s="28" t="str"/>
    </x:row>
    <x:row r="51">
      <x:c r="A51" s="37" t="str">
        <x:v>PLN-029X06</x:v>
      </x:c>
      <x:c r="B51" s="28" t="str">
        <x:v>Service revenue price-volume-mix variance</x:v>
      </x:c>
      <x:c r="C51" s="28" t="str">
        <x:v>Q3 service recovery action register</x:v>
      </x:c>
      <x:c r="D51" s="28" t="str">
        <x:v>Predictive renewal outreach</x:v>
      </x:c>
      <x:c r="E51" s="28" t="str">
        <x:v>Management review</x:v>
      </x:c>
      <x:c r="F51" s="28" t="str">
        <x:v>Approved case</x:v>
      </x:c>
      <x:c r="G51" s="28" t="str">
        <x:v>Dependency</x:v>
      </x:c>
      <x:c r="H51" s="31" t="str"/>
      <x:c r="I51" s="28" t="str"/>
      <x:c r="J51" s="28" t="str">
        <x:v>classification</x:v>
      </x:c>
      <x:c r="K51" s="28" t="str">
        <x:v>Finance operating schedule</x:v>
      </x:c>
      <x:c r="L51" s="34" t="str">
        <x:v>2026-06-30</x:v>
      </x:c>
      <x:c r="M51" s="28" t="str"/>
    </x:row>
    <x:row r="52">
      <x:c r="A52" s="37" t="str">
        <x:v>PLN-029X07</x:v>
      </x:c>
      <x:c r="B52" s="28" t="str">
        <x:v>Service revenue price-volume-mix variance</x:v>
      </x:c>
      <x:c r="C52" s="28" t="str">
        <x:v>Q3 service recovery action register</x:v>
      </x:c>
      <x:c r="D52" s="28" t="str">
        <x:v>Emergency callback quality reset</x:v>
      </x:c>
      <x:c r="E52" s="28" t="str">
        <x:v>Management review</x:v>
      </x:c>
      <x:c r="F52" s="28" t="str">
        <x:v>Approved case</x:v>
      </x:c>
      <x:c r="G52" s="28" t="str">
        <x:v>Cash cost</x:v>
      </x:c>
      <x:c r="H52" s="31" t="n">
        <x:v>170000</x:v>
      </x:c>
      <x:c r="I52" s="28" t="str"/>
      <x:c r="J52" s="28" t="str">
        <x:v>USD</x:v>
      </x:c>
      <x:c r="K52" s="28" t="str">
        <x:v>Finance operating schedule</x:v>
      </x:c>
      <x:c r="L52" s="34" t="str">
        <x:v>2026-06-30</x:v>
      </x:c>
      <x:c r="M52" s="28" t="str"/>
    </x:row>
    <x:row r="53">
      <x:c r="A53" s="37" t="str">
        <x:v>PLN-029X08</x:v>
      </x:c>
      <x:c r="B53" s="28" t="str">
        <x:v>Service revenue price-volume-mix variance</x:v>
      </x:c>
      <x:c r="C53" s="28" t="str">
        <x:v>Q3 service recovery action register</x:v>
      </x:c>
      <x:c r="D53" s="28" t="str">
        <x:v>Emergency callback quality reset</x:v>
      </x:c>
      <x:c r="E53" s="28" t="str">
        <x:v>Management review</x:v>
      </x:c>
      <x:c r="F53" s="28" t="str">
        <x:v>Approved case</x:v>
      </x:c>
      <x:c r="G53" s="28" t="str">
        <x:v>Gross financial effect</x:v>
      </x:c>
      <x:c r="H53" s="31" t="n">
        <x:v>420</x:v>
      </x:c>
      <x:c r="I53" s="28" t="str"/>
      <x:c r="J53" s="28" t="str">
        <x:v>USD thousands</x:v>
      </x:c>
      <x:c r="K53" s="28" t="str">
        <x:v>Finance operating schedule</x:v>
      </x:c>
      <x:c r="L53" s="34" t="str">
        <x:v>2026-06-30</x:v>
      </x:c>
      <x:c r="M53" s="28" t="str"/>
    </x:row>
    <x:row r="54">
      <x:c r="A54" s="37" t="str">
        <x:v>PLN-029X09</x:v>
      </x:c>
      <x:c r="B54" s="28" t="str">
        <x:v>Service revenue price-volume-mix variance</x:v>
      </x:c>
      <x:c r="C54" s="28" t="str">
        <x:v>Q3 service recovery action register</x:v>
      </x:c>
      <x:c r="D54" s="28" t="str">
        <x:v>Emergency callback quality reset</x:v>
      </x:c>
      <x:c r="E54" s="28" t="str">
        <x:v>Management review</x:v>
      </x:c>
      <x:c r="F54" s="28" t="str">
        <x:v>Approved case</x:v>
      </x:c>
      <x:c r="G54" s="28" t="str">
        <x:v>Realization probability</x:v>
      </x:c>
      <x:c r="H54" s="31" t="n">
        <x:v>0.8</x:v>
      </x:c>
      <x:c r="I54" s="28" t="str"/>
      <x:c r="J54" s="28" t="str">
        <x:v>decimal ratio</x:v>
      </x:c>
      <x:c r="K54" s="28" t="str">
        <x:v>Finance operating schedule</x:v>
      </x:c>
      <x:c r="L54" s="34" t="str">
        <x:v>2026-06-30</x:v>
      </x:c>
      <x:c r="M54" s="28" t="str"/>
    </x:row>
    <x:row r="55">
      <x:c r="A55" s="37" t="str">
        <x:v>PLN-029X10</x:v>
      </x:c>
      <x:c r="B55" s="28" t="str">
        <x:v>Service revenue price-volume-mix variance</x:v>
      </x:c>
      <x:c r="C55" s="28" t="str">
        <x:v>Q3 service recovery action register</x:v>
      </x:c>
      <x:c r="D55" s="28" t="str">
        <x:v>Emergency callback quality reset</x:v>
      </x:c>
      <x:c r="E55" s="28" t="str">
        <x:v>Management review</x:v>
      </x:c>
      <x:c r="F55" s="28" t="str">
        <x:v>Approved case</x:v>
      </x:c>
      <x:c r="G55" s="28" t="str">
        <x:v>Capacity units</x:v>
      </x:c>
      <x:c r="H55" s="31" t="n">
        <x:v>310</x:v>
      </x:c>
      <x:c r="I55" s="28" t="str"/>
      <x:c r="J55" s="28" t="str">
        <x:v>implementation hours</x:v>
      </x:c>
      <x:c r="K55" s="28" t="str">
        <x:v>Finance operating schedule</x:v>
      </x:c>
      <x:c r="L55" s="34" t="str">
        <x:v>2026-06-30</x:v>
      </x:c>
      <x:c r="M55" s="28" t="str"/>
    </x:row>
    <x:row r="56">
      <x:c r="A56" s="37" t="str">
        <x:v>PLN-029X11</x:v>
      </x:c>
      <x:c r="B56" s="28" t="str">
        <x:v>Service revenue price-volume-mix variance</x:v>
      </x:c>
      <x:c r="C56" s="28" t="str">
        <x:v>Q3 service recovery action register</x:v>
      </x:c>
      <x:c r="D56" s="28" t="str">
        <x:v>Emergency callback quality reset</x:v>
      </x:c>
      <x:c r="E56" s="28" t="str">
        <x:v>Management review</x:v>
      </x:c>
      <x:c r="F56" s="28" t="str">
        <x:v>Approved case</x:v>
      </x:c>
      <x:c r="G56" s="28" t="str">
        <x:v>Status</x:v>
      </x:c>
      <x:c r="H56" s="31" t="str"/>
      <x:c r="I56" s="28" t="str">
        <x:v>Approved</x:v>
      </x:c>
      <x:c r="J56" s="28" t="str">
        <x:v>classification</x:v>
      </x:c>
      <x:c r="K56" s="28" t="str">
        <x:v>Finance operating schedule</x:v>
      </x:c>
      <x:c r="L56" s="34" t="str">
        <x:v>2026-06-30</x:v>
      </x:c>
      <x:c r="M56" s="28" t="str"/>
    </x:row>
    <x:row r="57">
      <x:c r="A57" s="37" t="str">
        <x:v>PLN-029X12</x:v>
      </x:c>
      <x:c r="B57" s="28" t="str">
        <x:v>Service revenue price-volume-mix variance</x:v>
      </x:c>
      <x:c r="C57" s="28" t="str">
        <x:v>Q3 service recovery action register</x:v>
      </x:c>
      <x:c r="D57" s="28" t="str">
        <x:v>Emergency callback quality reset</x:v>
      </x:c>
      <x:c r="E57" s="28" t="str">
        <x:v>Management review</x:v>
      </x:c>
      <x:c r="F57" s="28" t="str">
        <x:v>Approved case</x:v>
      </x:c>
      <x:c r="G57" s="28" t="str">
        <x:v>Dependency</x:v>
      </x:c>
      <x:c r="H57" s="31" t="str"/>
      <x:c r="I57" s="28" t="str"/>
      <x:c r="J57" s="28" t="str">
        <x:v>classification</x:v>
      </x:c>
      <x:c r="K57" s="28" t="str">
        <x:v>Finance operating schedule</x:v>
      </x:c>
      <x:c r="L57" s="34" t="str">
        <x:v>2026-06-30</x:v>
      </x:c>
      <x:c r="M57" s="28" t="str"/>
    </x:row>
    <x:row r="58">
      <x:c r="A58" s="37" t="str">
        <x:v>PLN-029X13</x:v>
      </x:c>
      <x:c r="B58" s="28" t="str">
        <x:v>Service revenue price-volume-mix variance</x:v>
      </x:c>
      <x:c r="C58" s="28" t="str">
        <x:v>Q3 service recovery action register</x:v>
      </x:c>
      <x:c r="D58" s="28" t="str">
        <x:v>Remote monitoring retention desk</x:v>
      </x:c>
      <x:c r="E58" s="28" t="str">
        <x:v>Management review</x:v>
      </x:c>
      <x:c r="F58" s="28" t="str">
        <x:v>Approved case</x:v>
      </x:c>
      <x:c r="G58" s="28" t="str">
        <x:v>Cash cost</x:v>
      </x:c>
      <x:c r="H58" s="31" t="n">
        <x:v>90000</x:v>
      </x:c>
      <x:c r="I58" s="28" t="str"/>
      <x:c r="J58" s="28" t="str">
        <x:v>USD</x:v>
      </x:c>
      <x:c r="K58" s="28" t="str">
        <x:v>Finance operating schedule</x:v>
      </x:c>
      <x:c r="L58" s="34" t="str">
        <x:v>2026-06-30</x:v>
      </x:c>
      <x:c r="M58" s="28" t="str"/>
    </x:row>
    <x:row r="59">
      <x:c r="A59" s="37" t="str">
        <x:v>PLN-029X14</x:v>
      </x:c>
      <x:c r="B59" s="28" t="str">
        <x:v>Service revenue price-volume-mix variance</x:v>
      </x:c>
      <x:c r="C59" s="28" t="str">
        <x:v>Q3 service recovery action register</x:v>
      </x:c>
      <x:c r="D59" s="28" t="str">
        <x:v>Remote monitoring retention desk</x:v>
      </x:c>
      <x:c r="E59" s="28" t="str">
        <x:v>Management review</x:v>
      </x:c>
      <x:c r="F59" s="28" t="str">
        <x:v>Approved case</x:v>
      </x:c>
      <x:c r="G59" s="28" t="str">
        <x:v>Gross financial effect</x:v>
      </x:c>
      <x:c r="H59" s="31" t="n">
        <x:v>210000</x:v>
      </x:c>
      <x:c r="I59" s="28" t="str"/>
      <x:c r="J59" s="28" t="str">
        <x:v>USD</x:v>
      </x:c>
      <x:c r="K59" s="28" t="str">
        <x:v>Finance operating schedule</x:v>
      </x:c>
      <x:c r="L59" s="34" t="str">
        <x:v>2026-06-30</x:v>
      </x:c>
      <x:c r="M59" s="28" t="str"/>
    </x:row>
    <x:row r="60">
      <x:c r="A60" s="37" t="str">
        <x:v>PLN-029X15</x:v>
      </x:c>
      <x:c r="B60" s="28" t="str">
        <x:v>Service revenue price-volume-mix variance</x:v>
      </x:c>
      <x:c r="C60" s="28" t="str">
        <x:v>Q3 service recovery action register</x:v>
      </x:c>
      <x:c r="D60" s="28" t="str">
        <x:v>Remote monitoring retention desk</x:v>
      </x:c>
      <x:c r="E60" s="28" t="str">
        <x:v>Management review</x:v>
      </x:c>
      <x:c r="F60" s="28" t="str">
        <x:v>Approved case</x:v>
      </x:c>
      <x:c r="G60" s="28" t="str">
        <x:v>Realization probability</x:v>
      </x:c>
      <x:c r="H60" s="31" t="n">
        <x:v>0.7</x:v>
      </x:c>
      <x:c r="I60" s="28" t="str"/>
      <x:c r="J60" s="28" t="str">
        <x:v>decimal ratio</x:v>
      </x:c>
      <x:c r="K60" s="28" t="str">
        <x:v>Finance operating schedule</x:v>
      </x:c>
      <x:c r="L60" s="34" t="str">
        <x:v>2026-06-30</x:v>
      </x:c>
      <x:c r="M60" s="28" t="str"/>
    </x:row>
    <x:row r="61">
      <x:c r="A61" s="37" t="str">
        <x:v>PLN-029X16</x:v>
      </x:c>
      <x:c r="B61" s="28" t="str">
        <x:v>Service revenue price-volume-mix variance</x:v>
      </x:c>
      <x:c r="C61" s="28" t="str">
        <x:v>Q3 service recovery action register</x:v>
      </x:c>
      <x:c r="D61" s="28" t="str">
        <x:v>Remote monitoring retention desk</x:v>
      </x:c>
      <x:c r="E61" s="28" t="str">
        <x:v>Management review</x:v>
      </x:c>
      <x:c r="F61" s="28" t="str">
        <x:v>Approved case</x:v>
      </x:c>
      <x:c r="G61" s="28" t="str">
        <x:v>Capacity units</x:v>
      </x:c>
      <x:c r="H61" s="31" t="n">
        <x:v>160</x:v>
      </x:c>
      <x:c r="I61" s="28" t="str"/>
      <x:c r="J61" s="28" t="str">
        <x:v>implementation hours</x:v>
      </x:c>
      <x:c r="K61" s="28" t="str">
        <x:v>Finance operating schedule</x:v>
      </x:c>
      <x:c r="L61" s="34" t="str">
        <x:v>2026-06-30</x:v>
      </x:c>
      <x:c r="M61" s="28" t="str"/>
    </x:row>
    <x:row r="62">
      <x:c r="A62" s="37" t="str">
        <x:v>PLN-029X17</x:v>
      </x:c>
      <x:c r="B62" s="28" t="str">
        <x:v>Service revenue price-volume-mix variance</x:v>
      </x:c>
      <x:c r="C62" s="28" t="str">
        <x:v>Q3 service recovery action register</x:v>
      </x:c>
      <x:c r="D62" s="28" t="str">
        <x:v>Remote monitoring retention desk</x:v>
      </x:c>
      <x:c r="E62" s="28" t="str">
        <x:v>Management review</x:v>
      </x:c>
      <x:c r="F62" s="28" t="str">
        <x:v>Approved case</x:v>
      </x:c>
      <x:c r="G62" s="28" t="str">
        <x:v>Status</x:v>
      </x:c>
      <x:c r="H62" s="31" t="str"/>
      <x:c r="I62" s="28" t="str">
        <x:v>Approved</x:v>
      </x:c>
      <x:c r="J62" s="28" t="str">
        <x:v>classification</x:v>
      </x:c>
      <x:c r="K62" s="28" t="str">
        <x:v>Finance operating schedule</x:v>
      </x:c>
      <x:c r="L62" s="34" t="str">
        <x:v>2026-06-30</x:v>
      </x:c>
      <x:c r="M62" s="28" t="str"/>
    </x:row>
    <x:row r="63">
      <x:c r="A63" s="37" t="str">
        <x:v>PLN-029X18</x:v>
      </x:c>
      <x:c r="B63" s="28" t="str">
        <x:v>Service revenue price-volume-mix variance</x:v>
      </x:c>
      <x:c r="C63" s="28" t="str">
        <x:v>Q3 service recovery action register</x:v>
      </x:c>
      <x:c r="D63" s="28" t="str">
        <x:v>Remote monitoring retention desk</x:v>
      </x:c>
      <x:c r="E63" s="28" t="str">
        <x:v>Management review</x:v>
      </x:c>
      <x:c r="F63" s="28" t="str">
        <x:v>Approved case</x:v>
      </x:c>
      <x:c r="G63" s="28" t="str">
        <x:v>Dependency</x:v>
      </x:c>
      <x:c r="H63" s="31" t="str"/>
      <x:c r="I63" s="28" t="str"/>
      <x:c r="J63" s="28" t="str">
        <x:v>classification</x:v>
      </x:c>
      <x:c r="K63" s="28" t="str">
        <x:v>Finance operating schedule</x:v>
      </x:c>
      <x:c r="L63" s="34" t="str">
        <x:v>2026-06-30</x:v>
      </x:c>
      <x:c r="M63" s="28" t="str"/>
    </x:row>
    <x:row r="64">
      <x:c r="A64" s="37" t="str">
        <x:v>PLN-029X19</x:v>
      </x:c>
      <x:c r="B64" s="28" t="str">
        <x:v>Service revenue price-volume-mix variance</x:v>
      </x:c>
      <x:c r="C64" s="28" t="str">
        <x:v>Q3 service recovery action register</x:v>
      </x:c>
      <x:c r="D64" s="28" t="str">
        <x:v>Preventive route pricing rollout</x:v>
      </x:c>
      <x:c r="E64" s="28" t="str">
        <x:v>Management review</x:v>
      </x:c>
      <x:c r="F64" s="28" t="str">
        <x:v>Approved case</x:v>
      </x:c>
      <x:c r="G64" s="28" t="str">
        <x:v>Cash cost</x:v>
      </x:c>
      <x:c r="H64" s="31" t="n">
        <x:v>200000</x:v>
      </x:c>
      <x:c r="I64" s="28" t="str"/>
      <x:c r="J64" s="28" t="str">
        <x:v>USD</x:v>
      </x:c>
      <x:c r="K64" s="28" t="str">
        <x:v>Finance operating schedule</x:v>
      </x:c>
      <x:c r="L64" s="34" t="str">
        <x:v>2026-06-30</x:v>
      </x:c>
      <x:c r="M64" s="28" t="str"/>
    </x:row>
    <x:row r="65">
      <x:c r="A65" s="37" t="str">
        <x:v>PLN-029X20</x:v>
      </x:c>
      <x:c r="B65" s="28" t="str">
        <x:v>Service revenue price-volume-mix variance</x:v>
      </x:c>
      <x:c r="C65" s="28" t="str">
        <x:v>Q3 service recovery action register</x:v>
      </x:c>
      <x:c r="D65" s="28" t="str">
        <x:v>Preventive route pricing rollout</x:v>
      </x:c>
      <x:c r="E65" s="28" t="str">
        <x:v>Management review</x:v>
      </x:c>
      <x:c r="F65" s="28" t="str">
        <x:v>Approved case</x:v>
      </x:c>
      <x:c r="G65" s="28" t="str">
        <x:v>Gross financial effect</x:v>
      </x:c>
      <x:c r="H65" s="31" t="n">
        <x:v>360</x:v>
      </x:c>
      <x:c r="I65" s="28" t="str"/>
      <x:c r="J65" s="28" t="str">
        <x:v>USD thousands</x:v>
      </x:c>
      <x:c r="K65" s="28" t="str">
        <x:v>Finance operating schedule</x:v>
      </x:c>
      <x:c r="L65" s="34" t="str">
        <x:v>2026-06-30</x:v>
      </x:c>
      <x:c r="M65" s="28" t="str"/>
    </x:row>
    <x:row r="66">
      <x:c r="A66" s="37" t="str">
        <x:v>PLN-029X21</x:v>
      </x:c>
      <x:c r="B66" s="28" t="str">
        <x:v>Service revenue price-volume-mix variance</x:v>
      </x:c>
      <x:c r="C66" s="28" t="str">
        <x:v>Q3 service recovery action register</x:v>
      </x:c>
      <x:c r="D66" s="28" t="str">
        <x:v>Preventive route pricing rollout</x:v>
      </x:c>
      <x:c r="E66" s="28" t="str">
        <x:v>Management review</x:v>
      </x:c>
      <x:c r="F66" s="28" t="str">
        <x:v>Approved case</x:v>
      </x:c>
      <x:c r="G66" s="28" t="str">
        <x:v>Realization probability</x:v>
      </x:c>
      <x:c r="H66" s="31" t="n">
        <x:v>0.65</x:v>
      </x:c>
      <x:c r="I66" s="28" t="str"/>
      <x:c r="J66" s="28" t="str">
        <x:v>decimal ratio</x:v>
      </x:c>
      <x:c r="K66" s="28" t="str">
        <x:v>Finance operating schedule</x:v>
      </x:c>
      <x:c r="L66" s="34" t="str">
        <x:v>2026-06-30</x:v>
      </x:c>
      <x:c r="M66" s="28" t="str"/>
    </x:row>
    <x:row r="67">
      <x:c r="A67" s="37" t="str">
        <x:v>PLN-029X22</x:v>
      </x:c>
      <x:c r="B67" s="28" t="str">
        <x:v>Service revenue price-volume-mix variance</x:v>
      </x:c>
      <x:c r="C67" s="28" t="str">
        <x:v>Q3 service recovery action register</x:v>
      </x:c>
      <x:c r="D67" s="28" t="str">
        <x:v>Preventive route pricing rollout</x:v>
      </x:c>
      <x:c r="E67" s="28" t="str">
        <x:v>Management review</x:v>
      </x:c>
      <x:c r="F67" s="28" t="str">
        <x:v>Approved case</x:v>
      </x:c>
      <x:c r="G67" s="28" t="str">
        <x:v>Capacity units</x:v>
      </x:c>
      <x:c r="H67" s="31" t="n">
        <x:v>330</x:v>
      </x:c>
      <x:c r="I67" s="28" t="str"/>
      <x:c r="J67" s="28" t="str">
        <x:v>implementation hours</x:v>
      </x:c>
      <x:c r="K67" s="28" t="str">
        <x:v>Finance operating schedule</x:v>
      </x:c>
      <x:c r="L67" s="34" t="str">
        <x:v>2026-06-30</x:v>
      </x:c>
      <x:c r="M67" s="28" t="str"/>
    </x:row>
    <x:row r="68">
      <x:c r="A68" s="37" t="str">
        <x:v>PLN-029X23</x:v>
      </x:c>
      <x:c r="B68" s="28" t="str">
        <x:v>Service revenue price-volume-mix variance</x:v>
      </x:c>
      <x:c r="C68" s="28" t="str">
        <x:v>Q3 service recovery action register</x:v>
      </x:c>
      <x:c r="D68" s="28" t="str">
        <x:v>Preventive route pricing rollout</x:v>
      </x:c>
      <x:c r="E68" s="28" t="str">
        <x:v>Management review</x:v>
      </x:c>
      <x:c r="F68" s="28" t="str">
        <x:v>Approved case</x:v>
      </x:c>
      <x:c r="G68" s="28" t="str">
        <x:v>Status</x:v>
      </x:c>
      <x:c r="H68" s="31" t="str"/>
      <x:c r="I68" s="28" t="str">
        <x:v>Approved</x:v>
      </x:c>
      <x:c r="J68" s="28" t="str">
        <x:v>classification</x:v>
      </x:c>
      <x:c r="K68" s="28" t="str">
        <x:v>Finance operating schedule</x:v>
      </x:c>
      <x:c r="L68" s="34" t="str">
        <x:v>2026-06-30</x:v>
      </x:c>
      <x:c r="M68" s="28" t="str"/>
    </x:row>
    <x:row r="69">
      <x:c r="A69" s="37" t="str">
        <x:v>PLN-029X24</x:v>
      </x:c>
      <x:c r="B69" s="28" t="str">
        <x:v>Service revenue price-volume-mix variance</x:v>
      </x:c>
      <x:c r="C69" s="28" t="str">
        <x:v>Q3 service recovery action register</x:v>
      </x:c>
      <x:c r="D69" s="28" t="str">
        <x:v>Preventive route pricing rollout</x:v>
      </x:c>
      <x:c r="E69" s="28" t="str">
        <x:v>Management review</x:v>
      </x:c>
      <x:c r="F69" s="28" t="str">
        <x:v>Approved case</x:v>
      </x:c>
      <x:c r="G69" s="28" t="str">
        <x:v>Dependency</x:v>
      </x:c>
      <x:c r="H69" s="31" t="str"/>
      <x:c r="I69" s="28" t="str"/>
      <x:c r="J69" s="28" t="str">
        <x:v>classification</x:v>
      </x:c>
      <x:c r="K69" s="28" t="str">
        <x:v>Finance operating schedule</x:v>
      </x:c>
      <x:c r="L69" s="34" t="str">
        <x:v>2026-06-30</x:v>
      </x:c>
      <x:c r="M69" s="28" t="str"/>
    </x:row>
    <x:row r="70">
      <x:c r="A70" s="37" t="str">
        <x:v>PLN-029X25</x:v>
      </x:c>
      <x:c r="B70" s="28" t="str">
        <x:v>Service revenue price-volume-mix variance</x:v>
      </x:c>
      <x:c r="C70" s="28" t="str">
        <x:v>Q3 service recovery action register</x:v>
      </x:c>
      <x:c r="D70" s="28" t="str">
        <x:v>Predictive field specialist</x:v>
      </x:c>
      <x:c r="E70" s="28" t="str">
        <x:v>Management review</x:v>
      </x:c>
      <x:c r="F70" s="28" t="str">
        <x:v>Approved case</x:v>
      </x:c>
      <x:c r="G70" s="28" t="str">
        <x:v>Cash cost</x:v>
      </x:c>
      <x:c r="H70" s="31" t="n">
        <x:v>240000</x:v>
      </x:c>
      <x:c r="I70" s="28" t="str"/>
      <x:c r="J70" s="28" t="str">
        <x:v>USD</x:v>
      </x:c>
      <x:c r="K70" s="28" t="str">
        <x:v>Finance operating schedule</x:v>
      </x:c>
      <x:c r="L70" s="34" t="str">
        <x:v>2026-06-30</x:v>
      </x:c>
      <x:c r="M70" s="28" t="str"/>
    </x:row>
    <x:row r="71">
      <x:c r="A71" s="37" t="str">
        <x:v>PLN-029X26</x:v>
      </x:c>
      <x:c r="B71" s="28" t="str">
        <x:v>Service revenue price-volume-mix variance</x:v>
      </x:c>
      <x:c r="C71" s="28" t="str">
        <x:v>Q3 service recovery action register</x:v>
      </x:c>
      <x:c r="D71" s="28" t="str">
        <x:v>Predictive field specialist</x:v>
      </x:c>
      <x:c r="E71" s="28" t="str">
        <x:v>Management review</x:v>
      </x:c>
      <x:c r="F71" s="28" t="str">
        <x:v>Approved case</x:v>
      </x:c>
      <x:c r="G71" s="28" t="str">
        <x:v>Gross financial effect</x:v>
      </x:c>
      <x:c r="H71" s="31" t="n">
        <x:v>520000</x:v>
      </x:c>
      <x:c r="I71" s="28" t="str"/>
      <x:c r="J71" s="28" t="str">
        <x:v>USD</x:v>
      </x:c>
      <x:c r="K71" s="28" t="str">
        <x:v>Finance operating schedule</x:v>
      </x:c>
      <x:c r="L71" s="34" t="str">
        <x:v>2026-06-30</x:v>
      </x:c>
      <x:c r="M71" s="28" t="str"/>
    </x:row>
    <x:row r="72">
      <x:c r="A72" s="37" t="str">
        <x:v>PLN-029X27</x:v>
      </x:c>
      <x:c r="B72" s="28" t="str">
        <x:v>Service revenue price-volume-mix variance</x:v>
      </x:c>
      <x:c r="C72" s="28" t="str">
        <x:v>Q3 service recovery action register</x:v>
      </x:c>
      <x:c r="D72" s="28" t="str">
        <x:v>Predictive field specialist</x:v>
      </x:c>
      <x:c r="E72" s="28" t="str">
        <x:v>Management review</x:v>
      </x:c>
      <x:c r="F72" s="28" t="str">
        <x:v>Approved case</x:v>
      </x:c>
      <x:c r="G72" s="28" t="str">
        <x:v>Realization probability</x:v>
      </x:c>
      <x:c r="H72" s="31" t="n">
        <x:v>0.6</x:v>
      </x:c>
      <x:c r="I72" s="28" t="str"/>
      <x:c r="J72" s="28" t="str">
        <x:v>decimal ratio</x:v>
      </x:c>
      <x:c r="K72" s="28" t="str">
        <x:v>Finance operating schedule</x:v>
      </x:c>
      <x:c r="L72" s="34" t="str">
        <x:v>2026-06-30</x:v>
      </x:c>
      <x:c r="M72" s="28" t="str"/>
    </x:row>
    <x:row r="73">
      <x:c r="A73" s="37" t="str">
        <x:v>PLN-029X28</x:v>
      </x:c>
      <x:c r="B73" s="28" t="str">
        <x:v>Service revenue price-volume-mix variance</x:v>
      </x:c>
      <x:c r="C73" s="28" t="str">
        <x:v>Q3 service recovery action register</x:v>
      </x:c>
      <x:c r="D73" s="28" t="str">
        <x:v>Predictive field specialist</x:v>
      </x:c>
      <x:c r="E73" s="28" t="str">
        <x:v>Management review</x:v>
      </x:c>
      <x:c r="F73" s="28" t="str">
        <x:v>Approved case</x:v>
      </x:c>
      <x:c r="G73" s="28" t="str">
        <x:v>Capacity units</x:v>
      </x:c>
      <x:c r="H73" s="31" t="n">
        <x:v>420</x:v>
      </x:c>
      <x:c r="I73" s="28" t="str"/>
      <x:c r="J73" s="28" t="str">
        <x:v>implementation hours</x:v>
      </x:c>
      <x:c r="K73" s="28" t="str">
        <x:v>Finance operating schedule</x:v>
      </x:c>
      <x:c r="L73" s="34" t="str">
        <x:v>2026-06-30</x:v>
      </x:c>
      <x:c r="M73" s="28" t="str"/>
    </x:row>
    <x:row r="74">
      <x:c r="A74" s="37" t="str">
        <x:v>PLN-029X29</x:v>
      </x:c>
      <x:c r="B74" s="28" t="str">
        <x:v>Service revenue price-volume-mix variance</x:v>
      </x:c>
      <x:c r="C74" s="28" t="str">
        <x:v>Q3 service recovery action register</x:v>
      </x:c>
      <x:c r="D74" s="28" t="str">
        <x:v>Predictive field specialist</x:v>
      </x:c>
      <x:c r="E74" s="28" t="str">
        <x:v>Management review</x:v>
      </x:c>
      <x:c r="F74" s="28" t="str">
        <x:v>Approved case</x:v>
      </x:c>
      <x:c r="G74" s="28" t="str">
        <x:v>Status</x:v>
      </x:c>
      <x:c r="H74" s="31" t="str"/>
      <x:c r="I74" s="28" t="str">
        <x:v>Conditional</x:v>
      </x:c>
      <x:c r="J74" s="28" t="str">
        <x:v>classification</x:v>
      </x:c>
      <x:c r="K74" s="28" t="str">
        <x:v>Finance operating schedule</x:v>
      </x:c>
      <x:c r="L74" s="34" t="str">
        <x:v>2026-06-30</x:v>
      </x:c>
      <x:c r="M74" s="28" t="str"/>
    </x:row>
    <x:row r="75">
      <x:c r="A75" s="37" t="str">
        <x:v>PLN-029X30</x:v>
      </x:c>
      <x:c r="B75" s="28" t="str">
        <x:v>Service revenue price-volume-mix variance</x:v>
      </x:c>
      <x:c r="C75" s="28" t="str">
        <x:v>Q3 service recovery action register</x:v>
      </x:c>
      <x:c r="D75" s="28" t="str">
        <x:v>Predictive field specialist</x:v>
      </x:c>
      <x:c r="E75" s="28" t="str">
        <x:v>Management review</x:v>
      </x:c>
      <x:c r="F75" s="28" t="str">
        <x:v>Approved case</x:v>
      </x:c>
      <x:c r="G75" s="28" t="str">
        <x:v>Dependency</x:v>
      </x:c>
      <x:c r="H75" s="31" t="str"/>
      <x:c r="I75" s="28" t="str">
        <x:v>Predictive renewal outreach</x:v>
      </x:c>
      <x:c r="J75" s="28" t="str">
        <x:v>classification</x:v>
      </x:c>
      <x:c r="K75" s="28" t="str">
        <x:v>Finance operating schedule</x:v>
      </x:c>
      <x:c r="L75" s="34" t="str">
        <x:v>2026-06-30</x:v>
      </x:c>
      <x:c r="M75" s="28" t="str"/>
    </x:row>
    <x:row r="76">
      <x:c r="A76" s="37" t="str">
        <x:v>PLN-029X31</x:v>
      </x:c>
      <x:c r="B76" s="28" t="str">
        <x:v>Service revenue price-volume-mix variance</x:v>
      </x:c>
      <x:c r="C76" s="28" t="str">
        <x:v>Q3 service recovery action register</x:v>
      </x:c>
      <x:c r="D76" s="28" t="str">
        <x:v>Portfolio policy</x:v>
      </x:c>
      <x:c r="E76" s="28" t="str">
        <x:v>Management review</x:v>
      </x:c>
      <x:c r="F76" s="28" t="str">
        <x:v>Approved case</x:v>
      </x:c>
      <x:c r="G76" s="28" t="str">
        <x:v>Cash budget</x:v>
      </x:c>
      <x:c r="H76" s="31" t="n">
        <x:v>500000</x:v>
      </x:c>
      <x:c r="I76" s="28" t="str"/>
      <x:c r="J76" s="28" t="str">
        <x:v>USD</x:v>
      </x:c>
      <x:c r="K76" s="28" t="str">
        <x:v>Finance operating schedule</x:v>
      </x:c>
      <x:c r="L76" s="34" t="str">
        <x:v>2026-06-30</x:v>
      </x:c>
      <x:c r="M76" s="28" t="str"/>
    </x:row>
    <x:row r="77">
      <x:c r="A77" s="37" t="str">
        <x:v>PLN-029X32</x:v>
      </x:c>
      <x:c r="B77" s="28" t="str">
        <x:v>Service revenue price-volume-mix variance</x:v>
      </x:c>
      <x:c r="C77" s="28" t="str">
        <x:v>Q3 service recovery action register</x:v>
      </x:c>
      <x:c r="D77" s="28" t="str">
        <x:v>Portfolio policy</x:v>
      </x:c>
      <x:c r="E77" s="28" t="str">
        <x:v>Management review</x:v>
      </x:c>
      <x:c r="F77" s="28" t="str">
        <x:v>Approved case</x:v>
      </x:c>
      <x:c r="G77" s="28" t="str">
        <x:v>Capacity limit</x:v>
      </x:c>
      <x:c r="H77" s="31" t="n">
        <x:v>800</x:v>
      </x:c>
      <x:c r="I77" s="28" t="str"/>
      <x:c r="J77" s="28" t="str">
        <x:v>implementation hours</x:v>
      </x:c>
      <x:c r="K77" s="28" t="str">
        <x:v>Finance operating schedule</x:v>
      </x:c>
      <x:c r="L77" s="34" t="str">
        <x:v>2026-06-30</x:v>
      </x:c>
      <x:c r="M77" s="28" t="str"/>
    </x:row>
    <x:row r="78">
      <x:c r="A78" s="37" t="str">
        <x:v>PLN-029X33</x:v>
      </x:c>
      <x:c r="B78" s="28" t="str">
        <x:v>Service revenue price-volume-mix variance</x:v>
      </x:c>
      <x:c r="C78" s="28" t="str">
        <x:v>Q3 service recovery action register</x:v>
      </x:c>
      <x:c r="D78" s="28" t="str">
        <x:v>Portfolio policy</x:v>
      </x:c>
      <x:c r="E78" s="28" t="str">
        <x:v>Management review</x:v>
      </x:c>
      <x:c r="F78" s="28" t="str">
        <x:v>Approved case</x:v>
      </x:c>
      <x:c r="G78" s="28" t="str">
        <x:v>Maximum actions</x:v>
      </x:c>
      <x:c r="H78" s="31" t="n">
        <x:v>3</x:v>
      </x:c>
      <x:c r="I78" s="28" t="str"/>
      <x:c r="J78" s="28" t="str">
        <x:v>count</x:v>
      </x:c>
      <x:c r="K78" s="28" t="str">
        <x:v>Finance operating schedule</x:v>
      </x:c>
      <x:c r="L78" s="34" t="str">
        <x:v>2026-06-30</x:v>
      </x:c>
      <x:c r="M78" s="28" t="str"/>
    </x:row>
    <x:row r="79">
      <x:c r="A79" s="37" t="str">
        <x:v>PLN-029X34</x:v>
      </x:c>
      <x:c r="B79" s="28" t="str">
        <x:v>Service revenue price-volume-mix variance</x:v>
      </x:c>
      <x:c r="C79" s="28" t="str">
        <x:v>Q3 service recovery action register</x:v>
      </x:c>
      <x:c r="D79" s="28" t="str">
        <x:v>Portfolio policy</x:v>
      </x:c>
      <x:c r="E79" s="28" t="str">
        <x:v>Management review</x:v>
      </x:c>
      <x:c r="F79" s="28" t="str">
        <x:v>Approved case</x:v>
      </x:c>
      <x:c r="G79" s="28" t="str">
        <x:v>Minimum expected net effect</x:v>
      </x:c>
      <x:c r="H79" s="31" t="n">
        <x:v>250000</x:v>
      </x:c>
      <x:c r="I79" s="28" t="str"/>
      <x:c r="J79" s="28" t="str">
        <x:v>USD</x:v>
      </x:c>
      <x:c r="K79" s="28" t="str">
        <x:v>Finance operating schedule</x:v>
      </x:c>
      <x:c r="L79" s="34" t="str">
        <x:v>2026-06-30</x:v>
      </x:c>
      <x:c r="M79" s="28" t="str"/>
    </x:row>
    <x:row r="80">
      <x:c r="A80" s="37" t="str">
        <x:v>PLN-029X35</x:v>
      </x:c>
      <x:c r="B80" s="28" t="str">
        <x:v>Service revenue price-volume-mix variance</x:v>
      </x:c>
      <x:c r="C80" s="28" t="str">
        <x:v>Q3 service recovery action register</x:v>
      </x:c>
      <x:c r="D80" s="28" t="str">
        <x:v>Portfolio policy</x:v>
      </x:c>
      <x:c r="E80" s="28" t="str">
        <x:v>Management review</x:v>
      </x:c>
      <x:c r="F80" s="28" t="str">
        <x:v>Approved case</x:v>
      </x:c>
      <x:c r="G80" s="28" t="str">
        <x:v>Effect basis</x:v>
      </x:c>
      <x:c r="H80" s="31" t="str"/>
      <x:c r="I80" s="28" t="str">
        <x:v>incremental service contribution</x:v>
      </x:c>
      <x:c r="J80" s="28" t="str">
        <x:v>classification</x:v>
      </x:c>
      <x:c r="K80" s="28" t="str">
        <x:v>Finance operating schedule</x:v>
      </x:c>
      <x:c r="L80" s="34" t="str">
        <x:v>2026-06-30</x:v>
      </x:c>
      <x:c r="M80" s="28" t="str"/>
    </x:row>
    <x:row r="81">
      <x:c r="A81" s="37" t="str">
        <x:v>PLN-029X36</x:v>
      </x:c>
      <x:c r="B81" s="28" t="str">
        <x:v>Service revenue price-volume-mix variance</x:v>
      </x:c>
      <x:c r="C81" s="28" t="str">
        <x:v>Q3 service recovery action register</x:v>
      </x:c>
      <x:c r="D81" s="28" t="str">
        <x:v>Portfolio policy</x:v>
      </x:c>
      <x:c r="E81" s="28" t="str">
        <x:v>Management review</x:v>
      </x:c>
      <x:c r="F81" s="28" t="str">
        <x:v>Approved case</x:v>
      </x:c>
      <x:c r="G81" s="28" t="str">
        <x:v>Eligible statuses</x:v>
      </x:c>
      <x:c r="H81" s="31" t="str"/>
      <x:c r="I81" s="28" t="str">
        <x:v>Approved; Conditional</x:v>
      </x:c>
      <x:c r="J81" s="28" t="str">
        <x:v>classification</x:v>
      </x:c>
      <x:c r="K81" s="28" t="str">
        <x:v>Finance operating schedule</x:v>
      </x:c>
      <x:c r="L81" s="34" t="str">
        <x:v>2026-06-30</x:v>
      </x:c>
      <x:c r="M81" s="28" t="str"/>
    </x:row>
    <x:row r="82">
      <x:c r="A82" s="37" t="str">
        <x:v>PLN-029X47</x:v>
      </x:c>
      <x:c r="B82" s="28" t="str">
        <x:v>Service revenue price-volume-mix variance</x:v>
      </x:c>
      <x:c r="C82" s="28" t="str">
        <x:v>Q3 service recovery action register scenario controls</x:v>
      </x:c>
      <x:c r="D82" s="28" t="str">
        <x:v>Steering base</x:v>
      </x:c>
      <x:c r="E82" s="28" t="str">
        <x:v>Management review</x:v>
      </x:c>
      <x:c r="F82" s="28" t="str">
        <x:v>Approved case</x:v>
      </x:c>
      <x:c r="G82" s="28" t="str">
        <x:v>Gross effect factor</x:v>
      </x:c>
      <x:c r="H82" s="31" t="n">
        <x:v>1</x:v>
      </x:c>
      <x:c r="I82" s="28" t="str"/>
      <x:c r="J82" s="28" t="str">
        <x:v>decimal ratio</x:v>
      </x:c>
      <x:c r="K82" s="28" t="str">
        <x:v>Finance operating schedule</x:v>
      </x:c>
      <x:c r="L82" s="34" t="str">
        <x:v>2026-06-30</x:v>
      </x:c>
      <x:c r="M82" s="28" t="str"/>
    </x:row>
    <x:row r="83">
      <x:c r="A83" s="37" t="str">
        <x:v>PLN-029X48</x:v>
      </x:c>
      <x:c r="B83" s="28" t="str">
        <x:v>Service revenue price-volume-mix variance</x:v>
      </x:c>
      <x:c r="C83" s="28" t="str">
        <x:v>Q3 service recovery action register scenario controls</x:v>
      </x:c>
      <x:c r="D83" s="28" t="str">
        <x:v>Steering base</x:v>
      </x:c>
      <x:c r="E83" s="28" t="str">
        <x:v>Management review</x:v>
      </x:c>
      <x:c r="F83" s="28" t="str">
        <x:v>Approved case</x:v>
      </x:c>
      <x:c r="G83" s="28" t="str">
        <x:v>Probability factor</x:v>
      </x:c>
      <x:c r="H83" s="31" t="n">
        <x:v>1</x:v>
      </x:c>
      <x:c r="I83" s="28" t="str"/>
      <x:c r="J83" s="28" t="str">
        <x:v>decimal ratio</x:v>
      </x:c>
      <x:c r="K83" s="28" t="str">
        <x:v>Finance operating schedule</x:v>
      </x:c>
      <x:c r="L83" s="34" t="str">
        <x:v>2026-06-30</x:v>
      </x:c>
      <x:c r="M83" s="28" t="str"/>
    </x:row>
    <x:row r="84">
      <x:c r="A84" s="37" t="str">
        <x:v>PLN-029X49</x:v>
      </x:c>
      <x:c r="B84" s="28" t="str">
        <x:v>Service revenue price-volume-mix variance</x:v>
      </x:c>
      <x:c r="C84" s="28" t="str">
        <x:v>Q3 service recovery action register scenario controls</x:v>
      </x:c>
      <x:c r="D84" s="28" t="str">
        <x:v>Steering base</x:v>
      </x:c>
      <x:c r="E84" s="28" t="str">
        <x:v>Management review</x:v>
      </x:c>
      <x:c r="F84" s="28" t="str">
        <x:v>Approved case</x:v>
      </x:c>
      <x:c r="G84" s="28" t="str">
        <x:v>Cash cost factor</x:v>
      </x:c>
      <x:c r="H84" s="31" t="n">
        <x:v>1</x:v>
      </x:c>
      <x:c r="I84" s="28" t="str"/>
      <x:c r="J84" s="28" t="str">
        <x:v>decimal ratio</x:v>
      </x:c>
      <x:c r="K84" s="28" t="str">
        <x:v>Finance operating schedule</x:v>
      </x:c>
      <x:c r="L84" s="34" t="str">
        <x:v>2026-06-30</x:v>
      </x:c>
      <x:c r="M84" s="28" t="str"/>
    </x:row>
    <x:row r="85">
      <x:c r="A85" s="37" t="str">
        <x:v>PLN-029X50</x:v>
      </x:c>
      <x:c r="B85" s="28" t="str">
        <x:v>Service revenue price-volume-mix variance</x:v>
      </x:c>
      <x:c r="C85" s="28" t="str">
        <x:v>Q3 service recovery action register scenario controls</x:v>
      </x:c>
      <x:c r="D85" s="28" t="str">
        <x:v>Steering base</x:v>
      </x:c>
      <x:c r="E85" s="28" t="str">
        <x:v>Management review</x:v>
      </x:c>
      <x:c r="F85" s="28" t="str">
        <x:v>Approved case</x:v>
      </x:c>
      <x:c r="G85" s="28" t="str">
        <x:v>Capacity factor</x:v>
      </x:c>
      <x:c r="H85" s="31" t="n">
        <x:v>1</x:v>
      </x:c>
      <x:c r="I85" s="28" t="str"/>
      <x:c r="J85" s="28" t="str">
        <x:v>decimal ratio</x:v>
      </x:c>
      <x:c r="K85" s="28" t="str">
        <x:v>Finance operating schedule</x:v>
      </x:c>
      <x:c r="L85" s="34" t="str">
        <x:v>2026-06-30</x:v>
      </x:c>
      <x:c r="M85" s="28" t="str"/>
    </x:row>
    <x:row r="86">
      <x:c r="A86" s="37" t="str">
        <x:v>PLN-029X51</x:v>
      </x:c>
      <x:c r="B86" s="28" t="str">
        <x:v>Service revenue price-volume-mix variance</x:v>
      </x:c>
      <x:c r="C86" s="28" t="str">
        <x:v>Q3 service recovery action register scenario controls</x:v>
      </x:c>
      <x:c r="D86" s="28" t="str">
        <x:v>Steering base</x:v>
      </x:c>
      <x:c r="E86" s="28" t="str">
        <x:v>Management review</x:v>
      </x:c>
      <x:c r="F86" s="28" t="str">
        <x:v>Approved case</x:v>
      </x:c>
      <x:c r="G86" s="28" t="str">
        <x:v>Cash budget factor</x:v>
      </x:c>
      <x:c r="H86" s="31" t="n">
        <x:v>1</x:v>
      </x:c>
      <x:c r="I86" s="28" t="str"/>
      <x:c r="J86" s="28" t="str">
        <x:v>decimal ratio</x:v>
      </x:c>
      <x:c r="K86" s="28" t="str">
        <x:v>Finance operating schedule</x:v>
      </x:c>
      <x:c r="L86" s="34" t="str">
        <x:v>2026-06-30</x:v>
      </x:c>
      <x:c r="M86" s="28" t="str"/>
    </x:row>
    <x:row r="87">
      <x:c r="A87" s="37" t="str">
        <x:v>PLN-029X52</x:v>
      </x:c>
      <x:c r="B87" s="28" t="str">
        <x:v>Service revenue price-volume-mix variance</x:v>
      </x:c>
      <x:c r="C87" s="28" t="str">
        <x:v>Q3 service recovery action register scenario controls</x:v>
      </x:c>
      <x:c r="D87" s="28" t="str">
        <x:v>Steering base</x:v>
      </x:c>
      <x:c r="E87" s="28" t="str">
        <x:v>Management review</x:v>
      </x:c>
      <x:c r="F87" s="28" t="str">
        <x:v>Approved case</x:v>
      </x:c>
      <x:c r="G87" s="28" t="str">
        <x:v>Capacity limit factor</x:v>
      </x:c>
      <x:c r="H87" s="31" t="n">
        <x:v>1</x:v>
      </x:c>
      <x:c r="I87" s="28" t="str"/>
      <x:c r="J87" s="28" t="str">
        <x:v>decimal ratio</x:v>
      </x:c>
      <x:c r="K87" s="28" t="str">
        <x:v>Finance operating schedule</x:v>
      </x:c>
      <x:c r="L87" s="34" t="str">
        <x:v>2026-06-30</x:v>
      </x:c>
      <x:c r="M87" s="28" t="str"/>
    </x:row>
    <x:row r="88">
      <x:c r="A88" s="37" t="str">
        <x:v>PLN-029X53</x:v>
      </x:c>
      <x:c r="B88" s="28" t="str">
        <x:v>Service revenue price-volume-mix variance</x:v>
      </x:c>
      <x:c r="C88" s="28" t="str">
        <x:v>Q3 service recovery action register scenario controls</x:v>
      </x:c>
      <x:c r="D88" s="28" t="str">
        <x:v>Steering base</x:v>
      </x:c>
      <x:c r="E88" s="28" t="str">
        <x:v>Management review</x:v>
      </x:c>
      <x:c r="F88" s="28" t="str">
        <x:v>Approved case</x:v>
      </x:c>
      <x:c r="G88" s="28" t="str">
        <x:v>Maximum actions</x:v>
      </x:c>
      <x:c r="H88" s="31" t="n">
        <x:v>3</x:v>
      </x:c>
      <x:c r="I88" s="28" t="str"/>
      <x:c r="J88" s="28" t="str">
        <x:v>count</x:v>
      </x:c>
      <x:c r="K88" s="28" t="str">
        <x:v>Finance operating schedule</x:v>
      </x:c>
      <x:c r="L88" s="34" t="str">
        <x:v>2026-06-30</x:v>
      </x:c>
      <x:c r="M88" s="28" t="str"/>
    </x:row>
    <x:row r="89">
      <x:c r="A89" s="37" t="str">
        <x:v>PLN-029X54</x:v>
      </x:c>
      <x:c r="B89" s="28" t="str">
        <x:v>Service revenue price-volume-mix variance</x:v>
      </x:c>
      <x:c r="C89" s="28" t="str">
        <x:v>Q3 service recovery action register scenario controls</x:v>
      </x:c>
      <x:c r="D89" s="28" t="str">
        <x:v>Steering base</x:v>
      </x:c>
      <x:c r="E89" s="28" t="str">
        <x:v>Management review</x:v>
      </x:c>
      <x:c r="F89" s="28" t="str">
        <x:v>Approved case</x:v>
      </x:c>
      <x:c r="G89" s="28" t="str">
        <x:v>Conditional actions allowed</x:v>
      </x:c>
      <x:c r="H89" s="31" t="str"/>
      <x:c r="I89" s="28" t="str">
        <x:v>Yes</x:v>
      </x:c>
      <x:c r="J89" s="28" t="str">
        <x:v>classification</x:v>
      </x:c>
      <x:c r="K89" s="28" t="str">
        <x:v>Finance operating schedule</x:v>
      </x:c>
      <x:c r="L89" s="34" t="str">
        <x:v>2026-06-30</x:v>
      </x:c>
      <x:c r="M89" s="28" t="str"/>
    </x:row>
    <x:row r="90">
      <x:c r="A90" s="37" t="str">
        <x:v>PLN-029X55</x:v>
      </x:c>
      <x:c r="B90" s="28" t="str">
        <x:v>Service revenue price-volume-mix variance</x:v>
      </x:c>
      <x:c r="C90" s="28" t="str">
        <x:v>Q3 service recovery action register scenario controls</x:v>
      </x:c>
      <x:c r="D90" s="28" t="str">
        <x:v>SLA escalation</x:v>
      </x:c>
      <x:c r="E90" s="28" t="str">
        <x:v>Management review</x:v>
      </x:c>
      <x:c r="F90" s="28" t="str">
        <x:v>Approved case</x:v>
      </x:c>
      <x:c r="G90" s="28" t="str">
        <x:v>Gross effect factor</x:v>
      </x:c>
      <x:c r="H90" s="31" t="n">
        <x:v>0.86</x:v>
      </x:c>
      <x:c r="I90" s="28" t="str"/>
      <x:c r="J90" s="28" t="str">
        <x:v>decimal ratio</x:v>
      </x:c>
      <x:c r="K90" s="28" t="str">
        <x:v>Finance operating schedule</x:v>
      </x:c>
      <x:c r="L90" s="34" t="str">
        <x:v>2026-06-30</x:v>
      </x:c>
      <x:c r="M90" s="28" t="str"/>
    </x:row>
    <x:row r="91">
      <x:c r="A91" s="37" t="str">
        <x:v>PLN-029X56</x:v>
      </x:c>
      <x:c r="B91" s="28" t="str">
        <x:v>Service revenue price-volume-mix variance</x:v>
      </x:c>
      <x:c r="C91" s="28" t="str">
        <x:v>Q3 service recovery action register scenario controls</x:v>
      </x:c>
      <x:c r="D91" s="28" t="str">
        <x:v>SLA escalation</x:v>
      </x:c>
      <x:c r="E91" s="28" t="str">
        <x:v>Management review</x:v>
      </x:c>
      <x:c r="F91" s="28" t="str">
        <x:v>Approved case</x:v>
      </x:c>
      <x:c r="G91" s="28" t="str">
        <x:v>Probability factor</x:v>
      </x:c>
      <x:c r="H91" s="31" t="n">
        <x:v>0.82</x:v>
      </x:c>
      <x:c r="I91" s="28" t="str"/>
      <x:c r="J91" s="28" t="str">
        <x:v>decimal ratio</x:v>
      </x:c>
      <x:c r="K91" s="28" t="str">
        <x:v>Finance operating schedule</x:v>
      </x:c>
      <x:c r="L91" s="34" t="str">
        <x:v>2026-06-30</x:v>
      </x:c>
      <x:c r="M91" s="28" t="str"/>
    </x:row>
    <x:row r="92">
      <x:c r="A92" s="37" t="str">
        <x:v>PLN-029X57</x:v>
      </x:c>
      <x:c r="B92" s="28" t="str">
        <x:v>Service revenue price-volume-mix variance</x:v>
      </x:c>
      <x:c r="C92" s="28" t="str">
        <x:v>Q3 service recovery action register scenario controls</x:v>
      </x:c>
      <x:c r="D92" s="28" t="str">
        <x:v>SLA escalation</x:v>
      </x:c>
      <x:c r="E92" s="28" t="str">
        <x:v>Management review</x:v>
      </x:c>
      <x:c r="F92" s="28" t="str">
        <x:v>Approved case</x:v>
      </x:c>
      <x:c r="G92" s="28" t="str">
        <x:v>Cash cost factor</x:v>
      </x:c>
      <x:c r="H92" s="31" t="n">
        <x:v>1.06</x:v>
      </x:c>
      <x:c r="I92" s="28" t="str"/>
      <x:c r="J92" s="28" t="str">
        <x:v>decimal ratio</x:v>
      </x:c>
      <x:c r="K92" s="28" t="str">
        <x:v>Finance operating schedule</x:v>
      </x:c>
      <x:c r="L92" s="34" t="str">
        <x:v>2026-06-30</x:v>
      </x:c>
      <x:c r="M92" s="28" t="str"/>
    </x:row>
    <x:row r="93">
      <x:c r="A93" s="37" t="str">
        <x:v>PLN-029X58</x:v>
      </x:c>
      <x:c r="B93" s="28" t="str">
        <x:v>Service revenue price-volume-mix variance</x:v>
      </x:c>
      <x:c r="C93" s="28" t="str">
        <x:v>Q3 service recovery action register scenario controls</x:v>
      </x:c>
      <x:c r="D93" s="28" t="str">
        <x:v>SLA escalation</x:v>
      </x:c>
      <x:c r="E93" s="28" t="str">
        <x:v>Management review</x:v>
      </x:c>
      <x:c r="F93" s="28" t="str">
        <x:v>Approved case</x:v>
      </x:c>
      <x:c r="G93" s="28" t="str">
        <x:v>Capacity factor</x:v>
      </x:c>
      <x:c r="H93" s="31" t="n">
        <x:v>1.04</x:v>
      </x:c>
      <x:c r="I93" s="28" t="str"/>
      <x:c r="J93" s="28" t="str">
        <x:v>decimal ratio</x:v>
      </x:c>
      <x:c r="K93" s="28" t="str">
        <x:v>Finance operating schedule</x:v>
      </x:c>
      <x:c r="L93" s="34" t="str">
        <x:v>2026-06-30</x:v>
      </x:c>
      <x:c r="M93" s="28" t="str"/>
    </x:row>
    <x:row r="94">
      <x:c r="A94" s="37" t="str">
        <x:v>PLN-029X59</x:v>
      </x:c>
      <x:c r="B94" s="28" t="str">
        <x:v>Service revenue price-volume-mix variance</x:v>
      </x:c>
      <x:c r="C94" s="28" t="str">
        <x:v>Q3 service recovery action register scenario controls</x:v>
      </x:c>
      <x:c r="D94" s="28" t="str">
        <x:v>SLA escalation</x:v>
      </x:c>
      <x:c r="E94" s="28" t="str">
        <x:v>Management review</x:v>
      </x:c>
      <x:c r="F94" s="28" t="str">
        <x:v>Approved case</x:v>
      </x:c>
      <x:c r="G94" s="28" t="str">
        <x:v>Cash budget factor</x:v>
      </x:c>
      <x:c r="H94" s="31" t="n">
        <x:v>0.95</x:v>
      </x:c>
      <x:c r="I94" s="28" t="str"/>
      <x:c r="J94" s="28" t="str">
        <x:v>decimal ratio</x:v>
      </x:c>
      <x:c r="K94" s="28" t="str">
        <x:v>Finance operating schedule</x:v>
      </x:c>
      <x:c r="L94" s="34" t="str">
        <x:v>2026-06-30</x:v>
      </x:c>
      <x:c r="M94" s="28" t="str"/>
    </x:row>
    <x:row r="95">
      <x:c r="A95" s="37" t="str">
        <x:v>PLN-029X60</x:v>
      </x:c>
      <x:c r="B95" s="28" t="str">
        <x:v>Service revenue price-volume-mix variance</x:v>
      </x:c>
      <x:c r="C95" s="28" t="str">
        <x:v>Q3 service recovery action register scenario controls</x:v>
      </x:c>
      <x:c r="D95" s="28" t="str">
        <x:v>SLA escalation</x:v>
      </x:c>
      <x:c r="E95" s="28" t="str">
        <x:v>Management review</x:v>
      </x:c>
      <x:c r="F95" s="28" t="str">
        <x:v>Approved case</x:v>
      </x:c>
      <x:c r="G95" s="28" t="str">
        <x:v>Capacity limit factor</x:v>
      </x:c>
      <x:c r="H95" s="31" t="n">
        <x:v>0.92</x:v>
      </x:c>
      <x:c r="I95" s="28" t="str"/>
      <x:c r="J95" s="28" t="str">
        <x:v>decimal ratio</x:v>
      </x:c>
      <x:c r="K95" s="28" t="str">
        <x:v>Finance operating schedule</x:v>
      </x:c>
      <x:c r="L95" s="34" t="str">
        <x:v>2026-06-30</x:v>
      </x:c>
      <x:c r="M95" s="28" t="str"/>
    </x:row>
    <x:row r="96">
      <x:c r="A96" s="37" t="str">
        <x:v>PLN-029X61</x:v>
      </x:c>
      <x:c r="B96" s="28" t="str">
        <x:v>Service revenue price-volume-mix variance</x:v>
      </x:c>
      <x:c r="C96" s="28" t="str">
        <x:v>Q3 service recovery action register scenario controls</x:v>
      </x:c>
      <x:c r="D96" s="28" t="str">
        <x:v>SLA escalation</x:v>
      </x:c>
      <x:c r="E96" s="28" t="str">
        <x:v>Management review</x:v>
      </x:c>
      <x:c r="F96" s="28" t="str">
        <x:v>Approved case</x:v>
      </x:c>
      <x:c r="G96" s="28" t="str">
        <x:v>Maximum actions</x:v>
      </x:c>
      <x:c r="H96" s="31" t="n">
        <x:v>3</x:v>
      </x:c>
      <x:c r="I96" s="28" t="str"/>
      <x:c r="J96" s="28" t="str">
        <x:v>count</x:v>
      </x:c>
      <x:c r="K96" s="28" t="str">
        <x:v>Finance operating schedule</x:v>
      </x:c>
      <x:c r="L96" s="34" t="str">
        <x:v>2026-06-30</x:v>
      </x:c>
      <x:c r="M96" s="28" t="str"/>
    </x:row>
    <x:row r="97">
      <x:c r="A97" s="37" t="str">
        <x:v>PLN-029X62</x:v>
      </x:c>
      <x:c r="B97" s="28" t="str">
        <x:v>Service revenue price-volume-mix variance</x:v>
      </x:c>
      <x:c r="C97" s="28" t="str">
        <x:v>Q3 service recovery action register scenario controls</x:v>
      </x:c>
      <x:c r="D97" s="28" t="str">
        <x:v>SLA escalation</x:v>
      </x:c>
      <x:c r="E97" s="28" t="str">
        <x:v>Management review</x:v>
      </x:c>
      <x:c r="F97" s="28" t="str">
        <x:v>Approved case</x:v>
      </x:c>
      <x:c r="G97" s="28" t="str">
        <x:v>Conditional actions allowed</x:v>
      </x:c>
      <x:c r="H97" s="31" t="str"/>
      <x:c r="I97" s="28" t="str">
        <x:v>Yes</x:v>
      </x:c>
      <x:c r="J97" s="28" t="str">
        <x:v>classification</x:v>
      </x:c>
      <x:c r="K97" s="28" t="str">
        <x:v>Finance operating schedule</x:v>
      </x:c>
      <x:c r="L97" s="34" t="str">
        <x:v>2026-06-30</x:v>
      </x:c>
      <x:c r="M97" s="28" t="str"/>
    </x:row>
    <x:row r="98">
      <x:c r="A98" s="37" t="str">
        <x:v>PLN-029X63</x:v>
      </x:c>
      <x:c r="B98" s="28" t="str">
        <x:v>Service revenue price-volume-mix variance</x:v>
      </x:c>
      <x:c r="C98" s="28" t="str">
        <x:v>Q3 service recovery action register scenario controls</x:v>
      </x:c>
      <x:c r="D98" s="28" t="str">
        <x:v>Field capacity squeeze</x:v>
      </x:c>
      <x:c r="E98" s="28" t="str">
        <x:v>Management review</x:v>
      </x:c>
      <x:c r="F98" s="28" t="str">
        <x:v>Approved case</x:v>
      </x:c>
      <x:c r="G98" s="28" t="str">
        <x:v>Gross effect factor</x:v>
      </x:c>
      <x:c r="H98" s="31" t="n">
        <x:v>0.94</x:v>
      </x:c>
      <x:c r="I98" s="28" t="str"/>
      <x:c r="J98" s="28" t="str">
        <x:v>decimal ratio</x:v>
      </x:c>
      <x:c r="K98" s="28" t="str">
        <x:v>Finance operating schedule</x:v>
      </x:c>
      <x:c r="L98" s="34" t="str">
        <x:v>2026-06-30</x:v>
      </x:c>
      <x:c r="M98" s="28" t="str"/>
    </x:row>
    <x:row r="99">
      <x:c r="A99" s="37" t="str">
        <x:v>PLN-029X64</x:v>
      </x:c>
      <x:c r="B99" s="28" t="str">
        <x:v>Service revenue price-volume-mix variance</x:v>
      </x:c>
      <x:c r="C99" s="28" t="str">
        <x:v>Q3 service recovery action register scenario controls</x:v>
      </x:c>
      <x:c r="D99" s="28" t="str">
        <x:v>Field capacity squeeze</x:v>
      </x:c>
      <x:c r="E99" s="28" t="str">
        <x:v>Management review</x:v>
      </x:c>
      <x:c r="F99" s="28" t="str">
        <x:v>Approved case</x:v>
      </x:c>
      <x:c r="G99" s="28" t="str">
        <x:v>Probability factor</x:v>
      </x:c>
      <x:c r="H99" s="31" t="n">
        <x:v>0.9</x:v>
      </x:c>
      <x:c r="I99" s="28" t="str"/>
      <x:c r="J99" s="28" t="str">
        <x:v>decimal ratio</x:v>
      </x:c>
      <x:c r="K99" s="28" t="str">
        <x:v>Finance operating schedule</x:v>
      </x:c>
      <x:c r="L99" s="34" t="str">
        <x:v>2026-06-30</x:v>
      </x:c>
      <x:c r="M99" s="28" t="str"/>
    </x:row>
    <x:row r="100">
      <x:c r="A100" s="37" t="str">
        <x:v>PLN-029X65</x:v>
      </x:c>
      <x:c r="B100" s="28" t="str">
        <x:v>Service revenue price-volume-mix variance</x:v>
      </x:c>
      <x:c r="C100" s="28" t="str">
        <x:v>Q3 service recovery action register scenario controls</x:v>
      </x:c>
      <x:c r="D100" s="28" t="str">
        <x:v>Field capacity squeeze</x:v>
      </x:c>
      <x:c r="E100" s="28" t="str">
        <x:v>Management review</x:v>
      </x:c>
      <x:c r="F100" s="28" t="str">
        <x:v>Approved case</x:v>
      </x:c>
      <x:c r="G100" s="28" t="str">
        <x:v>Cash cost factor</x:v>
      </x:c>
      <x:c r="H100" s="31" t="n">
        <x:v>1.1</x:v>
      </x:c>
      <x:c r="I100" s="28" t="str"/>
      <x:c r="J100" s="28" t="str">
        <x:v>decimal ratio</x:v>
      </x:c>
      <x:c r="K100" s="28" t="str">
        <x:v>Finance operating schedule</x:v>
      </x:c>
      <x:c r="L100" s="34" t="str">
        <x:v>2026-06-30</x:v>
      </x:c>
      <x:c r="M100" s="28" t="str"/>
    </x:row>
    <x:row r="101">
      <x:c r="A101" s="37" t="str">
        <x:v>PLN-029X66</x:v>
      </x:c>
      <x:c r="B101" s="28" t="str">
        <x:v>Service revenue price-volume-mix variance</x:v>
      </x:c>
      <x:c r="C101" s="28" t="str">
        <x:v>Q3 service recovery action register scenario controls</x:v>
      </x:c>
      <x:c r="D101" s="28" t="str">
        <x:v>Field capacity squeeze</x:v>
      </x:c>
      <x:c r="E101" s="28" t="str">
        <x:v>Management review</x:v>
      </x:c>
      <x:c r="F101" s="28" t="str">
        <x:v>Approved case</x:v>
      </x:c>
      <x:c r="G101" s="28" t="str">
        <x:v>Capacity factor</x:v>
      </x:c>
      <x:c r="H101" s="31" t="n">
        <x:v>1.18</x:v>
      </x:c>
      <x:c r="I101" s="28" t="str"/>
      <x:c r="J101" s="28" t="str">
        <x:v>decimal ratio</x:v>
      </x:c>
      <x:c r="K101" s="28" t="str">
        <x:v>Finance operating schedule</x:v>
      </x:c>
      <x:c r="L101" s="34" t="str">
        <x:v>2026-06-30</x:v>
      </x:c>
      <x:c r="M101" s="28" t="str"/>
    </x:row>
    <x:row r="102">
      <x:c r="A102" s="37" t="str">
        <x:v>PLN-029X67</x:v>
      </x:c>
      <x:c r="B102" s="28" t="str">
        <x:v>Service revenue price-volume-mix variance</x:v>
      </x:c>
      <x:c r="C102" s="28" t="str">
        <x:v>Q3 service recovery action register scenario controls</x:v>
      </x:c>
      <x:c r="D102" s="28" t="str">
        <x:v>Field capacity squeeze</x:v>
      </x:c>
      <x:c r="E102" s="28" t="str">
        <x:v>Management review</x:v>
      </x:c>
      <x:c r="F102" s="28" t="str">
        <x:v>Approved case</x:v>
      </x:c>
      <x:c r="G102" s="28" t="str">
        <x:v>Cash budget factor</x:v>
      </x:c>
      <x:c r="H102" s="31" t="n">
        <x:v>0.88</x:v>
      </x:c>
      <x:c r="I102" s="28" t="str"/>
      <x:c r="J102" s="28" t="str">
        <x:v>decimal ratio</x:v>
      </x:c>
      <x:c r="K102" s="28" t="str">
        <x:v>Finance operating schedule</x:v>
      </x:c>
      <x:c r="L102" s="34" t="str">
        <x:v>2026-06-30</x:v>
      </x:c>
      <x:c r="M102" s="28" t="str"/>
    </x:row>
    <x:row r="103">
      <x:c r="A103" s="37" t="str">
        <x:v>PLN-029X68</x:v>
      </x:c>
      <x:c r="B103" s="28" t="str">
        <x:v>Service revenue price-volume-mix variance</x:v>
      </x:c>
      <x:c r="C103" s="28" t="str">
        <x:v>Q3 service recovery action register scenario controls</x:v>
      </x:c>
      <x:c r="D103" s="28" t="str">
        <x:v>Field capacity squeeze</x:v>
      </x:c>
      <x:c r="E103" s="28" t="str">
        <x:v>Management review</x:v>
      </x:c>
      <x:c r="F103" s="28" t="str">
        <x:v>Approved case</x:v>
      </x:c>
      <x:c r="G103" s="28" t="str">
        <x:v>Capacity limit factor</x:v>
      </x:c>
      <x:c r="H103" s="31" t="n">
        <x:v>0.74</x:v>
      </x:c>
      <x:c r="I103" s="28" t="str"/>
      <x:c r="J103" s="28" t="str">
        <x:v>decimal ratio</x:v>
      </x:c>
      <x:c r="K103" s="28" t="str">
        <x:v>Finance operating schedule</x:v>
      </x:c>
      <x:c r="L103" s="34" t="str">
        <x:v>2026-06-30</x:v>
      </x:c>
      <x:c r="M103" s="28" t="str"/>
    </x:row>
    <x:row r="104">
      <x:c r="A104" s="37" t="str">
        <x:v>PLN-029X69</x:v>
      </x:c>
      <x:c r="B104" s="28" t="str">
        <x:v>Service revenue price-volume-mix variance</x:v>
      </x:c>
      <x:c r="C104" s="28" t="str">
        <x:v>Q3 service recovery action register scenario controls</x:v>
      </x:c>
      <x:c r="D104" s="28" t="str">
        <x:v>Field capacity squeeze</x:v>
      </x:c>
      <x:c r="E104" s="28" t="str">
        <x:v>Management review</x:v>
      </x:c>
      <x:c r="F104" s="28" t="str">
        <x:v>Approved case</x:v>
      </x:c>
      <x:c r="G104" s="28" t="str">
        <x:v>Maximum actions</x:v>
      </x:c>
      <x:c r="H104" s="31" t="n">
        <x:v>2</x:v>
      </x:c>
      <x:c r="I104" s="28" t="str"/>
      <x:c r="J104" s="28" t="str">
        <x:v>count</x:v>
      </x:c>
      <x:c r="K104" s="28" t="str">
        <x:v>Finance operating schedule</x:v>
      </x:c>
      <x:c r="L104" s="34" t="str">
        <x:v>2026-06-30</x:v>
      </x:c>
      <x:c r="M104" s="28" t="str"/>
    </x:row>
    <x:row r="105">
      <x:c r="A105" s="37" t="str">
        <x:v>PLN-029X70</x:v>
      </x:c>
      <x:c r="B105" s="28" t="str">
        <x:v>Service revenue price-volume-mix variance</x:v>
      </x:c>
      <x:c r="C105" s="28" t="str">
        <x:v>Q3 service recovery action register scenario controls</x:v>
      </x:c>
      <x:c r="D105" s="28" t="str">
        <x:v>Field capacity squeeze</x:v>
      </x:c>
      <x:c r="E105" s="28" t="str">
        <x:v>Management review</x:v>
      </x:c>
      <x:c r="F105" s="28" t="str">
        <x:v>Approved case</x:v>
      </x:c>
      <x:c r="G105" s="28" t="str">
        <x:v>Conditional actions allowed</x:v>
      </x:c>
      <x:c r="H105" s="31" t="str"/>
      <x:c r="I105" s="28" t="str">
        <x:v>No</x:v>
      </x:c>
      <x:c r="J105" s="28" t="str">
        <x:v>classification</x:v>
      </x:c>
      <x:c r="K105" s="28" t="str">
        <x:v>Finance operating schedule</x:v>
      </x:c>
      <x:c r="L105" s="34" t="str">
        <x:v>2026-06-30</x:v>
      </x:c>
      <x:c r="M105" s="28" t="str"/>
    </x:row>
    <x:row r="106">
      <x:c r="A106" s="37" t="str">
        <x:v>PLN-029X71</x:v>
      </x:c>
      <x:c r="B106" s="28" t="str">
        <x:v>Service revenue price-volume-mix variance</x:v>
      </x:c>
      <x:c r="C106" s="28" t="str">
        <x:v>Q3 service recovery action register scenario controls</x:v>
      </x:c>
      <x:c r="D106" s="28" t="str">
        <x:v>Price realization reversal</x:v>
      </x:c>
      <x:c r="E106" s="28" t="str">
        <x:v>Management review</x:v>
      </x:c>
      <x:c r="F106" s="28" t="str">
        <x:v>Approved case</x:v>
      </x:c>
      <x:c r="G106" s="28" t="str">
        <x:v>Gross effect factor</x:v>
      </x:c>
      <x:c r="H106" s="31" t="n">
        <x:v>0.78</x:v>
      </x:c>
      <x:c r="I106" s="28" t="str"/>
      <x:c r="J106" s="28" t="str">
        <x:v>decimal ratio</x:v>
      </x:c>
      <x:c r="K106" s="28" t="str">
        <x:v>Finance operating schedule</x:v>
      </x:c>
      <x:c r="L106" s="34" t="str">
        <x:v>2026-06-30</x:v>
      </x:c>
      <x:c r="M106" s="28" t="str"/>
    </x:row>
    <x:row r="107">
      <x:c r="A107" s="37" t="str">
        <x:v>PLN-029X72</x:v>
      </x:c>
      <x:c r="B107" s="28" t="str">
        <x:v>Service revenue price-volume-mix variance</x:v>
      </x:c>
      <x:c r="C107" s="28" t="str">
        <x:v>Q3 service recovery action register scenario controls</x:v>
      </x:c>
      <x:c r="D107" s="28" t="str">
        <x:v>Price realization reversal</x:v>
      </x:c>
      <x:c r="E107" s="28" t="str">
        <x:v>Management review</x:v>
      </x:c>
      <x:c r="F107" s="28" t="str">
        <x:v>Approved case</x:v>
      </x:c>
      <x:c r="G107" s="28" t="str">
        <x:v>Probability factor</x:v>
      </x:c>
      <x:c r="H107" s="31" t="n">
        <x:v>0.88</x:v>
      </x:c>
      <x:c r="I107" s="28" t="str"/>
      <x:c r="J107" s="28" t="str">
        <x:v>decimal ratio</x:v>
      </x:c>
      <x:c r="K107" s="28" t="str">
        <x:v>Finance operating schedule</x:v>
      </x:c>
      <x:c r="L107" s="34" t="str">
        <x:v>2026-06-30</x:v>
      </x:c>
      <x:c r="M107" s="28" t="str"/>
    </x:row>
    <x:row r="108">
      <x:c r="A108" s="37" t="str">
        <x:v>PLN-029X73</x:v>
      </x:c>
      <x:c r="B108" s="28" t="str">
        <x:v>Service revenue price-volume-mix variance</x:v>
      </x:c>
      <x:c r="C108" s="28" t="str">
        <x:v>Q3 service recovery action register scenario controls</x:v>
      </x:c>
      <x:c r="D108" s="28" t="str">
        <x:v>Price realization reversal</x:v>
      </x:c>
      <x:c r="E108" s="28" t="str">
        <x:v>Management review</x:v>
      </x:c>
      <x:c r="F108" s="28" t="str">
        <x:v>Approved case</x:v>
      </x:c>
      <x:c r="G108" s="28" t="str">
        <x:v>Cash cost factor</x:v>
      </x:c>
      <x:c r="H108" s="31" t="n">
        <x:v>1.08</x:v>
      </x:c>
      <x:c r="I108" s="28" t="str"/>
      <x:c r="J108" s="28" t="str">
        <x:v>decimal ratio</x:v>
      </x:c>
      <x:c r="K108" s="28" t="str">
        <x:v>Finance operating schedule</x:v>
      </x:c>
      <x:c r="L108" s="34" t="str">
        <x:v>2026-06-30</x:v>
      </x:c>
      <x:c r="M108" s="28" t="str"/>
    </x:row>
    <x:row r="109">
      <x:c r="A109" s="37" t="str">
        <x:v>PLN-029X74</x:v>
      </x:c>
      <x:c r="B109" s="28" t="str">
        <x:v>Service revenue price-volume-mix variance</x:v>
      </x:c>
      <x:c r="C109" s="28" t="str">
        <x:v>Q3 service recovery action register scenario controls</x:v>
      </x:c>
      <x:c r="D109" s="28" t="str">
        <x:v>Price realization reversal</x:v>
      </x:c>
      <x:c r="E109" s="28" t="str">
        <x:v>Management review</x:v>
      </x:c>
      <x:c r="F109" s="28" t="str">
        <x:v>Approved case</x:v>
      </x:c>
      <x:c r="G109" s="28" t="str">
        <x:v>Capacity factor</x:v>
      </x:c>
      <x:c r="H109" s="31" t="n">
        <x:v>1.08</x:v>
      </x:c>
      <x:c r="I109" s="28" t="str"/>
      <x:c r="J109" s="28" t="str">
        <x:v>decimal ratio</x:v>
      </x:c>
      <x:c r="K109" s="28" t="str">
        <x:v>Finance operating schedule</x:v>
      </x:c>
      <x:c r="L109" s="34" t="str">
        <x:v>2026-06-30</x:v>
      </x:c>
      <x:c r="M109" s="28" t="str"/>
    </x:row>
    <x:row r="110">
      <x:c r="A110" s="37" t="str">
        <x:v>PLN-029X75</x:v>
      </x:c>
      <x:c r="B110" s="28" t="str">
        <x:v>Service revenue price-volume-mix variance</x:v>
      </x:c>
      <x:c r="C110" s="28" t="str">
        <x:v>Q3 service recovery action register scenario controls</x:v>
      </x:c>
      <x:c r="D110" s="28" t="str">
        <x:v>Price realization reversal</x:v>
      </x:c>
      <x:c r="E110" s="28" t="str">
        <x:v>Management review</x:v>
      </x:c>
      <x:c r="F110" s="28" t="str">
        <x:v>Approved case</x:v>
      </x:c>
      <x:c r="G110" s="28" t="str">
        <x:v>Cash budget factor</x:v>
      </x:c>
      <x:c r="H110" s="31" t="n">
        <x:v>0.85</x:v>
      </x:c>
      <x:c r="I110" s="28" t="str"/>
      <x:c r="J110" s="28" t="str">
        <x:v>decimal ratio</x:v>
      </x:c>
      <x:c r="K110" s="28" t="str">
        <x:v>Finance operating schedule</x:v>
      </x:c>
      <x:c r="L110" s="34" t="str">
        <x:v>2026-06-30</x:v>
      </x:c>
      <x:c r="M110" s="28" t="str"/>
    </x:row>
    <x:row r="111">
      <x:c r="A111" s="37" t="str">
        <x:v>PLN-029X76</x:v>
      </x:c>
      <x:c r="B111" s="28" t="str">
        <x:v>Service revenue price-volume-mix variance</x:v>
      </x:c>
      <x:c r="C111" s="28" t="str">
        <x:v>Q3 service recovery action register scenario controls</x:v>
      </x:c>
      <x:c r="D111" s="28" t="str">
        <x:v>Price realization reversal</x:v>
      </x:c>
      <x:c r="E111" s="28" t="str">
        <x:v>Management review</x:v>
      </x:c>
      <x:c r="F111" s="28" t="str">
        <x:v>Approved case</x:v>
      </x:c>
      <x:c r="G111" s="28" t="str">
        <x:v>Capacity limit factor</x:v>
      </x:c>
      <x:c r="H111" s="31" t="n">
        <x:v>0.86</x:v>
      </x:c>
      <x:c r="I111" s="28" t="str"/>
      <x:c r="J111" s="28" t="str">
        <x:v>decimal ratio</x:v>
      </x:c>
      <x:c r="K111" s="28" t="str">
        <x:v>Finance operating schedule</x:v>
      </x:c>
      <x:c r="L111" s="34" t="str">
        <x:v>2026-06-30</x:v>
      </x:c>
      <x:c r="M111" s="28" t="str"/>
    </x:row>
    <x:row r="112">
      <x:c r="A112" s="37" t="str">
        <x:v>PLN-029X77</x:v>
      </x:c>
      <x:c r="B112" s="28" t="str">
        <x:v>Service revenue price-volume-mix variance</x:v>
      </x:c>
      <x:c r="C112" s="28" t="str">
        <x:v>Q3 service recovery action register scenario controls</x:v>
      </x:c>
      <x:c r="D112" s="28" t="str">
        <x:v>Price realization reversal</x:v>
      </x:c>
      <x:c r="E112" s="28" t="str">
        <x:v>Management review</x:v>
      </x:c>
      <x:c r="F112" s="28" t="str">
        <x:v>Approved case</x:v>
      </x:c>
      <x:c r="G112" s="28" t="str">
        <x:v>Maximum actions</x:v>
      </x:c>
      <x:c r="H112" s="31" t="n">
        <x:v>2</x:v>
      </x:c>
      <x:c r="I112" s="28" t="str"/>
      <x:c r="J112" s="28" t="str">
        <x:v>count</x:v>
      </x:c>
      <x:c r="K112" s="28" t="str">
        <x:v>Finance operating schedule</x:v>
      </x:c>
      <x:c r="L112" s="34" t="str">
        <x:v>2026-06-30</x:v>
      </x:c>
      <x:c r="M112" s="28" t="str"/>
    </x:row>
    <x:row r="113">
      <x:c r="A113" s="37" t="str">
        <x:v>PLN-029X78</x:v>
      </x:c>
      <x:c r="B113" s="28" t="str">
        <x:v>Service revenue price-volume-mix variance</x:v>
      </x:c>
      <x:c r="C113" s="28" t="str">
        <x:v>Q3 service recovery action register scenario controls</x:v>
      </x:c>
      <x:c r="D113" s="28" t="str">
        <x:v>Price realization reversal</x:v>
      </x:c>
      <x:c r="E113" s="28" t="str">
        <x:v>Management review</x:v>
      </x:c>
      <x:c r="F113" s="28" t="str">
        <x:v>Approved case</x:v>
      </x:c>
      <x:c r="G113" s="28" t="str">
        <x:v>Conditional actions allowed</x:v>
      </x:c>
      <x:c r="H113" s="31" t="str"/>
      <x:c r="I113" s="28" t="str">
        <x:v>No</x:v>
      </x:c>
      <x:c r="J113" s="28" t="str">
        <x:v>classification</x:v>
      </x:c>
      <x:c r="K113" s="28" t="str">
        <x:v>Finance operating schedule</x:v>
      </x:c>
      <x:c r="L113" s="34" t="str">
        <x:v>2026-06-30</x:v>
      </x:c>
      <x:c r="M113" s="28" t="str"/>
    </x:row>
    <x:row r="114">
      <x:c r="A114" s="37" t="str">
        <x:v>PLN-029X79</x:v>
      </x:c>
      <x:c r="B114" s="28" t="str">
        <x:v>Service revenue price-volume-mix variance</x:v>
      </x:c>
      <x:c r="C114" s="28" t="str">
        <x:v>Q3 service recovery action register scenario controls</x:v>
      </x:c>
      <x:c r="D114" s="28" t="str">
        <x:v>Renewal volume shock</x:v>
      </x:c>
      <x:c r="E114" s="28" t="str">
        <x:v>Management review</x:v>
      </x:c>
      <x:c r="F114" s="28" t="str">
        <x:v>Approved case</x:v>
      </x:c>
      <x:c r="G114" s="28" t="str">
        <x:v>Gross effect factor</x:v>
      </x:c>
      <x:c r="H114" s="31" t="n">
        <x:v>0.62</x:v>
      </x:c>
      <x:c r="I114" s="28" t="str"/>
      <x:c r="J114" s="28" t="str">
        <x:v>decimal ratio</x:v>
      </x:c>
      <x:c r="K114" s="28" t="str">
        <x:v>Finance operating schedule</x:v>
      </x:c>
      <x:c r="L114" s="34" t="str">
        <x:v>2026-06-30</x:v>
      </x:c>
      <x:c r="M114" s="28" t="str"/>
    </x:row>
    <x:row r="115">
      <x:c r="A115" s="37" t="str">
        <x:v>PLN-029X80</x:v>
      </x:c>
      <x:c r="B115" s="28" t="str">
        <x:v>Service revenue price-volume-mix variance</x:v>
      </x:c>
      <x:c r="C115" s="28" t="str">
        <x:v>Q3 service recovery action register scenario controls</x:v>
      </x:c>
      <x:c r="D115" s="28" t="str">
        <x:v>Renewal volume shock</x:v>
      </x:c>
      <x:c r="E115" s="28" t="str">
        <x:v>Management review</x:v>
      </x:c>
      <x:c r="F115" s="28" t="str">
        <x:v>Approved case</x:v>
      </x:c>
      <x:c r="G115" s="28" t="str">
        <x:v>Probability factor</x:v>
      </x:c>
      <x:c r="H115" s="31" t="n">
        <x:v>0.68</x:v>
      </x:c>
      <x:c r="I115" s="28" t="str"/>
      <x:c r="J115" s="28" t="str">
        <x:v>decimal ratio</x:v>
      </x:c>
      <x:c r="K115" s="28" t="str">
        <x:v>Finance operating schedule</x:v>
      </x:c>
      <x:c r="L115" s="34" t="str">
        <x:v>2026-06-30</x:v>
      </x:c>
      <x:c r="M115" s="28" t="str"/>
    </x:row>
    <x:row r="116">
      <x:c r="A116" s="37" t="str">
        <x:v>PLN-029X81</x:v>
      </x:c>
      <x:c r="B116" s="28" t="str">
        <x:v>Service revenue price-volume-mix variance</x:v>
      </x:c>
      <x:c r="C116" s="28" t="str">
        <x:v>Q3 service recovery action register scenario controls</x:v>
      </x:c>
      <x:c r="D116" s="28" t="str">
        <x:v>Renewal volume shock</x:v>
      </x:c>
      <x:c r="E116" s="28" t="str">
        <x:v>Management review</x:v>
      </x:c>
      <x:c r="F116" s="28" t="str">
        <x:v>Approved case</x:v>
      </x:c>
      <x:c r="G116" s="28" t="str">
        <x:v>Cash cost factor</x:v>
      </x:c>
      <x:c r="H116" s="31" t="n">
        <x:v>1.2</x:v>
      </x:c>
      <x:c r="I116" s="28" t="str"/>
      <x:c r="J116" s="28" t="str">
        <x:v>decimal ratio</x:v>
      </x:c>
      <x:c r="K116" s="28" t="str">
        <x:v>Finance operating schedule</x:v>
      </x:c>
      <x:c r="L116" s="34" t="str">
        <x:v>2026-06-30</x:v>
      </x:c>
      <x:c r="M116" s="28" t="str"/>
    </x:row>
    <x:row r="117">
      <x:c r="A117" s="37" t="str">
        <x:v>PLN-029X82</x:v>
      </x:c>
      <x:c r="B117" s="28" t="str">
        <x:v>Service revenue price-volume-mix variance</x:v>
      </x:c>
      <x:c r="C117" s="28" t="str">
        <x:v>Q3 service recovery action register scenario controls</x:v>
      </x:c>
      <x:c r="D117" s="28" t="str">
        <x:v>Renewal volume shock</x:v>
      </x:c>
      <x:c r="E117" s="28" t="str">
        <x:v>Management review</x:v>
      </x:c>
      <x:c r="F117" s="28" t="str">
        <x:v>Approved case</x:v>
      </x:c>
      <x:c r="G117" s="28" t="str">
        <x:v>Capacity factor</x:v>
      </x:c>
      <x:c r="H117" s="31" t="n">
        <x:v>1.15</x:v>
      </x:c>
      <x:c r="I117" s="28" t="str"/>
      <x:c r="J117" s="28" t="str">
        <x:v>decimal ratio</x:v>
      </x:c>
      <x:c r="K117" s="28" t="str">
        <x:v>Finance operating schedule</x:v>
      </x:c>
      <x:c r="L117" s="34" t="str">
        <x:v>2026-06-30</x:v>
      </x:c>
      <x:c r="M117" s="28" t="str"/>
    </x:row>
    <x:row r="118">
      <x:c r="A118" s="37" t="str">
        <x:v>PLN-029X83</x:v>
      </x:c>
      <x:c r="B118" s="28" t="str">
        <x:v>Service revenue price-volume-mix variance</x:v>
      </x:c>
      <x:c r="C118" s="28" t="str">
        <x:v>Q3 service recovery action register scenario controls</x:v>
      </x:c>
      <x:c r="D118" s="28" t="str">
        <x:v>Renewal volume shock</x:v>
      </x:c>
      <x:c r="E118" s="28" t="str">
        <x:v>Management review</x:v>
      </x:c>
      <x:c r="F118" s="28" t="str">
        <x:v>Approved case</x:v>
      </x:c>
      <x:c r="G118" s="28" t="str">
        <x:v>Cash budget factor</x:v>
      </x:c>
      <x:c r="H118" s="31" t="n">
        <x:v>0.72</x:v>
      </x:c>
      <x:c r="I118" s="28" t="str"/>
      <x:c r="J118" s="28" t="str">
        <x:v>decimal ratio</x:v>
      </x:c>
      <x:c r="K118" s="28" t="str">
        <x:v>Finance operating schedule</x:v>
      </x:c>
      <x:c r="L118" s="34" t="str">
        <x:v>2026-06-30</x:v>
      </x:c>
      <x:c r="M118" s="28" t="str"/>
    </x:row>
    <x:row r="119">
      <x:c r="A119" s="37" t="str">
        <x:v>PLN-029X84</x:v>
      </x:c>
      <x:c r="B119" s="28" t="str">
        <x:v>Service revenue price-volume-mix variance</x:v>
      </x:c>
      <x:c r="C119" s="28" t="str">
        <x:v>Q3 service recovery action register scenario controls</x:v>
      </x:c>
      <x:c r="D119" s="28" t="str">
        <x:v>Renewal volume shock</x:v>
      </x:c>
      <x:c r="E119" s="28" t="str">
        <x:v>Management review</x:v>
      </x:c>
      <x:c r="F119" s="28" t="str">
        <x:v>Approved case</x:v>
      </x:c>
      <x:c r="G119" s="28" t="str">
        <x:v>Capacity limit factor</x:v>
      </x:c>
      <x:c r="H119" s="31" t="n">
        <x:v>0.65</x:v>
      </x:c>
      <x:c r="I119" s="28" t="str"/>
      <x:c r="J119" s="28" t="str">
        <x:v>decimal ratio</x:v>
      </x:c>
      <x:c r="K119" s="28" t="str">
        <x:v>Finance operating schedule</x:v>
      </x:c>
      <x:c r="L119" s="34" t="str">
        <x:v>2026-06-30</x:v>
      </x:c>
      <x:c r="M119" s="28" t="str"/>
    </x:row>
    <x:row r="120">
      <x:c r="A120" s="37" t="str">
        <x:v>PLN-029X85</x:v>
      </x:c>
      <x:c r="B120" s="28" t="str">
        <x:v>Service revenue price-volume-mix variance</x:v>
      </x:c>
      <x:c r="C120" s="28" t="str">
        <x:v>Q3 service recovery action register scenario controls</x:v>
      </x:c>
      <x:c r="D120" s="28" t="str">
        <x:v>Renewal volume shock</x:v>
      </x:c>
      <x:c r="E120" s="28" t="str">
        <x:v>Management review</x:v>
      </x:c>
      <x:c r="F120" s="28" t="str">
        <x:v>Approved case</x:v>
      </x:c>
      <x:c r="G120" s="28" t="str">
        <x:v>Maximum actions</x:v>
      </x:c>
      <x:c r="H120" s="31" t="n">
        <x:v>2</x:v>
      </x:c>
      <x:c r="I120" s="28" t="str"/>
      <x:c r="J120" s="28" t="str">
        <x:v>count</x:v>
      </x:c>
      <x:c r="K120" s="28" t="str">
        <x:v>Finance operating schedule</x:v>
      </x:c>
      <x:c r="L120" s="34" t="str">
        <x:v>2026-06-30</x:v>
      </x:c>
      <x:c r="M120" s="28" t="str"/>
    </x:row>
    <x:row r="121">
      <x:c r="A121" s="37" t="str">
        <x:v>PLN-029X86</x:v>
      </x:c>
      <x:c r="B121" s="28" t="str">
        <x:v>Service revenue price-volume-mix variance</x:v>
      </x:c>
      <x:c r="C121" s="28" t="str">
        <x:v>Q3 service recovery action register scenario controls</x:v>
      </x:c>
      <x:c r="D121" s="28" t="str">
        <x:v>Renewal volume shock</x:v>
      </x:c>
      <x:c r="E121" s="28" t="str">
        <x:v>Management review</x:v>
      </x:c>
      <x:c r="F121" s="28" t="str">
        <x:v>Approved case</x:v>
      </x:c>
      <x:c r="G121" s="28" t="str">
        <x:v>Conditional actions allowed</x:v>
      </x:c>
      <x:c r="H121" s="31" t="str"/>
      <x:c r="I121" s="28" t="str">
        <x:v>No</x:v>
      </x:c>
      <x:c r="J121" s="28" t="str">
        <x:v>classification</x:v>
      </x:c>
      <x:c r="K121" s="28" t="str">
        <x:v>Finance operating schedule</x:v>
      </x:c>
      <x:c r="L121" s="34" t="str">
        <x:v>2026-06-30</x:v>
      </x:c>
      <x:c r="M121" s="28" t="str"/>
    </x:row>
    <x:row r="122">
      <x:c r="A122" s="37" t="str">
        <x:v>PLN-029X87</x:v>
      </x:c>
      <x:c r="B122" s="28" t="str">
        <x:v>Service revenue price-volume-mix variance</x:v>
      </x:c>
      <x:c r="C122" s="28" t="str">
        <x:v>Q3 service recovery action register scenario controls</x:v>
      </x:c>
      <x:c r="D122" s="28" t="str">
        <x:v>Combined service downside</x:v>
      </x:c>
      <x:c r="E122" s="28" t="str">
        <x:v>Management review</x:v>
      </x:c>
      <x:c r="F122" s="28" t="str">
        <x:v>Approved case</x:v>
      </x:c>
      <x:c r="G122" s="28" t="str">
        <x:v>Gross effect factor</x:v>
      </x:c>
      <x:c r="H122" s="31" t="n">
        <x:v>0.7</x:v>
      </x:c>
      <x:c r="I122" s="28" t="str"/>
      <x:c r="J122" s="28" t="str">
        <x:v>decimal ratio</x:v>
      </x:c>
      <x:c r="K122" s="28" t="str">
        <x:v>Finance operating schedule</x:v>
      </x:c>
      <x:c r="L122" s="34" t="str">
        <x:v>2026-06-30</x:v>
      </x:c>
      <x:c r="M122" s="28" t="str"/>
    </x:row>
    <x:row r="123">
      <x:c r="A123" s="37" t="str">
        <x:v>PLN-029X88</x:v>
      </x:c>
      <x:c r="B123" s="28" t="str">
        <x:v>Service revenue price-volume-mix variance</x:v>
      </x:c>
      <x:c r="C123" s="28" t="str">
        <x:v>Q3 service recovery action register scenario controls</x:v>
      </x:c>
      <x:c r="D123" s="28" t="str">
        <x:v>Combined service downside</x:v>
      </x:c>
      <x:c r="E123" s="28" t="str">
        <x:v>Management review</x:v>
      </x:c>
      <x:c r="F123" s="28" t="str">
        <x:v>Approved case</x:v>
      </x:c>
      <x:c r="G123" s="28" t="str">
        <x:v>Probability factor</x:v>
      </x:c>
      <x:c r="H123" s="31" t="n">
        <x:v>0.74</x:v>
      </x:c>
      <x:c r="I123" s="28" t="str"/>
      <x:c r="J123" s="28" t="str">
        <x:v>decimal ratio</x:v>
      </x:c>
      <x:c r="K123" s="28" t="str">
        <x:v>Finance operating schedule</x:v>
      </x:c>
      <x:c r="L123" s="34" t="str">
        <x:v>2026-06-30</x:v>
      </x:c>
      <x:c r="M123" s="28" t="str"/>
    </x:row>
    <x:row r="124">
      <x:c r="A124" s="37" t="str">
        <x:v>PLN-029X89</x:v>
      </x:c>
      <x:c r="B124" s="28" t="str">
        <x:v>Service revenue price-volume-mix variance</x:v>
      </x:c>
      <x:c r="C124" s="28" t="str">
        <x:v>Q3 service recovery action register scenario controls</x:v>
      </x:c>
      <x:c r="D124" s="28" t="str">
        <x:v>Combined service downside</x:v>
      </x:c>
      <x:c r="E124" s="28" t="str">
        <x:v>Management review</x:v>
      </x:c>
      <x:c r="F124" s="28" t="str">
        <x:v>Approved case</x:v>
      </x:c>
      <x:c r="G124" s="28" t="str">
        <x:v>Cash cost factor</x:v>
      </x:c>
      <x:c r="H124" s="31" t="n">
        <x:v>1.16</x:v>
      </x:c>
      <x:c r="I124" s="28" t="str"/>
      <x:c r="J124" s="28" t="str">
        <x:v>decimal ratio</x:v>
      </x:c>
      <x:c r="K124" s="28" t="str">
        <x:v>Finance operating schedule</x:v>
      </x:c>
      <x:c r="L124" s="34" t="str">
        <x:v>2026-06-30</x:v>
      </x:c>
      <x:c r="M124" s="28" t="str"/>
    </x:row>
    <x:row r="125">
      <x:c r="A125" s="37" t="str">
        <x:v>PLN-029X90</x:v>
      </x:c>
      <x:c r="B125" s="28" t="str">
        <x:v>Service revenue price-volume-mix variance</x:v>
      </x:c>
      <x:c r="C125" s="28" t="str">
        <x:v>Q3 service recovery action register scenario controls</x:v>
      </x:c>
      <x:c r="D125" s="28" t="str">
        <x:v>Combined service downside</x:v>
      </x:c>
      <x:c r="E125" s="28" t="str">
        <x:v>Management review</x:v>
      </x:c>
      <x:c r="F125" s="28" t="str">
        <x:v>Approved case</x:v>
      </x:c>
      <x:c r="G125" s="28" t="str">
        <x:v>Capacity factor</x:v>
      </x:c>
      <x:c r="H125" s="31" t="n">
        <x:v>1.24</x:v>
      </x:c>
      <x:c r="I125" s="28" t="str"/>
      <x:c r="J125" s="28" t="str">
        <x:v>decimal ratio</x:v>
      </x:c>
      <x:c r="K125" s="28" t="str">
        <x:v>Finance operating schedule</x:v>
      </x:c>
      <x:c r="L125" s="34" t="str">
        <x:v>2026-06-30</x:v>
      </x:c>
      <x:c r="M125" s="28" t="str"/>
    </x:row>
    <x:row r="126">
      <x:c r="A126" s="37" t="str">
        <x:v>PLN-029X91</x:v>
      </x:c>
      <x:c r="B126" s="28" t="str">
        <x:v>Service revenue price-volume-mix variance</x:v>
      </x:c>
      <x:c r="C126" s="28" t="str">
        <x:v>Q3 service recovery action register scenario controls</x:v>
      </x:c>
      <x:c r="D126" s="28" t="str">
        <x:v>Combined service downside</x:v>
      </x:c>
      <x:c r="E126" s="28" t="str">
        <x:v>Management review</x:v>
      </x:c>
      <x:c r="F126" s="28" t="str">
        <x:v>Approved case</x:v>
      </x:c>
      <x:c r="G126" s="28" t="str">
        <x:v>Cash budget factor</x:v>
      </x:c>
      <x:c r="H126" s="31" t="n">
        <x:v>0.78</x:v>
      </x:c>
      <x:c r="I126" s="28" t="str"/>
      <x:c r="J126" s="28" t="str">
        <x:v>decimal ratio</x:v>
      </x:c>
      <x:c r="K126" s="28" t="str">
        <x:v>Finance operating schedule</x:v>
      </x:c>
      <x:c r="L126" s="34" t="str">
        <x:v>2026-06-30</x:v>
      </x:c>
      <x:c r="M126" s="28" t="str"/>
    </x:row>
    <x:row r="127">
      <x:c r="A127" s="37" t="str">
        <x:v>PLN-029X92</x:v>
      </x:c>
      <x:c r="B127" s="28" t="str">
        <x:v>Service revenue price-volume-mix variance</x:v>
      </x:c>
      <x:c r="C127" s="28" t="str">
        <x:v>Q3 service recovery action register scenario controls</x:v>
      </x:c>
      <x:c r="D127" s="28" t="str">
        <x:v>Combined service downside</x:v>
      </x:c>
      <x:c r="E127" s="28" t="str">
        <x:v>Management review</x:v>
      </x:c>
      <x:c r="F127" s="28" t="str">
        <x:v>Approved case</x:v>
      </x:c>
      <x:c r="G127" s="28" t="str">
        <x:v>Capacity limit factor</x:v>
      </x:c>
      <x:c r="H127" s="31" t="n">
        <x:v>0.68</x:v>
      </x:c>
      <x:c r="I127" s="28" t="str"/>
      <x:c r="J127" s="28" t="str">
        <x:v>decimal ratio</x:v>
      </x:c>
      <x:c r="K127" s="28" t="str">
        <x:v>Finance operating schedule</x:v>
      </x:c>
      <x:c r="L127" s="34" t="str">
        <x:v>2026-06-30</x:v>
      </x:c>
      <x:c r="M127" s="28" t="str"/>
    </x:row>
    <x:row r="128">
      <x:c r="A128" s="37" t="str">
        <x:v>PLN-029X93</x:v>
      </x:c>
      <x:c r="B128" s="28" t="str">
        <x:v>Service revenue price-volume-mix variance</x:v>
      </x:c>
      <x:c r="C128" s="28" t="str">
        <x:v>Q3 service recovery action register scenario controls</x:v>
      </x:c>
      <x:c r="D128" s="28" t="str">
        <x:v>Combined service downside</x:v>
      </x:c>
      <x:c r="E128" s="28" t="str">
        <x:v>Management review</x:v>
      </x:c>
      <x:c r="F128" s="28" t="str">
        <x:v>Approved case</x:v>
      </x:c>
      <x:c r="G128" s="28" t="str">
        <x:v>Maximum actions</x:v>
      </x:c>
      <x:c r="H128" s="31" t="n">
        <x:v>2</x:v>
      </x:c>
      <x:c r="I128" s="28" t="str"/>
      <x:c r="J128" s="28" t="str">
        <x:v>count</x:v>
      </x:c>
      <x:c r="K128" s="28" t="str">
        <x:v>Finance operating schedule</x:v>
      </x:c>
      <x:c r="L128" s="34" t="str">
        <x:v>2026-06-30</x:v>
      </x:c>
      <x:c r="M128" s="28" t="str"/>
    </x:row>
    <x:row r="129">
      <x:c r="A129" s="37" t="str">
        <x:v>PLN-029X94</x:v>
      </x:c>
      <x:c r="B129" s="28" t="str">
        <x:v>Service revenue price-volume-mix variance</x:v>
      </x:c>
      <x:c r="C129" s="28" t="str">
        <x:v>Q3 service recovery action register scenario controls</x:v>
      </x:c>
      <x:c r="D129" s="28" t="str">
        <x:v>Combined service downside</x:v>
      </x:c>
      <x:c r="E129" s="28" t="str">
        <x:v>Management review</x:v>
      </x:c>
      <x:c r="F129" s="28" t="str">
        <x:v>Approved case</x:v>
      </x:c>
      <x:c r="G129" s="28" t="str">
        <x:v>Conditional actions allowed</x:v>
      </x:c>
      <x:c r="H129" s="31" t="str"/>
      <x:c r="I129" s="28" t="str">
        <x:v>No</x:v>
      </x:c>
      <x:c r="J129" s="28" t="str">
        <x:v>classification</x:v>
      </x:c>
      <x:c r="K129" s="28" t="str">
        <x:v>Finance operating schedule</x:v>
      </x:c>
      <x:c r="L129" s="34" t="str">
        <x:v>2026-06-30</x:v>
      </x:c>
      <x:c r="M129" s="28" t="str"/>
    </x:row>
    <x:row r="130">
      <x:c r="A130" s="37" t="str">
        <x:v>PLN-029X103</x:v>
      </x:c>
      <x:c r="B130" s="28" t="str">
        <x:v>Service revenue price-volume-mix variance</x:v>
      </x:c>
      <x:c r="C130" s="28" t="str">
        <x:v>Q3 service recovery action register execution sequencing</x:v>
      </x:c>
      <x:c r="D130" s="28" t="str">
        <x:v>Q1</x:v>
      </x:c>
      <x:c r="E130" s="28" t="str">
        <x:v>Management review</x:v>
      </x:c>
      <x:c r="F130" s="28" t="str">
        <x:v>Approved case</x:v>
      </x:c>
      <x:c r="G130" s="28" t="str">
        <x:v>Cash budget</x:v>
      </x:c>
      <x:c r="H130" s="31" t="n">
        <x:v>260000</x:v>
      </x:c>
      <x:c r="I130" s="28" t="str"/>
      <x:c r="J130" s="28" t="str">
        <x:v>USD</x:v>
      </x:c>
      <x:c r="K130" s="28" t="str">
        <x:v>Finance operating schedule</x:v>
      </x:c>
      <x:c r="L130" s="34" t="str">
        <x:v>2026-06-30</x:v>
      </x:c>
      <x:c r="M130" s="28" t="str"/>
    </x:row>
    <x:row r="131">
      <x:c r="A131" s="37" t="str">
        <x:v>PLN-029X104</x:v>
      </x:c>
      <x:c r="B131" s="28" t="str">
        <x:v>Service revenue price-volume-mix variance</x:v>
      </x:c>
      <x:c r="C131" s="28" t="str">
        <x:v>Q3 service recovery action register execution sequencing</x:v>
      </x:c>
      <x:c r="D131" s="28" t="str">
        <x:v>Q1</x:v>
      </x:c>
      <x:c r="E131" s="28" t="str">
        <x:v>Management review</x:v>
      </x:c>
      <x:c r="F131" s="28" t="str">
        <x:v>Approved case</x:v>
      </x:c>
      <x:c r="G131" s="28" t="str">
        <x:v>Capacity limit</x:v>
      </x:c>
      <x:c r="H131" s="31" t="n">
        <x:v>500</x:v>
      </x:c>
      <x:c r="I131" s="28" t="str"/>
      <x:c r="J131" s="28" t="str">
        <x:v>implementation hours</x:v>
      </x:c>
      <x:c r="K131" s="28" t="str">
        <x:v>Finance operating schedule</x:v>
      </x:c>
      <x:c r="L131" s="34" t="str">
        <x:v>2026-06-30</x:v>
      </x:c>
      <x:c r="M131" s="28" t="str"/>
    </x:row>
    <x:row r="132">
      <x:c r="A132" s="37" t="str">
        <x:v>PLN-029X105</x:v>
      </x:c>
      <x:c r="B132" s="28" t="str">
        <x:v>Service revenue price-volume-mix variance</x:v>
      </x:c>
      <x:c r="C132" s="28" t="str">
        <x:v>Q3 service recovery action register execution sequencing</x:v>
      </x:c>
      <x:c r="D132" s="28" t="str">
        <x:v>Q1</x:v>
      </x:c>
      <x:c r="E132" s="28" t="str">
        <x:v>Management review</x:v>
      </x:c>
      <x:c r="F132" s="28" t="str">
        <x:v>Approved case</x:v>
      </x:c>
      <x:c r="G132" s="28" t="str">
        <x:v>Maximum action starts</x:v>
      </x:c>
      <x:c r="H132" s="31" t="n">
        <x:v>2</x:v>
      </x:c>
      <x:c r="I132" s="28" t="str"/>
      <x:c r="J132" s="28" t="str">
        <x:v>count</x:v>
      </x:c>
      <x:c r="K132" s="28" t="str">
        <x:v>Finance operating schedule</x:v>
      </x:c>
      <x:c r="L132" s="34" t="str">
        <x:v>2026-06-30</x:v>
      </x:c>
      <x:c r="M132" s="28" t="str"/>
    </x:row>
    <x:row r="133">
      <x:c r="A133" s="37" t="str">
        <x:v>PLN-029X106</x:v>
      </x:c>
      <x:c r="B133" s="28" t="str">
        <x:v>Service revenue price-volume-mix variance</x:v>
      </x:c>
      <x:c r="C133" s="28" t="str">
        <x:v>Q3 service recovery action register execution sequencing</x:v>
      </x:c>
      <x:c r="D133" s="28" t="str">
        <x:v>Q1</x:v>
      </x:c>
      <x:c r="E133" s="28" t="str">
        <x:v>Management review</x:v>
      </x:c>
      <x:c r="F133" s="28" t="str">
        <x:v>Approved case</x:v>
      </x:c>
      <x:c r="G133" s="28" t="str">
        <x:v>Minimum expected net effect</x:v>
      </x:c>
      <x:c r="H133" s="31" t="n">
        <x:v>200</x:v>
      </x:c>
      <x:c r="I133" s="28" t="str"/>
      <x:c r="J133" s="28" t="str">
        <x:v>USD thousands</x:v>
      </x:c>
      <x:c r="K133" s="28" t="str">
        <x:v>Finance operating schedule</x:v>
      </x:c>
      <x:c r="L133" s="34" t="str">
        <x:v>2026-06-30</x:v>
      </x:c>
      <x:c r="M133" s="28" t="str"/>
    </x:row>
    <x:row r="134">
      <x:c r="A134" s="37" t="str">
        <x:v>PLN-029X107</x:v>
      </x:c>
      <x:c r="B134" s="28" t="str">
        <x:v>Service revenue price-volume-mix variance</x:v>
      </x:c>
      <x:c r="C134" s="28" t="str">
        <x:v>Q3 service recovery action register execution sequencing</x:v>
      </x:c>
      <x:c r="D134" s="28" t="str">
        <x:v>Q2</x:v>
      </x:c>
      <x:c r="E134" s="28" t="str">
        <x:v>Management review</x:v>
      </x:c>
      <x:c r="F134" s="28" t="str">
        <x:v>Approved case</x:v>
      </x:c>
      <x:c r="G134" s="28" t="str">
        <x:v>Cash budget</x:v>
      </x:c>
      <x:c r="H134" s="31" t="n">
        <x:v>300000</x:v>
      </x:c>
      <x:c r="I134" s="28" t="str"/>
      <x:c r="J134" s="28" t="str">
        <x:v>USD</x:v>
      </x:c>
      <x:c r="K134" s="28" t="str">
        <x:v>Finance operating schedule</x:v>
      </x:c>
      <x:c r="L134" s="34" t="str">
        <x:v>2026-06-30</x:v>
      </x:c>
      <x:c r="M134" s="28" t="str"/>
    </x:row>
    <x:row r="135">
      <x:c r="A135" s="37" t="str">
        <x:v>PLN-029X108</x:v>
      </x:c>
      <x:c r="B135" s="28" t="str">
        <x:v>Service revenue price-volume-mix variance</x:v>
      </x:c>
      <x:c r="C135" s="28" t="str">
        <x:v>Q3 service recovery action register execution sequencing</x:v>
      </x:c>
      <x:c r="D135" s="28" t="str">
        <x:v>Q2</x:v>
      </x:c>
      <x:c r="E135" s="28" t="str">
        <x:v>Management review</x:v>
      </x:c>
      <x:c r="F135" s="28" t="str">
        <x:v>Approved case</x:v>
      </x:c>
      <x:c r="G135" s="28" t="str">
        <x:v>Capacity limit</x:v>
      </x:c>
      <x:c r="H135" s="31" t="n">
        <x:v>500</x:v>
      </x:c>
      <x:c r="I135" s="28" t="str"/>
      <x:c r="J135" s="28" t="str">
        <x:v>implementation hours</x:v>
      </x:c>
      <x:c r="K135" s="28" t="str">
        <x:v>Finance operating schedule</x:v>
      </x:c>
      <x:c r="L135" s="34" t="str">
        <x:v>2026-06-30</x:v>
      </x:c>
      <x:c r="M135" s="28" t="str"/>
    </x:row>
    <x:row r="136">
      <x:c r="A136" s="37" t="str">
        <x:v>PLN-029X109</x:v>
      </x:c>
      <x:c r="B136" s="28" t="str">
        <x:v>Service revenue price-volume-mix variance</x:v>
      </x:c>
      <x:c r="C136" s="28" t="str">
        <x:v>Q3 service recovery action register execution sequencing</x:v>
      </x:c>
      <x:c r="D136" s="28" t="str">
        <x:v>Q2</x:v>
      </x:c>
      <x:c r="E136" s="28" t="str">
        <x:v>Management review</x:v>
      </x:c>
      <x:c r="F136" s="28" t="str">
        <x:v>Approved case</x:v>
      </x:c>
      <x:c r="G136" s="28" t="str">
        <x:v>Maximum action starts</x:v>
      </x:c>
      <x:c r="H136" s="31" t="n">
        <x:v>2</x:v>
      </x:c>
      <x:c r="I136" s="28" t="str"/>
      <x:c r="J136" s="28" t="str">
        <x:v>count</x:v>
      </x:c>
      <x:c r="K136" s="28" t="str">
        <x:v>Finance operating schedule</x:v>
      </x:c>
      <x:c r="L136" s="34" t="str">
        <x:v>2026-06-30</x:v>
      </x:c>
      <x:c r="M136" s="28" t="str"/>
    </x:row>
    <x:row r="137">
      <x:c r="A137" s="37" t="str">
        <x:v>PLN-029X110</x:v>
      </x:c>
      <x:c r="B137" s="28" t="str">
        <x:v>Service revenue price-volume-mix variance</x:v>
      </x:c>
      <x:c r="C137" s="28" t="str">
        <x:v>Q3 service recovery action register execution sequencing</x:v>
      </x:c>
      <x:c r="D137" s="28" t="str">
        <x:v>Q2</x:v>
      </x:c>
      <x:c r="E137" s="28" t="str">
        <x:v>Management review</x:v>
      </x:c>
      <x:c r="F137" s="28" t="str">
        <x:v>Approved case</x:v>
      </x:c>
      <x:c r="G137" s="28" t="str">
        <x:v>Minimum expected net effect</x:v>
      </x:c>
      <x:c r="H137" s="31" t="n">
        <x:v>125</x:v>
      </x:c>
      <x:c r="I137" s="28" t="str"/>
      <x:c r="J137" s="28" t="str">
        <x:v>USD thousands</x:v>
      </x:c>
      <x:c r="K137" s="28" t="str">
        <x:v>Finance operating schedule</x:v>
      </x:c>
      <x:c r="L137" s="34" t="str">
        <x:v>2026-06-30</x:v>
      </x:c>
      <x:c r="M137" s="28" t="str"/>
    </x:row>
    <x:row r="138">
      <x:c r="A138" s="37" t="str">
        <x:v>PLN-00610</x:v>
      </x:c>
      <x:c r="B138" s="28" t="str">
        <x:v>Service-contract cohort renewal forecast</x:v>
      </x:c>
      <x:c r="C138" s="28" t="str">
        <x:v>FY27 renewal assumptions</x:v>
      </x:c>
      <x:c r="D138" s="28" t="str">
        <x:v>C-2019</x:v>
      </x:c>
      <x:c r="E138" s="28" t="str">
        <x:v>FY27</x:v>
      </x:c>
      <x:c r="F138" s="28" t="str">
        <x:v>Approved case</x:v>
      </x:c>
      <x:c r="G138" s="28" t="str">
        <x:v>Gross renewal probability</x:v>
      </x:c>
      <x:c r="H138" s="31" t="n">
        <x:v>0.9</x:v>
      </x:c>
      <x:c r="I138" s="28" t="str"/>
      <x:c r="J138" s="28" t="str">
        <x:v>decimal ratio</x:v>
      </x:c>
      <x:c r="K138" s="28" t="str">
        <x:v>Finance operating schedule</x:v>
      </x:c>
      <x:c r="L138" s="34" t="str">
        <x:v>2026-06-30</x:v>
      </x:c>
      <x:c r="M138" s="28" t="str"/>
    </x:row>
    <x:row r="139">
      <x:c r="A139" s="37" t="str">
        <x:v>PLN-00611</x:v>
      </x:c>
      <x:c r="B139" s="28" t="str">
        <x:v>Service-contract cohort renewal forecast</x:v>
      </x:c>
      <x:c r="C139" s="28" t="str">
        <x:v>FY27 renewal assumptions</x:v>
      </x:c>
      <x:c r="D139" s="28" t="str">
        <x:v>C-2019</x:v>
      </x:c>
      <x:c r="E139" s="28" t="str">
        <x:v>FY27</x:v>
      </x:c>
      <x:c r="F139" s="28" t="str">
        <x:v>Approved case</x:v>
      </x:c>
      <x:c r="G139" s="28" t="str">
        <x:v>Contractual price escalation</x:v>
      </x:c>
      <x:c r="H139" s="31" t="n">
        <x:v>0.04</x:v>
      </x:c>
      <x:c r="I139" s="28" t="str"/>
      <x:c r="J139" s="28" t="str">
        <x:v>decimal ratio</x:v>
      </x:c>
      <x:c r="K139" s="28" t="str">
        <x:v>Finance operating schedule</x:v>
      </x:c>
      <x:c r="L139" s="34" t="str">
        <x:v>2026-06-30</x:v>
      </x:c>
      <x:c r="M139" s="28" t="str"/>
    </x:row>
    <x:row r="140">
      <x:c r="A140" s="37" t="str">
        <x:v>PLN-00612</x:v>
      </x:c>
      <x:c r="B140" s="28" t="str">
        <x:v>Service-contract cohort renewal forecast</x:v>
      </x:c>
      <x:c r="C140" s="28" t="str">
        <x:v>FY27 renewal assumptions</x:v>
      </x:c>
      <x:c r="D140" s="28" t="str">
        <x:v>C-2019</x:v>
      </x:c>
      <x:c r="E140" s="28" t="str">
        <x:v>FY27</x:v>
      </x:c>
      <x:c r="F140" s="28" t="str">
        <x:v>Approved case</x:v>
      </x:c>
      <x:c r="G140" s="28" t="str">
        <x:v>Expected downsell after renewal</x:v>
      </x:c>
      <x:c r="H140" s="31" t="n">
        <x:v>0.06</x:v>
      </x:c>
      <x:c r="I140" s="28" t="str"/>
      <x:c r="J140" s="28" t="str">
        <x:v>decimal ratio</x:v>
      </x:c>
      <x:c r="K140" s="28" t="str">
        <x:v>Finance operating schedule</x:v>
      </x:c>
      <x:c r="L140" s="34" t="str">
        <x:v>2026-06-30</x:v>
      </x:c>
      <x:c r="M140" s="28" t="str"/>
    </x:row>
    <x:row r="141">
      <x:c r="A141" s="37" t="str">
        <x:v>PLN-00613</x:v>
      </x:c>
      <x:c r="B141" s="28" t="str">
        <x:v>Service-contract cohort renewal forecast</x:v>
      </x:c>
      <x:c r="C141" s="28" t="str">
        <x:v>FY27 renewal assumptions</x:v>
      </x:c>
      <x:c r="D141" s="28" t="str">
        <x:v>C-2019</x:v>
      </x:c>
      <x:c r="E141" s="28" t="str">
        <x:v>FY27</x:v>
      </x:c>
      <x:c r="F141" s="28" t="str">
        <x:v>Approved case</x:v>
      </x:c>
      <x:c r="G141" s="28" t="str">
        <x:v>Signed expansion ARR</x:v>
      </x:c>
      <x:c r="H141" s="31" t="n">
        <x:v>210000</x:v>
      </x:c>
      <x:c r="I141" s="28" t="str"/>
      <x:c r="J141" s="28" t="str">
        <x:v>USD</x:v>
      </x:c>
      <x:c r="K141" s="28" t="str">
        <x:v>Finance operating schedule</x:v>
      </x:c>
      <x:c r="L141" s="34" t="str">
        <x:v>2026-06-30</x:v>
      </x:c>
      <x:c r="M141" s="28" t="str"/>
    </x:row>
    <x:row r="142">
      <x:c r="A142" s="37" t="str">
        <x:v>PLN-00614</x:v>
      </x:c>
      <x:c r="B142" s="28" t="str">
        <x:v>Service-contract cohort renewal forecast</x:v>
      </x:c>
      <x:c r="C142" s="28" t="str">
        <x:v>FY27 renewal assumptions</x:v>
      </x:c>
      <x:c r="D142" s="28" t="str">
        <x:v>C-2019</x:v>
      </x:c>
      <x:c r="E142" s="28" t="str">
        <x:v>FY27</x:v>
      </x:c>
      <x:c r="F142" s="28" t="str">
        <x:v>Approved case</x:v>
      </x:c>
      <x:c r="G142" s="28" t="str">
        <x:v>Expansion revenue start month</x:v>
      </x:c>
      <x:c r="H142" s="31" t="str"/>
      <x:c r="I142" s="28" t="str">
        <x:v>2026-07</x:v>
      </x:c>
      <x:c r="J142" s="28" t="str">
        <x:v>classification</x:v>
      </x:c>
      <x:c r="K142" s="28" t="str">
        <x:v>Finance operating schedule</x:v>
      </x:c>
      <x:c r="L142" s="34" t="str">
        <x:v>2026-06-30</x:v>
      </x:c>
      <x:c r="M142" s="28" t="str"/>
    </x:row>
    <x:row r="143">
      <x:c r="A143" s="37" t="str">
        <x:v>PLN-00615</x:v>
      </x:c>
      <x:c r="B143" s="28" t="str">
        <x:v>Service-contract cohort renewal forecast</x:v>
      </x:c>
      <x:c r="C143" s="28" t="str">
        <x:v>FY27 renewal assumptions</x:v>
      </x:c>
      <x:c r="D143" s="28" t="str">
        <x:v>C-2019</x:v>
      </x:c>
      <x:c r="E143" s="28" t="str">
        <x:v>FY27</x:v>
      </x:c>
      <x:c r="F143" s="28" t="str">
        <x:v>Approved case</x:v>
      </x:c>
      <x:c r="G143" s="28" t="str">
        <x:v>Contract status</x:v>
      </x:c>
      <x:c r="H143" s="31" t="str"/>
      <x:c r="I143" s="28" t="str">
        <x:v>Annual renewal</x:v>
      </x:c>
      <x:c r="J143" s="28" t="str">
        <x:v>classification</x:v>
      </x:c>
      <x:c r="K143" s="28" t="str">
        <x:v>Finance operating schedule</x:v>
      </x:c>
      <x:c r="L143" s="34" t="str">
        <x:v>2026-06-30</x:v>
      </x:c>
      <x:c r="M143" s="28" t="str"/>
    </x:row>
    <x:row r="144">
      <x:c r="A144" s="37" t="str">
        <x:v>PLN-00617</x:v>
      </x:c>
      <x:c r="B144" s="28" t="str">
        <x:v>Service-contract cohort renewal forecast</x:v>
      </x:c>
      <x:c r="C144" s="28" t="str">
        <x:v>FY27 renewal assumptions</x:v>
      </x:c>
      <x:c r="D144" s="28" t="str">
        <x:v>C-2020</x:v>
      </x:c>
      <x:c r="E144" s="28" t="str">
        <x:v>FY27</x:v>
      </x:c>
      <x:c r="F144" s="28" t="str">
        <x:v>Approved case</x:v>
      </x:c>
      <x:c r="G144" s="28" t="str">
        <x:v>Gross renewal probability</x:v>
      </x:c>
      <x:c r="H144" s="31" t="n">
        <x:v>0.92</x:v>
      </x:c>
      <x:c r="I144" s="28" t="str"/>
      <x:c r="J144" s="28" t="str">
        <x:v>decimal ratio</x:v>
      </x:c>
      <x:c r="K144" s="28" t="str">
        <x:v>Finance operating schedule</x:v>
      </x:c>
      <x:c r="L144" s="34" t="str">
        <x:v>2026-06-30</x:v>
      </x:c>
      <x:c r="M144" s="28" t="str"/>
    </x:row>
    <x:row r="145">
      <x:c r="A145" s="37" t="str">
        <x:v>PLN-00618</x:v>
      </x:c>
      <x:c r="B145" s="28" t="str">
        <x:v>Service-contract cohort renewal forecast</x:v>
      </x:c>
      <x:c r="C145" s="28" t="str">
        <x:v>FY27 renewal assumptions</x:v>
      </x:c>
      <x:c r="D145" s="28" t="str">
        <x:v>C-2020</x:v>
      </x:c>
      <x:c r="E145" s="28" t="str">
        <x:v>FY27</x:v>
      </x:c>
      <x:c r="F145" s="28" t="str">
        <x:v>Approved case</x:v>
      </x:c>
      <x:c r="G145" s="28" t="str">
        <x:v>Contractual price escalation</x:v>
      </x:c>
      <x:c r="H145" s="31" t="n">
        <x:v>0.03</x:v>
      </x:c>
      <x:c r="I145" s="28" t="str"/>
      <x:c r="J145" s="28" t="str">
        <x:v>decimal ratio</x:v>
      </x:c>
      <x:c r="K145" s="28" t="str">
        <x:v>Finance operating schedule</x:v>
      </x:c>
      <x:c r="L145" s="34" t="str">
        <x:v>2026-06-30</x:v>
      </x:c>
      <x:c r="M145" s="28" t="str"/>
    </x:row>
    <x:row r="146">
      <x:c r="A146" s="37" t="str">
        <x:v>PLN-00619</x:v>
      </x:c>
      <x:c r="B146" s="28" t="str">
        <x:v>Service-contract cohort renewal forecast</x:v>
      </x:c>
      <x:c r="C146" s="28" t="str">
        <x:v>FY27 renewal assumptions</x:v>
      </x:c>
      <x:c r="D146" s="28" t="str">
        <x:v>C-2020</x:v>
      </x:c>
      <x:c r="E146" s="28" t="str">
        <x:v>FY27</x:v>
      </x:c>
      <x:c r="F146" s="28" t="str">
        <x:v>Approved case</x:v>
      </x:c>
      <x:c r="G146" s="28" t="str">
        <x:v>Expected downsell after renewal</x:v>
      </x:c>
      <x:c r="H146" s="31" t="n">
        <x:v>0.05</x:v>
      </x:c>
      <x:c r="I146" s="28" t="str"/>
      <x:c r="J146" s="28" t="str">
        <x:v>decimal ratio</x:v>
      </x:c>
      <x:c r="K146" s="28" t="str">
        <x:v>Finance operating schedule</x:v>
      </x:c>
      <x:c r="L146" s="34" t="str">
        <x:v>2026-06-30</x:v>
      </x:c>
      <x:c r="M146" s="28" t="str"/>
    </x:row>
    <x:row r="147">
      <x:c r="A147" s="37" t="str">
        <x:v>PLN-00620</x:v>
      </x:c>
      <x:c r="B147" s="28" t="str">
        <x:v>Service-contract cohort renewal forecast</x:v>
      </x:c>
      <x:c r="C147" s="28" t="str">
        <x:v>FY27 renewal assumptions</x:v>
      </x:c>
      <x:c r="D147" s="28" t="str">
        <x:v>C-2020</x:v>
      </x:c>
      <x:c r="E147" s="28" t="str">
        <x:v>FY27</x:v>
      </x:c>
      <x:c r="F147" s="28" t="str">
        <x:v>Approved case</x:v>
      </x:c>
      <x:c r="G147" s="28" t="str">
        <x:v>Signed expansion ARR</x:v>
      </x:c>
      <x:c r="H147" s="31" t="n">
        <x:v>180</x:v>
      </x:c>
      <x:c r="I147" s="28" t="str"/>
      <x:c r="J147" s="28" t="str">
        <x:v>USD thousands</x:v>
      </x:c>
      <x:c r="K147" s="28" t="str">
        <x:v>Finance operating schedule</x:v>
      </x:c>
      <x:c r="L147" s="34" t="str">
        <x:v>2026-06-30</x:v>
      </x:c>
      <x:c r="M147" s="28" t="str"/>
    </x:row>
    <x:row r="148">
      <x:c r="A148" s="37" t="str">
        <x:v>PLN-00621</x:v>
      </x:c>
      <x:c r="B148" s="28" t="str">
        <x:v>Service-contract cohort renewal forecast</x:v>
      </x:c>
      <x:c r="C148" s="28" t="str">
        <x:v>FY27 renewal assumptions</x:v>
      </x:c>
      <x:c r="D148" s="28" t="str">
        <x:v>C-2020</x:v>
      </x:c>
      <x:c r="E148" s="28" t="str">
        <x:v>FY27</x:v>
      </x:c>
      <x:c r="F148" s="28" t="str">
        <x:v>Approved case</x:v>
      </x:c>
      <x:c r="G148" s="28" t="str">
        <x:v>Expansion revenue start month</x:v>
      </x:c>
      <x:c r="H148" s="31" t="str"/>
      <x:c r="I148" s="28" t="str">
        <x:v>2026-08</x:v>
      </x:c>
      <x:c r="J148" s="28" t="str">
        <x:v>classification</x:v>
      </x:c>
      <x:c r="K148" s="28" t="str">
        <x:v>Finance operating schedule</x:v>
      </x:c>
      <x:c r="L148" s="34" t="str">
        <x:v>2026-06-30</x:v>
      </x:c>
      <x:c r="M148" s="28" t="str"/>
    </x:row>
    <x:row r="149">
      <x:c r="A149" s="37" t="str">
        <x:v>PLN-00622</x:v>
      </x:c>
      <x:c r="B149" s="28" t="str">
        <x:v>Service-contract cohort renewal forecast</x:v>
      </x:c>
      <x:c r="C149" s="28" t="str">
        <x:v>FY27 renewal assumptions</x:v>
      </x:c>
      <x:c r="D149" s="28" t="str">
        <x:v>C-2020</x:v>
      </x:c>
      <x:c r="E149" s="28" t="str">
        <x:v>FY27</x:v>
      </x:c>
      <x:c r="F149" s="28" t="str">
        <x:v>Approved case</x:v>
      </x:c>
      <x:c r="G149" s="28" t="str">
        <x:v>Contract status</x:v>
      </x:c>
      <x:c r="H149" s="31" t="str"/>
      <x:c r="I149" s="28" t="str">
        <x:v>Annual renewal</x:v>
      </x:c>
      <x:c r="J149" s="28" t="str">
        <x:v>classification</x:v>
      </x:c>
      <x:c r="K149" s="28" t="str">
        <x:v>Finance operating schedule</x:v>
      </x:c>
      <x:c r="L149" s="34" t="str">
        <x:v>2026-06-30</x:v>
      </x:c>
      <x:c r="M149" s="28" t="str"/>
    </x:row>
    <x:row r="150">
      <x:c r="A150" s="37" t="str">
        <x:v>PLN-00624</x:v>
      </x:c>
      <x:c r="B150" s="28" t="str">
        <x:v>Service-contract cohort renewal forecast</x:v>
      </x:c>
      <x:c r="C150" s="28" t="str">
        <x:v>FY27 renewal assumptions</x:v>
      </x:c>
      <x:c r="D150" s="28" t="str">
        <x:v>C-2021</x:v>
      </x:c>
      <x:c r="E150" s="28" t="str">
        <x:v>FY27</x:v>
      </x:c>
      <x:c r="F150" s="28" t="str">
        <x:v>Approved case</x:v>
      </x:c>
      <x:c r="G150" s="28" t="str">
        <x:v>Gross renewal probability</x:v>
      </x:c>
      <x:c r="H150" s="31" t="n">
        <x:v>0.94</x:v>
      </x:c>
      <x:c r="I150" s="28" t="str"/>
      <x:c r="J150" s="28" t="str">
        <x:v>decimal ratio</x:v>
      </x:c>
      <x:c r="K150" s="28" t="str">
        <x:v>Finance operating schedule</x:v>
      </x:c>
      <x:c r="L150" s="34" t="str">
        <x:v>2026-06-30</x:v>
      </x:c>
      <x:c r="M150" s="28" t="str"/>
    </x:row>
    <x:row r="151">
      <x:c r="A151" s="37" t="str">
        <x:v>PLN-00625</x:v>
      </x:c>
      <x:c r="B151" s="28" t="str">
        <x:v>Service-contract cohort renewal forecast</x:v>
      </x:c>
      <x:c r="C151" s="28" t="str">
        <x:v>FY27 renewal assumptions</x:v>
      </x:c>
      <x:c r="D151" s="28" t="str">
        <x:v>C-2021</x:v>
      </x:c>
      <x:c r="E151" s="28" t="str">
        <x:v>FY27</x:v>
      </x:c>
      <x:c r="F151" s="28" t="str">
        <x:v>Approved case</x:v>
      </x:c>
      <x:c r="G151" s="28" t="str">
        <x:v>Contractual price escalation</x:v>
      </x:c>
      <x:c r="H151" s="31" t="n">
        <x:v>0.04</x:v>
      </x:c>
      <x:c r="I151" s="28" t="str"/>
      <x:c r="J151" s="28" t="str">
        <x:v>decimal ratio</x:v>
      </x:c>
      <x:c r="K151" s="28" t="str">
        <x:v>Finance operating schedule</x:v>
      </x:c>
      <x:c r="L151" s="34" t="str">
        <x:v>2026-06-30</x:v>
      </x:c>
      <x:c r="M151" s="28" t="str"/>
    </x:row>
    <x:row r="152">
      <x:c r="A152" s="37" t="str">
        <x:v>PLN-00626</x:v>
      </x:c>
      <x:c r="B152" s="28" t="str">
        <x:v>Service-contract cohort renewal forecast</x:v>
      </x:c>
      <x:c r="C152" s="28" t="str">
        <x:v>FY27 renewal assumptions</x:v>
      </x:c>
      <x:c r="D152" s="28" t="str">
        <x:v>C-2021</x:v>
      </x:c>
      <x:c r="E152" s="28" t="str">
        <x:v>FY27</x:v>
      </x:c>
      <x:c r="F152" s="28" t="str">
        <x:v>Approved case</x:v>
      </x:c>
      <x:c r="G152" s="28" t="str">
        <x:v>Expected downsell after renewal</x:v>
      </x:c>
      <x:c r="H152" s="31" t="n">
        <x:v>0.04</x:v>
      </x:c>
      <x:c r="I152" s="28" t="str"/>
      <x:c r="J152" s="28" t="str">
        <x:v>decimal ratio</x:v>
      </x:c>
      <x:c r="K152" s="28" t="str">
        <x:v>Finance operating schedule</x:v>
      </x:c>
      <x:c r="L152" s="34" t="str">
        <x:v>2026-06-30</x:v>
      </x:c>
      <x:c r="M152" s="28" t="str"/>
    </x:row>
    <x:row r="153">
      <x:c r="A153" s="37" t="str">
        <x:v>PLN-00627</x:v>
      </x:c>
      <x:c r="B153" s="28" t="str">
        <x:v>Service-contract cohort renewal forecast</x:v>
      </x:c>
      <x:c r="C153" s="28" t="str">
        <x:v>FY27 renewal assumptions</x:v>
      </x:c>
      <x:c r="D153" s="28" t="str">
        <x:v>C-2021</x:v>
      </x:c>
      <x:c r="E153" s="28" t="str">
        <x:v>FY27</x:v>
      </x:c>
      <x:c r="F153" s="28" t="str">
        <x:v>Approved case</x:v>
      </x:c>
      <x:c r="G153" s="28" t="str">
        <x:v>Signed expansion ARR</x:v>
      </x:c>
      <x:c r="H153" s="31" t="n">
        <x:v>250000</x:v>
      </x:c>
      <x:c r="I153" s="28" t="str"/>
      <x:c r="J153" s="28" t="str">
        <x:v>USD</x:v>
      </x:c>
      <x:c r="K153" s="28" t="str">
        <x:v>Finance operating schedule</x:v>
      </x:c>
      <x:c r="L153" s="34" t="str">
        <x:v>2026-06-30</x:v>
      </x:c>
      <x:c r="M153" s="28" t="str"/>
    </x:row>
    <x:row r="154">
      <x:c r="A154" s="37" t="str">
        <x:v>PLN-00628</x:v>
      </x:c>
      <x:c r="B154" s="28" t="str">
        <x:v>Service-contract cohort renewal forecast</x:v>
      </x:c>
      <x:c r="C154" s="28" t="str">
        <x:v>FY27 renewal assumptions</x:v>
      </x:c>
      <x:c r="D154" s="28" t="str">
        <x:v>C-2021</x:v>
      </x:c>
      <x:c r="E154" s="28" t="str">
        <x:v>FY27</x:v>
      </x:c>
      <x:c r="F154" s="28" t="str">
        <x:v>Approved case</x:v>
      </x:c>
      <x:c r="G154" s="28" t="str">
        <x:v>Expansion revenue start month</x:v>
      </x:c>
      <x:c r="H154" s="31" t="str"/>
      <x:c r="I154" s="28" t="str">
        <x:v>2026-09</x:v>
      </x:c>
      <x:c r="J154" s="28" t="str">
        <x:v>classification</x:v>
      </x:c>
      <x:c r="K154" s="28" t="str">
        <x:v>Finance operating schedule</x:v>
      </x:c>
      <x:c r="L154" s="34" t="str">
        <x:v>2026-06-30</x:v>
      </x:c>
      <x:c r="M154" s="28" t="str"/>
    </x:row>
    <x:row r="155">
      <x:c r="A155" s="37" t="str">
        <x:v>PLN-00629</x:v>
      </x:c>
      <x:c r="B155" s="28" t="str">
        <x:v>Service-contract cohort renewal forecast</x:v>
      </x:c>
      <x:c r="C155" s="28" t="str">
        <x:v>FY27 renewal assumptions</x:v>
      </x:c>
      <x:c r="D155" s="28" t="str">
        <x:v>C-2021</x:v>
      </x:c>
      <x:c r="E155" s="28" t="str">
        <x:v>FY27</x:v>
      </x:c>
      <x:c r="F155" s="28" t="str">
        <x:v>Approved case</x:v>
      </x:c>
      <x:c r="G155" s="28" t="str">
        <x:v>Contract status</x:v>
      </x:c>
      <x:c r="H155" s="31" t="str"/>
      <x:c r="I155" s="28" t="str">
        <x:v>Annual renewal</x:v>
      </x:c>
      <x:c r="J155" s="28" t="str">
        <x:v>classification</x:v>
      </x:c>
      <x:c r="K155" s="28" t="str">
        <x:v>Finance operating schedule</x:v>
      </x:c>
      <x:c r="L155" s="34" t="str">
        <x:v>2026-06-30</x:v>
      </x:c>
      <x:c r="M155" s="28" t="str"/>
    </x:row>
    <x:row r="156">
      <x:c r="A156" s="37" t="str">
        <x:v>PLN-00631</x:v>
      </x:c>
      <x:c r="B156" s="28" t="str">
        <x:v>Service-contract cohort renewal forecast</x:v>
      </x:c>
      <x:c r="C156" s="28" t="str">
        <x:v>FY27 renewal assumptions</x:v>
      </x:c>
      <x:c r="D156" s="28" t="str">
        <x:v>C-2022</x:v>
      </x:c>
      <x:c r="E156" s="28" t="str">
        <x:v>FY27</x:v>
      </x:c>
      <x:c r="F156" s="28" t="str">
        <x:v>Approved case</x:v>
      </x:c>
      <x:c r="G156" s="28" t="str">
        <x:v>Gross renewal probability</x:v>
      </x:c>
      <x:c r="H156" s="31" t="n">
        <x:v>1</x:v>
      </x:c>
      <x:c r="I156" s="28" t="str"/>
      <x:c r="J156" s="28" t="str">
        <x:v>decimal ratio</x:v>
      </x:c>
      <x:c r="K156" s="28" t="str">
        <x:v>Finance operating schedule</x:v>
      </x:c>
      <x:c r="L156" s="34" t="str">
        <x:v>2026-06-30</x:v>
      </x:c>
      <x:c r="M156" s="28" t="str"/>
    </x:row>
    <x:row r="157">
      <x:c r="A157" s="37" t="str">
        <x:v>PLN-00632</x:v>
      </x:c>
      <x:c r="B157" s="28" t="str">
        <x:v>Service-contract cohort renewal forecast</x:v>
      </x:c>
      <x:c r="C157" s="28" t="str">
        <x:v>FY27 renewal assumptions</x:v>
      </x:c>
      <x:c r="D157" s="28" t="str">
        <x:v>C-2022</x:v>
      </x:c>
      <x:c r="E157" s="28" t="str">
        <x:v>FY27</x:v>
      </x:c>
      <x:c r="F157" s="28" t="str">
        <x:v>Approved case</x:v>
      </x:c>
      <x:c r="G157" s="28" t="str">
        <x:v>Contractual price escalation</x:v>
      </x:c>
      <x:c r="H157" s="31" t="n">
        <x:v>0.025</x:v>
      </x:c>
      <x:c r="I157" s="28" t="str"/>
      <x:c r="J157" s="28" t="str">
        <x:v>decimal ratio</x:v>
      </x:c>
      <x:c r="K157" s="28" t="str">
        <x:v>Finance operating schedule</x:v>
      </x:c>
      <x:c r="L157" s="34" t="str">
        <x:v>2026-06-30</x:v>
      </x:c>
      <x:c r="M157" s="28" t="str"/>
    </x:row>
    <x:row r="158">
      <x:c r="A158" s="37" t="str">
        <x:v>PLN-00633</x:v>
      </x:c>
      <x:c r="B158" s="28" t="str">
        <x:v>Service-contract cohort renewal forecast</x:v>
      </x:c>
      <x:c r="C158" s="28" t="str">
        <x:v>FY27 renewal assumptions</x:v>
      </x:c>
      <x:c r="D158" s="28" t="str">
        <x:v>C-2022</x:v>
      </x:c>
      <x:c r="E158" s="28" t="str">
        <x:v>FY27</x:v>
      </x:c>
      <x:c r="F158" s="28" t="str">
        <x:v>Approved case</x:v>
      </x:c>
      <x:c r="G158" s="28" t="str">
        <x:v>Expected downsell after renewal</x:v>
      </x:c>
      <x:c r="H158" s="31" t="n">
        <x:v>0</x:v>
      </x:c>
      <x:c r="I158" s="28" t="str"/>
      <x:c r="J158" s="28" t="str">
        <x:v>decimal ratio</x:v>
      </x:c>
      <x:c r="K158" s="28" t="str">
        <x:v>Finance operating schedule</x:v>
      </x:c>
      <x:c r="L158" s="34" t="str">
        <x:v>2026-06-30</x:v>
      </x:c>
      <x:c r="M158" s="28" t="str"/>
    </x:row>
    <x:row r="159">
      <x:c r="A159" s="37" t="str">
        <x:v>PLN-00634</x:v>
      </x:c>
      <x:c r="B159" s="28" t="str">
        <x:v>Service-contract cohort renewal forecast</x:v>
      </x:c>
      <x:c r="C159" s="28" t="str">
        <x:v>FY27 renewal assumptions</x:v>
      </x:c>
      <x:c r="D159" s="28" t="str">
        <x:v>C-2022</x:v>
      </x:c>
      <x:c r="E159" s="28" t="str">
        <x:v>FY27</x:v>
      </x:c>
      <x:c r="F159" s="28" t="str">
        <x:v>Approved case</x:v>
      </x:c>
      <x:c r="G159" s="28" t="str">
        <x:v>Signed expansion ARR</x:v>
      </x:c>
      <x:c r="H159" s="31" t="n">
        <x:v>160000</x:v>
      </x:c>
      <x:c r="I159" s="28" t="str"/>
      <x:c r="J159" s="28" t="str">
        <x:v>USD</x:v>
      </x:c>
      <x:c r="K159" s="28" t="str">
        <x:v>Finance operating schedule</x:v>
      </x:c>
      <x:c r="L159" s="34" t="str">
        <x:v>2026-06-30</x:v>
      </x:c>
      <x:c r="M159" s="28" t="str"/>
    </x:row>
    <x:row r="160">
      <x:c r="A160" s="37" t="str">
        <x:v>PLN-00635</x:v>
      </x:c>
      <x:c r="B160" s="28" t="str">
        <x:v>Service-contract cohort renewal forecast</x:v>
      </x:c>
      <x:c r="C160" s="28" t="str">
        <x:v>FY27 renewal assumptions</x:v>
      </x:c>
      <x:c r="D160" s="28" t="str">
        <x:v>C-2022</x:v>
      </x:c>
      <x:c r="E160" s="28" t="str">
        <x:v>FY27</x:v>
      </x:c>
      <x:c r="F160" s="28" t="str">
        <x:v>Approved case</x:v>
      </x:c>
      <x:c r="G160" s="28" t="str">
        <x:v>Expansion revenue start month</x:v>
      </x:c>
      <x:c r="H160" s="31" t="str"/>
      <x:c r="I160" s="28" t="str">
        <x:v>2026-10</x:v>
      </x:c>
      <x:c r="J160" s="28" t="str">
        <x:v>classification</x:v>
      </x:c>
      <x:c r="K160" s="28" t="str">
        <x:v>Finance operating schedule</x:v>
      </x:c>
      <x:c r="L160" s="34" t="str">
        <x:v>2026-06-30</x:v>
      </x:c>
      <x:c r="M160" s="28" t="str"/>
    </x:row>
    <x:row r="161">
      <x:c r="A161" s="37" t="str">
        <x:v>PLN-00636</x:v>
      </x:c>
      <x:c r="B161" s="28" t="str">
        <x:v>Service-contract cohort renewal forecast</x:v>
      </x:c>
      <x:c r="C161" s="28" t="str">
        <x:v>FY27 renewal assumptions</x:v>
      </x:c>
      <x:c r="D161" s="28" t="str">
        <x:v>C-2022</x:v>
      </x:c>
      <x:c r="E161" s="28" t="str">
        <x:v>FY27</x:v>
      </x:c>
      <x:c r="F161" s="28" t="str">
        <x:v>Approved case</x:v>
      </x:c>
      <x:c r="G161" s="28" t="str">
        <x:v>Contract status</x:v>
      </x:c>
      <x:c r="H161" s="31" t="str"/>
      <x:c r="I161" s="28" t="str">
        <x:v>Signed multiyear</x:v>
      </x:c>
      <x:c r="J161" s="28" t="str">
        <x:v>classification</x:v>
      </x:c>
      <x:c r="K161" s="28" t="str">
        <x:v>Finance operating schedule</x:v>
      </x:c>
      <x:c r="L161" s="34" t="str">
        <x:v>2026-06-30</x:v>
      </x:c>
      <x:c r="M161" s="28" t="str"/>
    </x:row>
    <x:row r="162">
      <x:c r="A162" s="37" t="str">
        <x:v>PLN-00638</x:v>
      </x:c>
      <x:c r="B162" s="28" t="str">
        <x:v>Service-contract cohort renewal forecast</x:v>
      </x:c>
      <x:c r="C162" s="28" t="str">
        <x:v>FY27 renewal assumptions</x:v>
      </x:c>
      <x:c r="D162" s="28" t="str">
        <x:v>C-2023</x:v>
      </x:c>
      <x:c r="E162" s="28" t="str">
        <x:v>FY27</x:v>
      </x:c>
      <x:c r="F162" s="28" t="str">
        <x:v>Approved case</x:v>
      </x:c>
      <x:c r="G162" s="28" t="str">
        <x:v>Gross renewal probability</x:v>
      </x:c>
      <x:c r="H162" s="31" t="n">
        <x:v>0.91</x:v>
      </x:c>
      <x:c r="I162" s="28" t="str"/>
      <x:c r="J162" s="28" t="str">
        <x:v>decimal ratio</x:v>
      </x:c>
      <x:c r="K162" s="28" t="str">
        <x:v>Finance operating schedule</x:v>
      </x:c>
      <x:c r="L162" s="34" t="str">
        <x:v>2026-06-30</x:v>
      </x:c>
      <x:c r="M162" s="28" t="str"/>
    </x:row>
    <x:row r="163">
      <x:c r="A163" s="37" t="str">
        <x:v>PLN-00639</x:v>
      </x:c>
      <x:c r="B163" s="28" t="str">
        <x:v>Service-contract cohort renewal forecast</x:v>
      </x:c>
      <x:c r="C163" s="28" t="str">
        <x:v>FY27 renewal assumptions</x:v>
      </x:c>
      <x:c r="D163" s="28" t="str">
        <x:v>C-2023</x:v>
      </x:c>
      <x:c r="E163" s="28" t="str">
        <x:v>FY27</x:v>
      </x:c>
      <x:c r="F163" s="28" t="str">
        <x:v>Approved case</x:v>
      </x:c>
      <x:c r="G163" s="28" t="str">
        <x:v>Contractual price escalation</x:v>
      </x:c>
      <x:c r="H163" s="31" t="n">
        <x:v>0.05</x:v>
      </x:c>
      <x:c r="I163" s="28" t="str"/>
      <x:c r="J163" s="28" t="str">
        <x:v>decimal ratio</x:v>
      </x:c>
      <x:c r="K163" s="28" t="str">
        <x:v>Finance operating schedule</x:v>
      </x:c>
      <x:c r="L163" s="34" t="str">
        <x:v>2026-06-30</x:v>
      </x:c>
      <x:c r="M163" s="28" t="str"/>
    </x:row>
    <x:row r="164">
      <x:c r="A164" s="37" t="str">
        <x:v>PLN-00640</x:v>
      </x:c>
      <x:c r="B164" s="28" t="str">
        <x:v>Service-contract cohort renewal forecast</x:v>
      </x:c>
      <x:c r="C164" s="28" t="str">
        <x:v>FY27 renewal assumptions</x:v>
      </x:c>
      <x:c r="D164" s="28" t="str">
        <x:v>C-2023</x:v>
      </x:c>
      <x:c r="E164" s="28" t="str">
        <x:v>FY27</x:v>
      </x:c>
      <x:c r="F164" s="28" t="str">
        <x:v>Approved case</x:v>
      </x:c>
      <x:c r="G164" s="28" t="str">
        <x:v>Expected downsell after renewal</x:v>
      </x:c>
      <x:c r="H164" s="31" t="n">
        <x:v>0.07</x:v>
      </x:c>
      <x:c r="I164" s="28" t="str"/>
      <x:c r="J164" s="28" t="str">
        <x:v>decimal ratio</x:v>
      </x:c>
      <x:c r="K164" s="28" t="str">
        <x:v>Finance operating schedule</x:v>
      </x:c>
      <x:c r="L164" s="34" t="str">
        <x:v>2026-06-30</x:v>
      </x:c>
      <x:c r="M164" s="28" t="str"/>
    </x:row>
    <x:row r="165">
      <x:c r="A165" s="37" t="str">
        <x:v>PLN-00641</x:v>
      </x:c>
      <x:c r="B165" s="28" t="str">
        <x:v>Service-contract cohort renewal forecast</x:v>
      </x:c>
      <x:c r="C165" s="28" t="str">
        <x:v>FY27 renewal assumptions</x:v>
      </x:c>
      <x:c r="D165" s="28" t="str">
        <x:v>C-2023</x:v>
      </x:c>
      <x:c r="E165" s="28" t="str">
        <x:v>FY27</x:v>
      </x:c>
      <x:c r="F165" s="28" t="str">
        <x:v>Approved case</x:v>
      </x:c>
      <x:c r="G165" s="28" t="str">
        <x:v>Signed expansion ARR</x:v>
      </x:c>
      <x:c r="H165" s="31" t="n">
        <x:v>280000</x:v>
      </x:c>
      <x:c r="I165" s="28" t="str"/>
      <x:c r="J165" s="28" t="str">
        <x:v>USD</x:v>
      </x:c>
      <x:c r="K165" s="28" t="str">
        <x:v>Finance operating schedule</x:v>
      </x:c>
      <x:c r="L165" s="34" t="str">
        <x:v>2026-06-30</x:v>
      </x:c>
      <x:c r="M165" s="28" t="str"/>
    </x:row>
    <x:row r="166">
      <x:c r="A166" s="37" t="str">
        <x:v>PLN-00642</x:v>
      </x:c>
      <x:c r="B166" s="28" t="str">
        <x:v>Service-contract cohort renewal forecast</x:v>
      </x:c>
      <x:c r="C166" s="28" t="str">
        <x:v>FY27 renewal assumptions</x:v>
      </x:c>
      <x:c r="D166" s="28" t="str">
        <x:v>C-2023</x:v>
      </x:c>
      <x:c r="E166" s="28" t="str">
        <x:v>FY27</x:v>
      </x:c>
      <x:c r="F166" s="28" t="str">
        <x:v>Approved case</x:v>
      </x:c>
      <x:c r="G166" s="28" t="str">
        <x:v>Expansion revenue start month</x:v>
      </x:c>
      <x:c r="H166" s="31" t="str"/>
      <x:c r="I166" s="28" t="str">
        <x:v>2026-11</x:v>
      </x:c>
      <x:c r="J166" s="28" t="str">
        <x:v>classification</x:v>
      </x:c>
      <x:c r="K166" s="28" t="str">
        <x:v>Finance operating schedule</x:v>
      </x:c>
      <x:c r="L166" s="34" t="str">
        <x:v>2026-06-30</x:v>
      </x:c>
      <x:c r="M166" s="28" t="str"/>
    </x:row>
    <x:row r="167">
      <x:c r="A167" s="37" t="str">
        <x:v>PLN-00643</x:v>
      </x:c>
      <x:c r="B167" s="28" t="str">
        <x:v>Service-contract cohort renewal forecast</x:v>
      </x:c>
      <x:c r="C167" s="28" t="str">
        <x:v>FY27 renewal assumptions</x:v>
      </x:c>
      <x:c r="D167" s="28" t="str">
        <x:v>C-2023</x:v>
      </x:c>
      <x:c r="E167" s="28" t="str">
        <x:v>FY27</x:v>
      </x:c>
      <x:c r="F167" s="28" t="str">
        <x:v>Approved case</x:v>
      </x:c>
      <x:c r="G167" s="28" t="str">
        <x:v>Contract status</x:v>
      </x:c>
      <x:c r="H167" s="31" t="str"/>
      <x:c r="I167" s="28" t="str">
        <x:v>Annual renewal</x:v>
      </x:c>
      <x:c r="J167" s="28" t="str">
        <x:v>classification</x:v>
      </x:c>
      <x:c r="K167" s="28" t="str">
        <x:v>Finance operating schedule</x:v>
      </x:c>
      <x:c r="L167" s="34" t="str">
        <x:v>2026-06-30</x:v>
      </x:c>
      <x:c r="M167" s="28" t="str"/>
    </x:row>
    <x:row r="168">
      <x:c r="A168" s="37" t="str">
        <x:v>PLN-00645</x:v>
      </x:c>
      <x:c r="B168" s="28" t="str">
        <x:v>Service-contract cohort renewal forecast</x:v>
      </x:c>
      <x:c r="C168" s="28" t="str">
        <x:v>FY27 renewal assumptions</x:v>
      </x:c>
      <x:c r="D168" s="28" t="str">
        <x:v>C-2024</x:v>
      </x:c>
      <x:c r="E168" s="28" t="str">
        <x:v>FY27</x:v>
      </x:c>
      <x:c r="F168" s="28" t="str">
        <x:v>Approved case</x:v>
      </x:c>
      <x:c r="G168" s="28" t="str">
        <x:v>Gross renewal probability</x:v>
      </x:c>
      <x:c r="H168" s="31" t="n">
        <x:v>0.93</x:v>
      </x:c>
      <x:c r="I168" s="28" t="str"/>
      <x:c r="J168" s="28" t="str">
        <x:v>decimal ratio</x:v>
      </x:c>
      <x:c r="K168" s="28" t="str">
        <x:v>Finance operating schedule</x:v>
      </x:c>
      <x:c r="L168" s="34" t="str">
        <x:v>2026-06-30</x:v>
      </x:c>
      <x:c r="M168" s="28" t="str"/>
    </x:row>
    <x:row r="169">
      <x:c r="A169" s="37" t="str">
        <x:v>PLN-00646</x:v>
      </x:c>
      <x:c r="B169" s="28" t="str">
        <x:v>Service-contract cohort renewal forecast</x:v>
      </x:c>
      <x:c r="C169" s="28" t="str">
        <x:v>FY27 renewal assumptions</x:v>
      </x:c>
      <x:c r="D169" s="28" t="str">
        <x:v>C-2024</x:v>
      </x:c>
      <x:c r="E169" s="28" t="str">
        <x:v>FY27</x:v>
      </x:c>
      <x:c r="F169" s="28" t="str">
        <x:v>Approved case</x:v>
      </x:c>
      <x:c r="G169" s="28" t="str">
        <x:v>Contractual price escalation</x:v>
      </x:c>
      <x:c r="H169" s="31" t="n">
        <x:v>0.035</x:v>
      </x:c>
      <x:c r="I169" s="28" t="str"/>
      <x:c r="J169" s="28" t="str">
        <x:v>decimal ratio</x:v>
      </x:c>
      <x:c r="K169" s="28" t="str">
        <x:v>Finance operating schedule</x:v>
      </x:c>
      <x:c r="L169" s="34" t="str">
        <x:v>2026-06-30</x:v>
      </x:c>
      <x:c r="M169" s="28" t="str"/>
    </x:row>
    <x:row r="170">
      <x:c r="A170" s="37" t="str">
        <x:v>PLN-00647</x:v>
      </x:c>
      <x:c r="B170" s="28" t="str">
        <x:v>Service-contract cohort renewal forecast</x:v>
      </x:c>
      <x:c r="C170" s="28" t="str">
        <x:v>FY27 renewal assumptions</x:v>
      </x:c>
      <x:c r="D170" s="28" t="str">
        <x:v>C-2024</x:v>
      </x:c>
      <x:c r="E170" s="28" t="str">
        <x:v>FY27</x:v>
      </x:c>
      <x:c r="F170" s="28" t="str">
        <x:v>Approved case</x:v>
      </x:c>
      <x:c r="G170" s="28" t="str">
        <x:v>Expected downsell after renewal</x:v>
      </x:c>
      <x:c r="H170" s="31" t="n">
        <x:v>0.06</x:v>
      </x:c>
      <x:c r="I170" s="28" t="str"/>
      <x:c r="J170" s="28" t="str">
        <x:v>decimal ratio</x:v>
      </x:c>
      <x:c r="K170" s="28" t="str">
        <x:v>Finance operating schedule</x:v>
      </x:c>
      <x:c r="L170" s="34" t="str">
        <x:v>2026-06-30</x:v>
      </x:c>
      <x:c r="M170" s="28" t="str"/>
    </x:row>
    <x:row r="171">
      <x:c r="A171" s="37" t="str">
        <x:v>PLN-00648</x:v>
      </x:c>
      <x:c r="B171" s="28" t="str">
        <x:v>Service-contract cohort renewal forecast</x:v>
      </x:c>
      <x:c r="C171" s="28" t="str">
        <x:v>FY27 renewal assumptions</x:v>
      </x:c>
      <x:c r="D171" s="28" t="str">
        <x:v>C-2024</x:v>
      </x:c>
      <x:c r="E171" s="28" t="str">
        <x:v>FY27</x:v>
      </x:c>
      <x:c r="F171" s="28" t="str">
        <x:v>Approved case</x:v>
      </x:c>
      <x:c r="G171" s="28" t="str">
        <x:v>Signed expansion ARR</x:v>
      </x:c>
      <x:c r="H171" s="31" t="n">
        <x:v>310</x:v>
      </x:c>
      <x:c r="I171" s="28" t="str"/>
      <x:c r="J171" s="28" t="str">
        <x:v>USD thousands</x:v>
      </x:c>
      <x:c r="K171" s="28" t="str">
        <x:v>Finance operating schedule</x:v>
      </x:c>
      <x:c r="L171" s="34" t="str">
        <x:v>2026-06-30</x:v>
      </x:c>
      <x:c r="M171" s="28" t="str"/>
    </x:row>
    <x:row r="172">
      <x:c r="A172" s="37" t="str">
        <x:v>PLN-00649</x:v>
      </x:c>
      <x:c r="B172" s="28" t="str">
        <x:v>Service-contract cohort renewal forecast</x:v>
      </x:c>
      <x:c r="C172" s="28" t="str">
        <x:v>FY27 renewal assumptions</x:v>
      </x:c>
      <x:c r="D172" s="28" t="str">
        <x:v>C-2024</x:v>
      </x:c>
      <x:c r="E172" s="28" t="str">
        <x:v>FY27</x:v>
      </x:c>
      <x:c r="F172" s="28" t="str">
        <x:v>Approved case</x:v>
      </x:c>
      <x:c r="G172" s="28" t="str">
        <x:v>Expansion revenue start month</x:v>
      </x:c>
      <x:c r="H172" s="31" t="str"/>
      <x:c r="I172" s="28" t="str">
        <x:v>2027-01</x:v>
      </x:c>
      <x:c r="J172" s="28" t="str">
        <x:v>classification</x:v>
      </x:c>
      <x:c r="K172" s="28" t="str">
        <x:v>Finance operating schedule</x:v>
      </x:c>
      <x:c r="L172" s="34" t="str">
        <x:v>2026-06-30</x:v>
      </x:c>
      <x:c r="M172" s="28" t="str"/>
    </x:row>
    <x:row r="173">
      <x:c r="A173" s="37" t="str">
        <x:v>PLN-00650</x:v>
      </x:c>
      <x:c r="B173" s="28" t="str">
        <x:v>Service-contract cohort renewal forecast</x:v>
      </x:c>
      <x:c r="C173" s="28" t="str">
        <x:v>FY27 renewal assumptions</x:v>
      </x:c>
      <x:c r="D173" s="28" t="str">
        <x:v>C-2024</x:v>
      </x:c>
      <x:c r="E173" s="28" t="str">
        <x:v>FY27</x:v>
      </x:c>
      <x:c r="F173" s="28" t="str">
        <x:v>Approved case</x:v>
      </x:c>
      <x:c r="G173" s="28" t="str">
        <x:v>Contract status</x:v>
      </x:c>
      <x:c r="H173" s="31" t="str"/>
      <x:c r="I173" s="28" t="str">
        <x:v>Annual renewal</x:v>
      </x:c>
      <x:c r="J173" s="28" t="str">
        <x:v>classification</x:v>
      </x:c>
      <x:c r="K173" s="28" t="str">
        <x:v>Finance operating schedule</x:v>
      </x:c>
      <x:c r="L173" s="34" t="str">
        <x:v>2026-06-30</x:v>
      </x:c>
      <x:c r="M173" s="28" t="str"/>
    </x:row>
    <x:row r="174">
      <x:c r="A174" s="37" t="str">
        <x:v>PLN-00652</x:v>
      </x:c>
      <x:c r="B174" s="28" t="str">
        <x:v>Service-contract cohort renewal forecast</x:v>
      </x:c>
      <x:c r="C174" s="28" t="str">
        <x:v>FY27 renewal assumptions</x:v>
      </x:c>
      <x:c r="D174" s="28" t="str">
        <x:v>C-2025</x:v>
      </x:c>
      <x:c r="E174" s="28" t="str">
        <x:v>FY27</x:v>
      </x:c>
      <x:c r="F174" s="28" t="str">
        <x:v>Approved case</x:v>
      </x:c>
      <x:c r="G174" s="28" t="str">
        <x:v>Gross renewal probability</x:v>
      </x:c>
      <x:c r="H174" s="31" t="n">
        <x:v>1</x:v>
      </x:c>
      <x:c r="I174" s="28" t="str"/>
      <x:c r="J174" s="28" t="str">
        <x:v>decimal ratio</x:v>
      </x:c>
      <x:c r="K174" s="28" t="str">
        <x:v>Finance operating schedule</x:v>
      </x:c>
      <x:c r="L174" s="34" t="str">
        <x:v>2026-06-30</x:v>
      </x:c>
      <x:c r="M174" s="28" t="str"/>
    </x:row>
    <x:row r="175">
      <x:c r="A175" s="37" t="str">
        <x:v>PLN-00653</x:v>
      </x:c>
      <x:c r="B175" s="28" t="str">
        <x:v>Service-contract cohort renewal forecast</x:v>
      </x:c>
      <x:c r="C175" s="28" t="str">
        <x:v>FY27 renewal assumptions</x:v>
      </x:c>
      <x:c r="D175" s="28" t="str">
        <x:v>C-2025</x:v>
      </x:c>
      <x:c r="E175" s="28" t="str">
        <x:v>FY27</x:v>
      </x:c>
      <x:c r="F175" s="28" t="str">
        <x:v>Approved case</x:v>
      </x:c>
      <x:c r="G175" s="28" t="str">
        <x:v>Contractual price escalation</x:v>
      </x:c>
      <x:c r="H175" s="31" t="n">
        <x:v>0.03</x:v>
      </x:c>
      <x:c r="I175" s="28" t="str"/>
      <x:c r="J175" s="28" t="str">
        <x:v>decimal ratio</x:v>
      </x:c>
      <x:c r="K175" s="28" t="str">
        <x:v>Finance operating schedule</x:v>
      </x:c>
      <x:c r="L175" s="34" t="str">
        <x:v>2026-06-30</x:v>
      </x:c>
      <x:c r="M175" s="28" t="str"/>
    </x:row>
    <x:row r="176">
      <x:c r="A176" s="37" t="str">
        <x:v>PLN-00654</x:v>
      </x:c>
      <x:c r="B176" s="28" t="str">
        <x:v>Service-contract cohort renewal forecast</x:v>
      </x:c>
      <x:c r="C176" s="28" t="str">
        <x:v>FY27 renewal assumptions</x:v>
      </x:c>
      <x:c r="D176" s="28" t="str">
        <x:v>C-2025</x:v>
      </x:c>
      <x:c r="E176" s="28" t="str">
        <x:v>FY27</x:v>
      </x:c>
      <x:c r="F176" s="28" t="str">
        <x:v>Approved case</x:v>
      </x:c>
      <x:c r="G176" s="28" t="str">
        <x:v>Expected downsell after renewal</x:v>
      </x:c>
      <x:c r="H176" s="31" t="n">
        <x:v>0</x:v>
      </x:c>
      <x:c r="I176" s="28" t="str"/>
      <x:c r="J176" s="28" t="str">
        <x:v>decimal ratio</x:v>
      </x:c>
      <x:c r="K176" s="28" t="str">
        <x:v>Finance operating schedule</x:v>
      </x:c>
      <x:c r="L176" s="34" t="str">
        <x:v>2026-06-30</x:v>
      </x:c>
      <x:c r="M176" s="28" t="str"/>
    </x:row>
    <x:row r="177">
      <x:c r="A177" s="37" t="str">
        <x:v>PLN-00655</x:v>
      </x:c>
      <x:c r="B177" s="28" t="str">
        <x:v>Service-contract cohort renewal forecast</x:v>
      </x:c>
      <x:c r="C177" s="28" t="str">
        <x:v>FY27 renewal assumptions</x:v>
      </x:c>
      <x:c r="D177" s="28" t="str">
        <x:v>C-2025</x:v>
      </x:c>
      <x:c r="E177" s="28" t="str">
        <x:v>FY27</x:v>
      </x:c>
      <x:c r="F177" s="28" t="str">
        <x:v>Approved case</x:v>
      </x:c>
      <x:c r="G177" s="28" t="str">
        <x:v>Signed expansion ARR</x:v>
      </x:c>
      <x:c r="H177" s="31" t="n">
        <x:v>420000</x:v>
      </x:c>
      <x:c r="I177" s="28" t="str"/>
      <x:c r="J177" s="28" t="str">
        <x:v>USD</x:v>
      </x:c>
      <x:c r="K177" s="28" t="str">
        <x:v>Finance operating schedule</x:v>
      </x:c>
      <x:c r="L177" s="34" t="str">
        <x:v>2026-06-30</x:v>
      </x:c>
      <x:c r="M177" s="28" t="str"/>
    </x:row>
    <x:row r="178">
      <x:c r="A178" s="37" t="str">
        <x:v>PLN-00656</x:v>
      </x:c>
      <x:c r="B178" s="28" t="str">
        <x:v>Service-contract cohort renewal forecast</x:v>
      </x:c>
      <x:c r="C178" s="28" t="str">
        <x:v>FY27 renewal assumptions</x:v>
      </x:c>
      <x:c r="D178" s="28" t="str">
        <x:v>C-2025</x:v>
      </x:c>
      <x:c r="E178" s="28" t="str">
        <x:v>FY27</x:v>
      </x:c>
      <x:c r="F178" s="28" t="str">
        <x:v>Approved case</x:v>
      </x:c>
      <x:c r="G178" s="28" t="str">
        <x:v>Expansion revenue start month</x:v>
      </x:c>
      <x:c r="H178" s="31" t="str"/>
      <x:c r="I178" s="28" t="str">
        <x:v>2027-03</x:v>
      </x:c>
      <x:c r="J178" s="28" t="str">
        <x:v>classification</x:v>
      </x:c>
      <x:c r="K178" s="28" t="str">
        <x:v>Finance operating schedule</x:v>
      </x:c>
      <x:c r="L178" s="34" t="str">
        <x:v>2026-06-30</x:v>
      </x:c>
      <x:c r="M178" s="28" t="str"/>
    </x:row>
    <x:row r="179">
      <x:c r="A179" s="37" t="str">
        <x:v>PLN-00657</x:v>
      </x:c>
      <x:c r="B179" s="28" t="str">
        <x:v>Service-contract cohort renewal forecast</x:v>
      </x:c>
      <x:c r="C179" s="28" t="str">
        <x:v>FY27 renewal assumptions</x:v>
      </x:c>
      <x:c r="D179" s="28" t="str">
        <x:v>C-2025</x:v>
      </x:c>
      <x:c r="E179" s="28" t="str">
        <x:v>FY27</x:v>
      </x:c>
      <x:c r="F179" s="28" t="str">
        <x:v>Approved case</x:v>
      </x:c>
      <x:c r="G179" s="28" t="str">
        <x:v>Contract status</x:v>
      </x:c>
      <x:c r="H179" s="31" t="str"/>
      <x:c r="I179" s="28" t="str">
        <x:v>Signed multiyear</x:v>
      </x:c>
      <x:c r="J179" s="28" t="str">
        <x:v>classification</x:v>
      </x:c>
      <x:c r="K179" s="28" t="str">
        <x:v>Finance operating schedule</x:v>
      </x:c>
      <x:c r="L179" s="34" t="str">
        <x:v>2026-06-30</x:v>
      </x:c>
      <x:c r="M179" s="28" t="str"/>
    </x:row>
    <x:row r="180">
      <x:c r="A180" s="37" t="str">
        <x:v>PLN-034X01</x:v>
      </x:c>
      <x:c r="B180" s="28" t="str">
        <x:v>Service-contract cohort renewal forecast</x:v>
      </x:c>
      <x:c r="C180" s="28" t="str">
        <x:v>FY27 cohort retention action register</x:v>
      </x:c>
      <x:c r="D180" s="28" t="str">
        <x:v>Healthcare renewal desk</x:v>
      </x:c>
      <x:c r="E180" s="28" t="str">
        <x:v>Management review</x:v>
      </x:c>
      <x:c r="F180" s="28" t="str">
        <x:v>Approved case</x:v>
      </x:c>
      <x:c r="G180" s="28" t="str">
        <x:v>Cash cost</x:v>
      </x:c>
      <x:c r="H180" s="31" t="n">
        <x:v>125000</x:v>
      </x:c>
      <x:c r="I180" s="28" t="str"/>
      <x:c r="J180" s="28" t="str">
        <x:v>USD</x:v>
      </x:c>
      <x:c r="K180" s="28" t="str">
        <x:v>Finance operating schedule</x:v>
      </x:c>
      <x:c r="L180" s="34" t="str">
        <x:v>2026-06-30</x:v>
      </x:c>
      <x:c r="M180" s="28" t="str"/>
    </x:row>
    <x:row r="181">
      <x:c r="A181" s="37" t="str">
        <x:v>PLN-034X02</x:v>
      </x:c>
      <x:c r="B181" s="28" t="str">
        <x:v>Service-contract cohort renewal forecast</x:v>
      </x:c>
      <x:c r="C181" s="28" t="str">
        <x:v>FY27 cohort retention action register</x:v>
      </x:c>
      <x:c r="D181" s="28" t="str">
        <x:v>Healthcare renewal desk</x:v>
      </x:c>
      <x:c r="E181" s="28" t="str">
        <x:v>Management review</x:v>
      </x:c>
      <x:c r="F181" s="28" t="str">
        <x:v>Approved case</x:v>
      </x:c>
      <x:c r="G181" s="28" t="str">
        <x:v>Gross financial effect</x:v>
      </x:c>
      <x:c r="H181" s="31" t="n">
        <x:v>410000</x:v>
      </x:c>
      <x:c r="I181" s="28" t="str"/>
      <x:c r="J181" s="28" t="str">
        <x:v>USD</x:v>
      </x:c>
      <x:c r="K181" s="28" t="str">
        <x:v>Finance operating schedule</x:v>
      </x:c>
      <x:c r="L181" s="34" t="str">
        <x:v>2026-06-30</x:v>
      </x:c>
      <x:c r="M181" s="28" t="str"/>
    </x:row>
    <x:row r="182">
      <x:c r="A182" s="37" t="str">
        <x:v>PLN-034X03</x:v>
      </x:c>
      <x:c r="B182" s="28" t="str">
        <x:v>Service-contract cohort renewal forecast</x:v>
      </x:c>
      <x:c r="C182" s="28" t="str">
        <x:v>FY27 cohort retention action register</x:v>
      </x:c>
      <x:c r="D182" s="28" t="str">
        <x:v>Healthcare renewal desk</x:v>
      </x:c>
      <x:c r="E182" s="28" t="str">
        <x:v>Management review</x:v>
      </x:c>
      <x:c r="F182" s="28" t="str">
        <x:v>Approved case</x:v>
      </x:c>
      <x:c r="G182" s="28" t="str">
        <x:v>Realization probability</x:v>
      </x:c>
      <x:c r="H182" s="31" t="n">
        <x:v>0.78</x:v>
      </x:c>
      <x:c r="I182" s="28" t="str"/>
      <x:c r="J182" s="28" t="str">
        <x:v>decimal ratio</x:v>
      </x:c>
      <x:c r="K182" s="28" t="str">
        <x:v>Finance operating schedule</x:v>
      </x:c>
      <x:c r="L182" s="34" t="str">
        <x:v>2026-06-30</x:v>
      </x:c>
      <x:c r="M182" s="28" t="str"/>
    </x:row>
    <x:row r="183">
      <x:c r="A183" s="37" t="str">
        <x:v>PLN-034X04</x:v>
      </x:c>
      <x:c r="B183" s="28" t="str">
        <x:v>Service-contract cohort renewal forecast</x:v>
      </x:c>
      <x:c r="C183" s="28" t="str">
        <x:v>FY27 cohort retention action register</x:v>
      </x:c>
      <x:c r="D183" s="28" t="str">
        <x:v>Healthcare renewal desk</x:v>
      </x:c>
      <x:c r="E183" s="28" t="str">
        <x:v>Management review</x:v>
      </x:c>
      <x:c r="F183" s="28" t="str">
        <x:v>Approved case</x:v>
      </x:c>
      <x:c r="G183" s="28" t="str">
        <x:v>Capacity units</x:v>
      </x:c>
      <x:c r="H183" s="31" t="n">
        <x:v>300</x:v>
      </x:c>
      <x:c r="I183" s="28" t="str"/>
      <x:c r="J183" s="28" t="str">
        <x:v>customer-success hours</x:v>
      </x:c>
      <x:c r="K183" s="28" t="str">
        <x:v>Finance operating schedule</x:v>
      </x:c>
      <x:c r="L183" s="34" t="str">
        <x:v>2026-06-30</x:v>
      </x:c>
      <x:c r="M183" s="28" t="str"/>
    </x:row>
    <x:row r="184">
      <x:c r="A184" s="37" t="str">
        <x:v>PLN-034X05</x:v>
      </x:c>
      <x:c r="B184" s="28" t="str">
        <x:v>Service-contract cohort renewal forecast</x:v>
      </x:c>
      <x:c r="C184" s="28" t="str">
        <x:v>FY27 cohort retention action register</x:v>
      </x:c>
      <x:c r="D184" s="28" t="str">
        <x:v>Healthcare renewal desk</x:v>
      </x:c>
      <x:c r="E184" s="28" t="str">
        <x:v>Management review</x:v>
      </x:c>
      <x:c r="F184" s="28" t="str">
        <x:v>Approved case</x:v>
      </x:c>
      <x:c r="G184" s="28" t="str">
        <x:v>Status</x:v>
      </x:c>
      <x:c r="H184" s="31" t="str"/>
      <x:c r="I184" s="28" t="str">
        <x:v>Approved</x:v>
      </x:c>
      <x:c r="J184" s="28" t="str">
        <x:v>classification</x:v>
      </x:c>
      <x:c r="K184" s="28" t="str">
        <x:v>Finance operating schedule</x:v>
      </x:c>
      <x:c r="L184" s="34" t="str">
        <x:v>2026-06-30</x:v>
      </x:c>
      <x:c r="M184" s="28" t="str"/>
    </x:row>
    <x:row r="185">
      <x:c r="A185" s="37" t="str">
        <x:v>PLN-034X06</x:v>
      </x:c>
      <x:c r="B185" s="28" t="str">
        <x:v>Service-contract cohort renewal forecast</x:v>
      </x:c>
      <x:c r="C185" s="28" t="str">
        <x:v>FY27 cohort retention action register</x:v>
      </x:c>
      <x:c r="D185" s="28" t="str">
        <x:v>Healthcare renewal desk</x:v>
      </x:c>
      <x:c r="E185" s="28" t="str">
        <x:v>Management review</x:v>
      </x:c>
      <x:c r="F185" s="28" t="str">
        <x:v>Approved case</x:v>
      </x:c>
      <x:c r="G185" s="28" t="str">
        <x:v>Dependency</x:v>
      </x:c>
      <x:c r="H185" s="31" t="str"/>
      <x:c r="I185" s="28" t="str"/>
      <x:c r="J185" s="28" t="str">
        <x:v>classification</x:v>
      </x:c>
      <x:c r="K185" s="28" t="str">
        <x:v>Finance operating schedule</x:v>
      </x:c>
      <x:c r="L185" s="34" t="str">
        <x:v>2026-06-30</x:v>
      </x:c>
      <x:c r="M185" s="28" t="str"/>
    </x:row>
    <x:row r="186">
      <x:c r="A186" s="37" t="str">
        <x:v>PLN-034X07</x:v>
      </x:c>
      <x:c r="B186" s="28" t="str">
        <x:v>Service-contract cohort renewal forecast</x:v>
      </x:c>
      <x:c r="C186" s="28" t="str">
        <x:v>FY27 cohort retention action register</x:v>
      </x:c>
      <x:c r="D186" s="28" t="str">
        <x:v>Education escalation review</x:v>
      </x:c>
      <x:c r="E186" s="28" t="str">
        <x:v>Management review</x:v>
      </x:c>
      <x:c r="F186" s="28" t="str">
        <x:v>Approved case</x:v>
      </x:c>
      <x:c r="G186" s="28" t="str">
        <x:v>Cash cost</x:v>
      </x:c>
      <x:c r="H186" s="31" t="n">
        <x:v>90000</x:v>
      </x:c>
      <x:c r="I186" s="28" t="str"/>
      <x:c r="J186" s="28" t="str">
        <x:v>USD</x:v>
      </x:c>
      <x:c r="K186" s="28" t="str">
        <x:v>Finance operating schedule</x:v>
      </x:c>
      <x:c r="L186" s="34" t="str">
        <x:v>2026-06-30</x:v>
      </x:c>
      <x:c r="M186" s="28" t="str"/>
    </x:row>
    <x:row r="187">
      <x:c r="A187" s="37" t="str">
        <x:v>PLN-034X08</x:v>
      </x:c>
      <x:c r="B187" s="28" t="str">
        <x:v>Service-contract cohort renewal forecast</x:v>
      </x:c>
      <x:c r="C187" s="28" t="str">
        <x:v>FY27 cohort retention action register</x:v>
      </x:c>
      <x:c r="D187" s="28" t="str">
        <x:v>Education escalation review</x:v>
      </x:c>
      <x:c r="E187" s="28" t="str">
        <x:v>Management review</x:v>
      </x:c>
      <x:c r="F187" s="28" t="str">
        <x:v>Approved case</x:v>
      </x:c>
      <x:c r="G187" s="28" t="str">
        <x:v>Gross financial effect</x:v>
      </x:c>
      <x:c r="H187" s="31" t="n">
        <x:v>260</x:v>
      </x:c>
      <x:c r="I187" s="28" t="str"/>
      <x:c r="J187" s="28" t="str">
        <x:v>USD thousands</x:v>
      </x:c>
      <x:c r="K187" s="28" t="str">
        <x:v>Finance operating schedule</x:v>
      </x:c>
      <x:c r="L187" s="34" t="str">
        <x:v>2026-06-30</x:v>
      </x:c>
      <x:c r="M187" s="28" t="str"/>
    </x:row>
    <x:row r="188">
      <x:c r="A188" s="37" t="str">
        <x:v>PLN-034X09</x:v>
      </x:c>
      <x:c r="B188" s="28" t="str">
        <x:v>Service-contract cohort renewal forecast</x:v>
      </x:c>
      <x:c r="C188" s="28" t="str">
        <x:v>FY27 cohort retention action register</x:v>
      </x:c>
      <x:c r="D188" s="28" t="str">
        <x:v>Education escalation review</x:v>
      </x:c>
      <x:c r="E188" s="28" t="str">
        <x:v>Management review</x:v>
      </x:c>
      <x:c r="F188" s="28" t="str">
        <x:v>Approved case</x:v>
      </x:c>
      <x:c r="G188" s="28" t="str">
        <x:v>Realization probability</x:v>
      </x:c>
      <x:c r="H188" s="31" t="n">
        <x:v>0.72</x:v>
      </x:c>
      <x:c r="I188" s="28" t="str"/>
      <x:c r="J188" s="28" t="str">
        <x:v>decimal ratio</x:v>
      </x:c>
      <x:c r="K188" s="28" t="str">
        <x:v>Finance operating schedule</x:v>
      </x:c>
      <x:c r="L188" s="34" t="str">
        <x:v>2026-06-30</x:v>
      </x:c>
      <x:c r="M188" s="28" t="str"/>
    </x:row>
    <x:row r="189">
      <x:c r="A189" s="37" t="str">
        <x:v>PLN-034X10</x:v>
      </x:c>
      <x:c r="B189" s="28" t="str">
        <x:v>Service-contract cohort renewal forecast</x:v>
      </x:c>
      <x:c r="C189" s="28" t="str">
        <x:v>FY27 cohort retention action register</x:v>
      </x:c>
      <x:c r="D189" s="28" t="str">
        <x:v>Education escalation review</x:v>
      </x:c>
      <x:c r="E189" s="28" t="str">
        <x:v>Management review</x:v>
      </x:c>
      <x:c r="F189" s="28" t="str">
        <x:v>Approved case</x:v>
      </x:c>
      <x:c r="G189" s="28" t="str">
        <x:v>Capacity units</x:v>
      </x:c>
      <x:c r="H189" s="31" t="n">
        <x:v>220</x:v>
      </x:c>
      <x:c r="I189" s="28" t="str"/>
      <x:c r="J189" s="28" t="str">
        <x:v>customer-success hours</x:v>
      </x:c>
      <x:c r="K189" s="28" t="str">
        <x:v>Finance operating schedule</x:v>
      </x:c>
      <x:c r="L189" s="34" t="str">
        <x:v>2026-06-30</x:v>
      </x:c>
      <x:c r="M189" s="28" t="str"/>
    </x:row>
    <x:row r="190">
      <x:c r="A190" s="37" t="str">
        <x:v>PLN-034X11</x:v>
      </x:c>
      <x:c r="B190" s="28" t="str">
        <x:v>Service-contract cohort renewal forecast</x:v>
      </x:c>
      <x:c r="C190" s="28" t="str">
        <x:v>FY27 cohort retention action register</x:v>
      </x:c>
      <x:c r="D190" s="28" t="str">
        <x:v>Education escalation review</x:v>
      </x:c>
      <x:c r="E190" s="28" t="str">
        <x:v>Management review</x:v>
      </x:c>
      <x:c r="F190" s="28" t="str">
        <x:v>Approved case</x:v>
      </x:c>
      <x:c r="G190" s="28" t="str">
        <x:v>Status</x:v>
      </x:c>
      <x:c r="H190" s="31" t="str"/>
      <x:c r="I190" s="28" t="str">
        <x:v>Approved</x:v>
      </x:c>
      <x:c r="J190" s="28" t="str">
        <x:v>classification</x:v>
      </x:c>
      <x:c r="K190" s="28" t="str">
        <x:v>Finance operating schedule</x:v>
      </x:c>
      <x:c r="L190" s="34" t="str">
        <x:v>2026-06-30</x:v>
      </x:c>
      <x:c r="M190" s="28" t="str"/>
    </x:row>
    <x:row r="191">
      <x:c r="A191" s="37" t="str">
        <x:v>PLN-034X12</x:v>
      </x:c>
      <x:c r="B191" s="28" t="str">
        <x:v>Service-contract cohort renewal forecast</x:v>
      </x:c>
      <x:c r="C191" s="28" t="str">
        <x:v>FY27 cohort retention action register</x:v>
      </x:c>
      <x:c r="D191" s="28" t="str">
        <x:v>Education escalation review</x:v>
      </x:c>
      <x:c r="E191" s="28" t="str">
        <x:v>Management review</x:v>
      </x:c>
      <x:c r="F191" s="28" t="str">
        <x:v>Approved case</x:v>
      </x:c>
      <x:c r="G191" s="28" t="str">
        <x:v>Dependency</x:v>
      </x:c>
      <x:c r="H191" s="31" t="str"/>
      <x:c r="I191" s="28" t="str"/>
      <x:c r="J191" s="28" t="str">
        <x:v>classification</x:v>
      </x:c>
      <x:c r="K191" s="28" t="str">
        <x:v>Finance operating schedule</x:v>
      </x:c>
      <x:c r="L191" s="34" t="str">
        <x:v>2026-06-30</x:v>
      </x:c>
      <x:c r="M191" s="28" t="str"/>
    </x:row>
    <x:row r="192">
      <x:c r="A192" s="37" t="str">
        <x:v>PLN-034X13</x:v>
      </x:c>
      <x:c r="B192" s="28" t="str">
        <x:v>Service-contract cohort renewal forecast</x:v>
      </x:c>
      <x:c r="C192" s="28" t="str">
        <x:v>FY27 cohort retention action register</x:v>
      </x:c>
      <x:c r="D192" s="28" t="str">
        <x:v>Commercial downsell recovery</x:v>
      </x:c>
      <x:c r="E192" s="28" t="str">
        <x:v>Management review</x:v>
      </x:c>
      <x:c r="F192" s="28" t="str">
        <x:v>Approved case</x:v>
      </x:c>
      <x:c r="G192" s="28" t="str">
        <x:v>Cash cost</x:v>
      </x:c>
      <x:c r="H192" s="31" t="n">
        <x:v>145000</x:v>
      </x:c>
      <x:c r="I192" s="28" t="str"/>
      <x:c r="J192" s="28" t="str">
        <x:v>USD</x:v>
      </x:c>
      <x:c r="K192" s="28" t="str">
        <x:v>Finance operating schedule</x:v>
      </x:c>
      <x:c r="L192" s="34" t="str">
        <x:v>2026-06-30</x:v>
      </x:c>
      <x:c r="M192" s="28" t="str"/>
    </x:row>
    <x:row r="193">
      <x:c r="A193" s="37" t="str">
        <x:v>PLN-034X14</x:v>
      </x:c>
      <x:c r="B193" s="28" t="str">
        <x:v>Service-contract cohort renewal forecast</x:v>
      </x:c>
      <x:c r="C193" s="28" t="str">
        <x:v>FY27 cohort retention action register</x:v>
      </x:c>
      <x:c r="D193" s="28" t="str">
        <x:v>Commercial downsell recovery</x:v>
      </x:c>
      <x:c r="E193" s="28" t="str">
        <x:v>Management review</x:v>
      </x:c>
      <x:c r="F193" s="28" t="str">
        <x:v>Approved case</x:v>
      </x:c>
      <x:c r="G193" s="28" t="str">
        <x:v>Gross financial effect</x:v>
      </x:c>
      <x:c r="H193" s="31" t="n">
        <x:v>470000</x:v>
      </x:c>
      <x:c r="I193" s="28" t="str"/>
      <x:c r="J193" s="28" t="str">
        <x:v>USD</x:v>
      </x:c>
      <x:c r="K193" s="28" t="str">
        <x:v>Finance operating schedule</x:v>
      </x:c>
      <x:c r="L193" s="34" t="str">
        <x:v>2026-06-30</x:v>
      </x:c>
      <x:c r="M193" s="28" t="str"/>
    </x:row>
    <x:row r="194">
      <x:c r="A194" s="37" t="str">
        <x:v>PLN-034X15</x:v>
      </x:c>
      <x:c r="B194" s="28" t="str">
        <x:v>Service-contract cohort renewal forecast</x:v>
      </x:c>
      <x:c r="C194" s="28" t="str">
        <x:v>FY27 cohort retention action register</x:v>
      </x:c>
      <x:c r="D194" s="28" t="str">
        <x:v>Commercial downsell recovery</x:v>
      </x:c>
      <x:c r="E194" s="28" t="str">
        <x:v>Management review</x:v>
      </x:c>
      <x:c r="F194" s="28" t="str">
        <x:v>Approved case</x:v>
      </x:c>
      <x:c r="G194" s="28" t="str">
        <x:v>Realization probability</x:v>
      </x:c>
      <x:c r="H194" s="31" t="n">
        <x:v>0.68</x:v>
      </x:c>
      <x:c r="I194" s="28" t="str"/>
      <x:c r="J194" s="28" t="str">
        <x:v>decimal ratio</x:v>
      </x:c>
      <x:c r="K194" s="28" t="str">
        <x:v>Finance operating schedule</x:v>
      </x:c>
      <x:c r="L194" s="34" t="str">
        <x:v>2026-06-30</x:v>
      </x:c>
      <x:c r="M194" s="28" t="str"/>
    </x:row>
    <x:row r="195">
      <x:c r="A195" s="37" t="str">
        <x:v>PLN-034X16</x:v>
      </x:c>
      <x:c r="B195" s="28" t="str">
        <x:v>Service-contract cohort renewal forecast</x:v>
      </x:c>
      <x:c r="C195" s="28" t="str">
        <x:v>FY27 cohort retention action register</x:v>
      </x:c>
      <x:c r="D195" s="28" t="str">
        <x:v>Commercial downsell recovery</x:v>
      </x:c>
      <x:c r="E195" s="28" t="str">
        <x:v>Management review</x:v>
      </x:c>
      <x:c r="F195" s="28" t="str">
        <x:v>Approved case</x:v>
      </x:c>
      <x:c r="G195" s="28" t="str">
        <x:v>Capacity units</x:v>
      </x:c>
      <x:c r="H195" s="31" t="n">
        <x:v>340</x:v>
      </x:c>
      <x:c r="I195" s="28" t="str"/>
      <x:c r="J195" s="28" t="str">
        <x:v>customer-success hours</x:v>
      </x:c>
      <x:c r="K195" s="28" t="str">
        <x:v>Finance operating schedule</x:v>
      </x:c>
      <x:c r="L195" s="34" t="str">
        <x:v>2026-06-30</x:v>
      </x:c>
      <x:c r="M195" s="28" t="str"/>
    </x:row>
    <x:row r="196">
      <x:c r="A196" s="37" t="str">
        <x:v>PLN-034X17</x:v>
      </x:c>
      <x:c r="B196" s="28" t="str">
        <x:v>Service-contract cohort renewal forecast</x:v>
      </x:c>
      <x:c r="C196" s="28" t="str">
        <x:v>FY27 cohort retention action register</x:v>
      </x:c>
      <x:c r="D196" s="28" t="str">
        <x:v>Commercial downsell recovery</x:v>
      </x:c>
      <x:c r="E196" s="28" t="str">
        <x:v>Management review</x:v>
      </x:c>
      <x:c r="F196" s="28" t="str">
        <x:v>Approved case</x:v>
      </x:c>
      <x:c r="G196" s="28" t="str">
        <x:v>Status</x:v>
      </x:c>
      <x:c r="H196" s="31" t="str"/>
      <x:c r="I196" s="28" t="str">
        <x:v>Approved</x:v>
      </x:c>
      <x:c r="J196" s="28" t="str">
        <x:v>classification</x:v>
      </x:c>
      <x:c r="K196" s="28" t="str">
        <x:v>Finance operating schedule</x:v>
      </x:c>
      <x:c r="L196" s="34" t="str">
        <x:v>2026-06-30</x:v>
      </x:c>
      <x:c r="M196" s="28" t="str"/>
    </x:row>
    <x:row r="197">
      <x:c r="A197" s="37" t="str">
        <x:v>PLN-034X18</x:v>
      </x:c>
      <x:c r="B197" s="28" t="str">
        <x:v>Service-contract cohort renewal forecast</x:v>
      </x:c>
      <x:c r="C197" s="28" t="str">
        <x:v>FY27 cohort retention action register</x:v>
      </x:c>
      <x:c r="D197" s="28" t="str">
        <x:v>Commercial downsell recovery</x:v>
      </x:c>
      <x:c r="E197" s="28" t="str">
        <x:v>Management review</x:v>
      </x:c>
      <x:c r="F197" s="28" t="str">
        <x:v>Approved case</x:v>
      </x:c>
      <x:c r="G197" s="28" t="str">
        <x:v>Dependency</x:v>
      </x:c>
      <x:c r="H197" s="31" t="str"/>
      <x:c r="I197" s="28" t="str"/>
      <x:c r="J197" s="28" t="str">
        <x:v>classification</x:v>
      </x:c>
      <x:c r="K197" s="28" t="str">
        <x:v>Finance operating schedule</x:v>
      </x:c>
      <x:c r="L197" s="34" t="str">
        <x:v>2026-06-30</x:v>
      </x:c>
      <x:c r="M197" s="28" t="str"/>
    </x:row>
    <x:row r="198">
      <x:c r="A198" s="37" t="str">
        <x:v>PLN-034X19</x:v>
      </x:c>
      <x:c r="B198" s="28" t="str">
        <x:v>Service-contract cohort renewal forecast</x:v>
      </x:c>
      <x:c r="C198" s="28" t="str">
        <x:v>FY27 cohort retention action register</x:v>
      </x:c>
      <x:c r="D198" s="28" t="str">
        <x:v>Remote-monitoring expansion</x:v>
      </x:c>
      <x:c r="E198" s="28" t="str">
        <x:v>Management review</x:v>
      </x:c>
      <x:c r="F198" s="28" t="str">
        <x:v>Approved case</x:v>
      </x:c>
      <x:c r="G198" s="28" t="str">
        <x:v>Cash cost</x:v>
      </x:c>
      <x:c r="H198" s="31" t="n">
        <x:v>115000</x:v>
      </x:c>
      <x:c r="I198" s="28" t="str"/>
      <x:c r="J198" s="28" t="str">
        <x:v>USD</x:v>
      </x:c>
      <x:c r="K198" s="28" t="str">
        <x:v>Finance operating schedule</x:v>
      </x:c>
      <x:c r="L198" s="34" t="str">
        <x:v>2026-06-30</x:v>
      </x:c>
      <x:c r="M198" s="28" t="str"/>
    </x:row>
    <x:row r="199">
      <x:c r="A199" s="37" t="str">
        <x:v>PLN-034X20</x:v>
      </x:c>
      <x:c r="B199" s="28" t="str">
        <x:v>Service-contract cohort renewal forecast</x:v>
      </x:c>
      <x:c r="C199" s="28" t="str">
        <x:v>FY27 cohort retention action register</x:v>
      </x:c>
      <x:c r="D199" s="28" t="str">
        <x:v>Remote-monitoring expansion</x:v>
      </x:c>
      <x:c r="E199" s="28" t="str">
        <x:v>Management review</x:v>
      </x:c>
      <x:c r="F199" s="28" t="str">
        <x:v>Approved case</x:v>
      </x:c>
      <x:c r="G199" s="28" t="str">
        <x:v>Gross financial effect</x:v>
      </x:c>
      <x:c r="H199" s="31" t="n">
        <x:v>390</x:v>
      </x:c>
      <x:c r="I199" s="28" t="str"/>
      <x:c r="J199" s="28" t="str">
        <x:v>USD thousands</x:v>
      </x:c>
      <x:c r="K199" s="28" t="str">
        <x:v>Finance operating schedule</x:v>
      </x:c>
      <x:c r="L199" s="34" t="str">
        <x:v>2026-06-30</x:v>
      </x:c>
      <x:c r="M199" s="28" t="str"/>
    </x:row>
    <x:row r="200">
      <x:c r="A200" s="37" t="str">
        <x:v>PLN-034X21</x:v>
      </x:c>
      <x:c r="B200" s="28" t="str">
        <x:v>Service-contract cohort renewal forecast</x:v>
      </x:c>
      <x:c r="C200" s="28" t="str">
        <x:v>FY27 cohort retention action register</x:v>
      </x:c>
      <x:c r="D200" s="28" t="str">
        <x:v>Remote-monitoring expansion</x:v>
      </x:c>
      <x:c r="E200" s="28" t="str">
        <x:v>Management review</x:v>
      </x:c>
      <x:c r="F200" s="28" t="str">
        <x:v>Approved case</x:v>
      </x:c>
      <x:c r="G200" s="28" t="str">
        <x:v>Realization probability</x:v>
      </x:c>
      <x:c r="H200" s="31" t="n">
        <x:v>0.64</x:v>
      </x:c>
      <x:c r="I200" s="28" t="str"/>
      <x:c r="J200" s="28" t="str">
        <x:v>decimal ratio</x:v>
      </x:c>
      <x:c r="K200" s="28" t="str">
        <x:v>Finance operating schedule</x:v>
      </x:c>
      <x:c r="L200" s="34" t="str">
        <x:v>2026-06-30</x:v>
      </x:c>
      <x:c r="M200" s="28" t="str"/>
    </x:row>
    <x:row r="201">
      <x:c r="A201" s="37" t="str">
        <x:v>PLN-034X22</x:v>
      </x:c>
      <x:c r="B201" s="28" t="str">
        <x:v>Service-contract cohort renewal forecast</x:v>
      </x:c>
      <x:c r="C201" s="28" t="str">
        <x:v>FY27 cohort retention action register</x:v>
      </x:c>
      <x:c r="D201" s="28" t="str">
        <x:v>Remote-monitoring expansion</x:v>
      </x:c>
      <x:c r="E201" s="28" t="str">
        <x:v>Management review</x:v>
      </x:c>
      <x:c r="F201" s="28" t="str">
        <x:v>Approved case</x:v>
      </x:c>
      <x:c r="G201" s="28" t="str">
        <x:v>Capacity units</x:v>
      </x:c>
      <x:c r="H201" s="31" t="n">
        <x:v>280</x:v>
      </x:c>
      <x:c r="I201" s="28" t="str"/>
      <x:c r="J201" s="28" t="str">
        <x:v>customer-success hours</x:v>
      </x:c>
      <x:c r="K201" s="28" t="str">
        <x:v>Finance operating schedule</x:v>
      </x:c>
      <x:c r="L201" s="34" t="str">
        <x:v>2026-06-30</x:v>
      </x:c>
      <x:c r="M201" s="28" t="str"/>
    </x:row>
    <x:row r="202">
      <x:c r="A202" s="37" t="str">
        <x:v>PLN-034X23</x:v>
      </x:c>
      <x:c r="B202" s="28" t="str">
        <x:v>Service-contract cohort renewal forecast</x:v>
      </x:c>
      <x:c r="C202" s="28" t="str">
        <x:v>FY27 cohort retention action register</x:v>
      </x:c>
      <x:c r="D202" s="28" t="str">
        <x:v>Remote-monitoring expansion</x:v>
      </x:c>
      <x:c r="E202" s="28" t="str">
        <x:v>Management review</x:v>
      </x:c>
      <x:c r="F202" s="28" t="str">
        <x:v>Approved case</x:v>
      </x:c>
      <x:c r="G202" s="28" t="str">
        <x:v>Status</x:v>
      </x:c>
      <x:c r="H202" s="31" t="str"/>
      <x:c r="I202" s="28" t="str">
        <x:v>Conditional</x:v>
      </x:c>
      <x:c r="J202" s="28" t="str">
        <x:v>classification</x:v>
      </x:c>
      <x:c r="K202" s="28" t="str">
        <x:v>Finance operating schedule</x:v>
      </x:c>
      <x:c r="L202" s="34" t="str">
        <x:v>2026-06-30</x:v>
      </x:c>
      <x:c r="M202" s="28" t="str"/>
    </x:row>
    <x:row r="203">
      <x:c r="A203" s="37" t="str">
        <x:v>PLN-034X24</x:v>
      </x:c>
      <x:c r="B203" s="28" t="str">
        <x:v>Service-contract cohort renewal forecast</x:v>
      </x:c>
      <x:c r="C203" s="28" t="str">
        <x:v>FY27 cohort retention action register</x:v>
      </x:c>
      <x:c r="D203" s="28" t="str">
        <x:v>Remote-monitoring expansion</x:v>
      </x:c>
      <x:c r="E203" s="28" t="str">
        <x:v>Management review</x:v>
      </x:c>
      <x:c r="F203" s="28" t="str">
        <x:v>Approved case</x:v>
      </x:c>
      <x:c r="G203" s="28" t="str">
        <x:v>Dependency</x:v>
      </x:c>
      <x:c r="H203" s="31" t="str"/>
      <x:c r="I203" s="28" t="str">
        <x:v>Commercial downsell recovery</x:v>
      </x:c>
      <x:c r="J203" s="28" t="str">
        <x:v>classification</x:v>
      </x:c>
      <x:c r="K203" s="28" t="str">
        <x:v>Finance operating schedule</x:v>
      </x:c>
      <x:c r="L203" s="34" t="str">
        <x:v>2026-06-30</x:v>
      </x:c>
      <x:c r="M203" s="28" t="str"/>
    </x:row>
    <x:row r="204">
      <x:c r="A204" s="37" t="str">
        <x:v>PLN-034X25</x:v>
      </x:c>
      <x:c r="B204" s="28" t="str">
        <x:v>Service-contract cohort renewal forecast</x:v>
      </x:c>
      <x:c r="C204" s="28" t="str">
        <x:v>FY27 cohort retention action register</x:v>
      </x:c>
      <x:c r="D204" s="28" t="str">
        <x:v>Low-margin legacy repricing</x:v>
      </x:c>
      <x:c r="E204" s="28" t="str">
        <x:v>Management review</x:v>
      </x:c>
      <x:c r="F204" s="28" t="str">
        <x:v>Approved case</x:v>
      </x:c>
      <x:c r="G204" s="28" t="str">
        <x:v>Cash cost</x:v>
      </x:c>
      <x:c r="H204" s="31" t="n">
        <x:v>80000</x:v>
      </x:c>
      <x:c r="I204" s="28" t="str"/>
      <x:c r="J204" s="28" t="str">
        <x:v>USD</x:v>
      </x:c>
      <x:c r="K204" s="28" t="str">
        <x:v>Finance operating schedule</x:v>
      </x:c>
      <x:c r="L204" s="34" t="str">
        <x:v>2026-06-30</x:v>
      </x:c>
      <x:c r="M204" s="28" t="str"/>
    </x:row>
    <x:row r="205">
      <x:c r="A205" s="37" t="str">
        <x:v>PLN-034X26</x:v>
      </x:c>
      <x:c r="B205" s="28" t="str">
        <x:v>Service-contract cohort renewal forecast</x:v>
      </x:c>
      <x:c r="C205" s="28" t="str">
        <x:v>FY27 cohort retention action register</x:v>
      </x:c>
      <x:c r="D205" s="28" t="str">
        <x:v>Low-margin legacy repricing</x:v>
      </x:c>
      <x:c r="E205" s="28" t="str">
        <x:v>Management review</x:v>
      </x:c>
      <x:c r="F205" s="28" t="str">
        <x:v>Approved case</x:v>
      </x:c>
      <x:c r="G205" s="28" t="str">
        <x:v>Gross financial effect</x:v>
      </x:c>
      <x:c r="H205" s="31" t="n">
        <x:v>180000</x:v>
      </x:c>
      <x:c r="I205" s="28" t="str"/>
      <x:c r="J205" s="28" t="str">
        <x:v>USD</x:v>
      </x:c>
      <x:c r="K205" s="28" t="str">
        <x:v>Finance operating schedule</x:v>
      </x:c>
      <x:c r="L205" s="34" t="str">
        <x:v>2026-06-30</x:v>
      </x:c>
      <x:c r="M205" s="28" t="str"/>
    </x:row>
    <x:row r="206">
      <x:c r="A206" s="37" t="str">
        <x:v>PLN-034X27</x:v>
      </x:c>
      <x:c r="B206" s="28" t="str">
        <x:v>Service-contract cohort renewal forecast</x:v>
      </x:c>
      <x:c r="C206" s="28" t="str">
        <x:v>FY27 cohort retention action register</x:v>
      </x:c>
      <x:c r="D206" s="28" t="str">
        <x:v>Low-margin legacy repricing</x:v>
      </x:c>
      <x:c r="E206" s="28" t="str">
        <x:v>Management review</x:v>
      </x:c>
      <x:c r="F206" s="28" t="str">
        <x:v>Approved case</x:v>
      </x:c>
      <x:c r="G206" s="28" t="str">
        <x:v>Realization probability</x:v>
      </x:c>
      <x:c r="H206" s="31" t="n">
        <x:v>0.55</x:v>
      </x:c>
      <x:c r="I206" s="28" t="str"/>
      <x:c r="J206" s="28" t="str">
        <x:v>decimal ratio</x:v>
      </x:c>
      <x:c r="K206" s="28" t="str">
        <x:v>Finance operating schedule</x:v>
      </x:c>
      <x:c r="L206" s="34" t="str">
        <x:v>2026-06-30</x:v>
      </x:c>
      <x:c r="M206" s="28" t="str"/>
    </x:row>
    <x:row r="207">
      <x:c r="A207" s="37" t="str">
        <x:v>PLN-034X28</x:v>
      </x:c>
      <x:c r="B207" s="28" t="str">
        <x:v>Service-contract cohort renewal forecast</x:v>
      </x:c>
      <x:c r="C207" s="28" t="str">
        <x:v>FY27 cohort retention action register</x:v>
      </x:c>
      <x:c r="D207" s="28" t="str">
        <x:v>Low-margin legacy repricing</x:v>
      </x:c>
      <x:c r="E207" s="28" t="str">
        <x:v>Management review</x:v>
      </x:c>
      <x:c r="F207" s="28" t="str">
        <x:v>Approved case</x:v>
      </x:c>
      <x:c r="G207" s="28" t="str">
        <x:v>Capacity units</x:v>
      </x:c>
      <x:c r="H207" s="31" t="n">
        <x:v>180</x:v>
      </x:c>
      <x:c r="I207" s="28" t="str"/>
      <x:c r="J207" s="28" t="str">
        <x:v>customer-success hours</x:v>
      </x:c>
      <x:c r="K207" s="28" t="str">
        <x:v>Finance operating schedule</x:v>
      </x:c>
      <x:c r="L207" s="34" t="str">
        <x:v>2026-06-30</x:v>
      </x:c>
      <x:c r="M207" s="28" t="str"/>
    </x:row>
    <x:row r="208">
      <x:c r="A208" s="37" t="str">
        <x:v>PLN-034X29</x:v>
      </x:c>
      <x:c r="B208" s="28" t="str">
        <x:v>Service-contract cohort renewal forecast</x:v>
      </x:c>
      <x:c r="C208" s="28" t="str">
        <x:v>FY27 cohort retention action register</x:v>
      </x:c>
      <x:c r="D208" s="28" t="str">
        <x:v>Low-margin legacy repricing</x:v>
      </x:c>
      <x:c r="E208" s="28" t="str">
        <x:v>Management review</x:v>
      </x:c>
      <x:c r="F208" s="28" t="str">
        <x:v>Approved case</x:v>
      </x:c>
      <x:c r="G208" s="28" t="str">
        <x:v>Status</x:v>
      </x:c>
      <x:c r="H208" s="31" t="str"/>
      <x:c r="I208" s="28" t="str">
        <x:v>Hold</x:v>
      </x:c>
      <x:c r="J208" s="28" t="str">
        <x:v>classification</x:v>
      </x:c>
      <x:c r="K208" s="28" t="str">
        <x:v>Finance operating schedule</x:v>
      </x:c>
      <x:c r="L208" s="34" t="str">
        <x:v>2026-06-30</x:v>
      </x:c>
      <x:c r="M208" s="28" t="str"/>
    </x:row>
    <x:row r="209">
      <x:c r="A209" s="37" t="str">
        <x:v>PLN-034X30</x:v>
      </x:c>
      <x:c r="B209" s="28" t="str">
        <x:v>Service-contract cohort renewal forecast</x:v>
      </x:c>
      <x:c r="C209" s="28" t="str">
        <x:v>FY27 cohort retention action register</x:v>
      </x:c>
      <x:c r="D209" s="28" t="str">
        <x:v>Low-margin legacy repricing</x:v>
      </x:c>
      <x:c r="E209" s="28" t="str">
        <x:v>Management review</x:v>
      </x:c>
      <x:c r="F209" s="28" t="str">
        <x:v>Approved case</x:v>
      </x:c>
      <x:c r="G209" s="28" t="str">
        <x:v>Dependency</x:v>
      </x:c>
      <x:c r="H209" s="31" t="str"/>
      <x:c r="I209" s="28" t="str"/>
      <x:c r="J209" s="28" t="str">
        <x:v>classification</x:v>
      </x:c>
      <x:c r="K209" s="28" t="str">
        <x:v>Finance operating schedule</x:v>
      </x:c>
      <x:c r="L209" s="34" t="str">
        <x:v>2026-06-30</x:v>
      </x:c>
      <x:c r="M209" s="28" t="str"/>
    </x:row>
    <x:row r="210">
      <x:c r="A210" s="37" t="str">
        <x:v>PLN-034X31</x:v>
      </x:c>
      <x:c r="B210" s="28" t="str">
        <x:v>Service-contract cohort renewal forecast</x:v>
      </x:c>
      <x:c r="C210" s="28" t="str">
        <x:v>FY27 cohort retention action register</x:v>
      </x:c>
      <x:c r="D210" s="28" t="str">
        <x:v>Portfolio policy</x:v>
      </x:c>
      <x:c r="E210" s="28" t="str">
        <x:v>Management review</x:v>
      </x:c>
      <x:c r="F210" s="28" t="str">
        <x:v>Approved case</x:v>
      </x:c>
      <x:c r="G210" s="28" t="str">
        <x:v>Cash budget</x:v>
      </x:c>
      <x:c r="H210" s="31" t="n">
        <x:v>420000</x:v>
      </x:c>
      <x:c r="I210" s="28" t="str"/>
      <x:c r="J210" s="28" t="str">
        <x:v>USD</x:v>
      </x:c>
      <x:c r="K210" s="28" t="str">
        <x:v>Finance operating schedule</x:v>
      </x:c>
      <x:c r="L210" s="34" t="str">
        <x:v>2026-06-30</x:v>
      </x:c>
      <x:c r="M210" s="28" t="str"/>
    </x:row>
    <x:row r="211">
      <x:c r="A211" s="37" t="str">
        <x:v>PLN-034X32</x:v>
      </x:c>
      <x:c r="B211" s="28" t="str">
        <x:v>Service-contract cohort renewal forecast</x:v>
      </x:c>
      <x:c r="C211" s="28" t="str">
        <x:v>FY27 cohort retention action register</x:v>
      </x:c>
      <x:c r="D211" s="28" t="str">
        <x:v>Portfolio policy</x:v>
      </x:c>
      <x:c r="E211" s="28" t="str">
        <x:v>Management review</x:v>
      </x:c>
      <x:c r="F211" s="28" t="str">
        <x:v>Approved case</x:v>
      </x:c>
      <x:c r="G211" s="28" t="str">
        <x:v>Capacity limit</x:v>
      </x:c>
      <x:c r="H211" s="31" t="n">
        <x:v>1100</x:v>
      </x:c>
      <x:c r="I211" s="28" t="str"/>
      <x:c r="J211" s="28" t="str">
        <x:v>customer-success hours</x:v>
      </x:c>
      <x:c r="K211" s="28" t="str">
        <x:v>Finance operating schedule</x:v>
      </x:c>
      <x:c r="L211" s="34" t="str">
        <x:v>2026-06-30</x:v>
      </x:c>
      <x:c r="M211" s="28" t="str"/>
    </x:row>
    <x:row r="212">
      <x:c r="A212" s="37" t="str">
        <x:v>PLN-034X33</x:v>
      </x:c>
      <x:c r="B212" s="28" t="str">
        <x:v>Service-contract cohort renewal forecast</x:v>
      </x:c>
      <x:c r="C212" s="28" t="str">
        <x:v>FY27 cohort retention action register</x:v>
      </x:c>
      <x:c r="D212" s="28" t="str">
        <x:v>Portfolio policy</x:v>
      </x:c>
      <x:c r="E212" s="28" t="str">
        <x:v>Management review</x:v>
      </x:c>
      <x:c r="F212" s="28" t="str">
        <x:v>Approved case</x:v>
      </x:c>
      <x:c r="G212" s="28" t="str">
        <x:v>Maximum actions</x:v>
      </x:c>
      <x:c r="H212" s="31" t="n">
        <x:v>3</x:v>
      </x:c>
      <x:c r="I212" s="28" t="str"/>
      <x:c r="J212" s="28" t="str">
        <x:v>count</x:v>
      </x:c>
      <x:c r="K212" s="28" t="str">
        <x:v>Finance operating schedule</x:v>
      </x:c>
      <x:c r="L212" s="34" t="str">
        <x:v>2026-06-30</x:v>
      </x:c>
      <x:c r="M212" s="28" t="str"/>
    </x:row>
    <x:row r="213">
      <x:c r="A213" s="37" t="str">
        <x:v>PLN-034X34</x:v>
      </x:c>
      <x:c r="B213" s="28" t="str">
        <x:v>Service-contract cohort renewal forecast</x:v>
      </x:c>
      <x:c r="C213" s="28" t="str">
        <x:v>FY27 cohort retention action register</x:v>
      </x:c>
      <x:c r="D213" s="28" t="str">
        <x:v>Portfolio policy</x:v>
      </x:c>
      <x:c r="E213" s="28" t="str">
        <x:v>Management review</x:v>
      </x:c>
      <x:c r="F213" s="28" t="str">
        <x:v>Approved case</x:v>
      </x:c>
      <x:c r="G213" s="28" t="str">
        <x:v>Minimum expected net effect</x:v>
      </x:c>
      <x:c r="H213" s="31" t="n">
        <x:v>300000</x:v>
      </x:c>
      <x:c r="I213" s="28" t="str"/>
      <x:c r="J213" s="28" t="str">
        <x:v>USD</x:v>
      </x:c>
      <x:c r="K213" s="28" t="str">
        <x:v>Finance operating schedule</x:v>
      </x:c>
      <x:c r="L213" s="34" t="str">
        <x:v>2026-06-30</x:v>
      </x:c>
      <x:c r="M213" s="28" t="str"/>
    </x:row>
    <x:row r="214">
      <x:c r="A214" s="37" t="str">
        <x:v>PLN-034X35</x:v>
      </x:c>
      <x:c r="B214" s="28" t="str">
        <x:v>Service-contract cohort renewal forecast</x:v>
      </x:c>
      <x:c r="C214" s="28" t="str">
        <x:v>FY27 cohort retention action register</x:v>
      </x:c>
      <x:c r="D214" s="28" t="str">
        <x:v>Portfolio policy</x:v>
      </x:c>
      <x:c r="E214" s="28" t="str">
        <x:v>Management review</x:v>
      </x:c>
      <x:c r="F214" s="28" t="str">
        <x:v>Approved case</x:v>
      </x:c>
      <x:c r="G214" s="28" t="str">
        <x:v>Effect basis</x:v>
      </x:c>
      <x:c r="H214" s="31" t="str"/>
      <x:c r="I214" s="28" t="str">
        <x:v>protected recurring ARR</x:v>
      </x:c>
      <x:c r="J214" s="28" t="str">
        <x:v>classification</x:v>
      </x:c>
      <x:c r="K214" s="28" t="str">
        <x:v>Finance operating schedule</x:v>
      </x:c>
      <x:c r="L214" s="34" t="str">
        <x:v>2026-06-30</x:v>
      </x:c>
      <x:c r="M214" s="28" t="str"/>
    </x:row>
    <x:row r="215">
      <x:c r="A215" s="37" t="str">
        <x:v>PLN-034X36</x:v>
      </x:c>
      <x:c r="B215" s="28" t="str">
        <x:v>Service-contract cohort renewal forecast</x:v>
      </x:c>
      <x:c r="C215" s="28" t="str">
        <x:v>FY27 cohort retention action register</x:v>
      </x:c>
      <x:c r="D215" s="28" t="str">
        <x:v>Portfolio policy</x:v>
      </x:c>
      <x:c r="E215" s="28" t="str">
        <x:v>Management review</x:v>
      </x:c>
      <x:c r="F215" s="28" t="str">
        <x:v>Approved case</x:v>
      </x:c>
      <x:c r="G215" s="28" t="str">
        <x:v>Eligible statuses</x:v>
      </x:c>
      <x:c r="H215" s="31" t="str"/>
      <x:c r="I215" s="28" t="str">
        <x:v>Approved; Conditional</x:v>
      </x:c>
      <x:c r="J215" s="28" t="str">
        <x:v>classification</x:v>
      </x:c>
      <x:c r="K215" s="28" t="str">
        <x:v>Finance operating schedule</x:v>
      </x:c>
      <x:c r="L215" s="34" t="str">
        <x:v>2026-06-30</x:v>
      </x:c>
      <x:c r="M215" s="28" t="str"/>
    </x:row>
    <x:row r="216">
      <x:c r="A216" s="37" t="str">
        <x:v>PLN-034X47</x:v>
      </x:c>
      <x:c r="B216" s="28" t="str">
        <x:v>Service-contract cohort renewal forecast</x:v>
      </x:c>
      <x:c r="C216" s="28" t="str">
        <x:v>FY27 cohort retention action register scenario controls</x:v>
      </x:c>
      <x:c r="D216" s="28" t="str">
        <x:v>Steering base</x:v>
      </x:c>
      <x:c r="E216" s="28" t="str">
        <x:v>Management review</x:v>
      </x:c>
      <x:c r="F216" s="28" t="str">
        <x:v>Approved case</x:v>
      </x:c>
      <x:c r="G216" s="28" t="str">
        <x:v>Gross effect factor</x:v>
      </x:c>
      <x:c r="H216" s="31" t="n">
        <x:v>1</x:v>
      </x:c>
      <x:c r="I216" s="28" t="str"/>
      <x:c r="J216" s="28" t="str">
        <x:v>decimal ratio</x:v>
      </x:c>
      <x:c r="K216" s="28" t="str">
        <x:v>Finance operating schedule</x:v>
      </x:c>
      <x:c r="L216" s="34" t="str">
        <x:v>2026-06-30</x:v>
      </x:c>
      <x:c r="M216" s="28" t="str"/>
    </x:row>
    <x:row r="217">
      <x:c r="A217" s="37" t="str">
        <x:v>PLN-034X48</x:v>
      </x:c>
      <x:c r="B217" s="28" t="str">
        <x:v>Service-contract cohort renewal forecast</x:v>
      </x:c>
      <x:c r="C217" s="28" t="str">
        <x:v>FY27 cohort retention action register scenario controls</x:v>
      </x:c>
      <x:c r="D217" s="28" t="str">
        <x:v>Steering base</x:v>
      </x:c>
      <x:c r="E217" s="28" t="str">
        <x:v>Management review</x:v>
      </x:c>
      <x:c r="F217" s="28" t="str">
        <x:v>Approved case</x:v>
      </x:c>
      <x:c r="G217" s="28" t="str">
        <x:v>Probability factor</x:v>
      </x:c>
      <x:c r="H217" s="31" t="n">
        <x:v>1</x:v>
      </x:c>
      <x:c r="I217" s="28" t="str"/>
      <x:c r="J217" s="28" t="str">
        <x:v>decimal ratio</x:v>
      </x:c>
      <x:c r="K217" s="28" t="str">
        <x:v>Finance operating schedule</x:v>
      </x:c>
      <x:c r="L217" s="34" t="str">
        <x:v>2026-06-30</x:v>
      </x:c>
      <x:c r="M217" s="28" t="str"/>
    </x:row>
    <x:row r="218">
      <x:c r="A218" s="37" t="str">
        <x:v>PLN-034X49</x:v>
      </x:c>
      <x:c r="B218" s="28" t="str">
        <x:v>Service-contract cohort renewal forecast</x:v>
      </x:c>
      <x:c r="C218" s="28" t="str">
        <x:v>FY27 cohort retention action register scenario controls</x:v>
      </x:c>
      <x:c r="D218" s="28" t="str">
        <x:v>Steering base</x:v>
      </x:c>
      <x:c r="E218" s="28" t="str">
        <x:v>Management review</x:v>
      </x:c>
      <x:c r="F218" s="28" t="str">
        <x:v>Approved case</x:v>
      </x:c>
      <x:c r="G218" s="28" t="str">
        <x:v>Cash cost factor</x:v>
      </x:c>
      <x:c r="H218" s="31" t="n">
        <x:v>1</x:v>
      </x:c>
      <x:c r="I218" s="28" t="str"/>
      <x:c r="J218" s="28" t="str">
        <x:v>decimal ratio</x:v>
      </x:c>
      <x:c r="K218" s="28" t="str">
        <x:v>Finance operating schedule</x:v>
      </x:c>
      <x:c r="L218" s="34" t="str">
        <x:v>2026-06-30</x:v>
      </x:c>
      <x:c r="M218" s="28" t="str"/>
    </x:row>
    <x:row r="219">
      <x:c r="A219" s="37" t="str">
        <x:v>PLN-034X50</x:v>
      </x:c>
      <x:c r="B219" s="28" t="str">
        <x:v>Service-contract cohort renewal forecast</x:v>
      </x:c>
      <x:c r="C219" s="28" t="str">
        <x:v>FY27 cohort retention action register scenario controls</x:v>
      </x:c>
      <x:c r="D219" s="28" t="str">
        <x:v>Steering base</x:v>
      </x:c>
      <x:c r="E219" s="28" t="str">
        <x:v>Management review</x:v>
      </x:c>
      <x:c r="F219" s="28" t="str">
        <x:v>Approved case</x:v>
      </x:c>
      <x:c r="G219" s="28" t="str">
        <x:v>Capacity factor</x:v>
      </x:c>
      <x:c r="H219" s="31" t="n">
        <x:v>1</x:v>
      </x:c>
      <x:c r="I219" s="28" t="str"/>
      <x:c r="J219" s="28" t="str">
        <x:v>decimal ratio</x:v>
      </x:c>
      <x:c r="K219" s="28" t="str">
        <x:v>Finance operating schedule</x:v>
      </x:c>
      <x:c r="L219" s="34" t="str">
        <x:v>2026-06-30</x:v>
      </x:c>
      <x:c r="M219" s="28" t="str"/>
    </x:row>
    <x:row r="220">
      <x:c r="A220" s="37" t="str">
        <x:v>PLN-034X51</x:v>
      </x:c>
      <x:c r="B220" s="28" t="str">
        <x:v>Service-contract cohort renewal forecast</x:v>
      </x:c>
      <x:c r="C220" s="28" t="str">
        <x:v>FY27 cohort retention action register scenario controls</x:v>
      </x:c>
      <x:c r="D220" s="28" t="str">
        <x:v>Steering base</x:v>
      </x:c>
      <x:c r="E220" s="28" t="str">
        <x:v>Management review</x:v>
      </x:c>
      <x:c r="F220" s="28" t="str">
        <x:v>Approved case</x:v>
      </x:c>
      <x:c r="G220" s="28" t="str">
        <x:v>Cash budget factor</x:v>
      </x:c>
      <x:c r="H220" s="31" t="n">
        <x:v>1</x:v>
      </x:c>
      <x:c r="I220" s="28" t="str"/>
      <x:c r="J220" s="28" t="str">
        <x:v>decimal ratio</x:v>
      </x:c>
      <x:c r="K220" s="28" t="str">
        <x:v>Finance operating schedule</x:v>
      </x:c>
      <x:c r="L220" s="34" t="str">
        <x:v>2026-06-30</x:v>
      </x:c>
      <x:c r="M220" s="28" t="str"/>
    </x:row>
    <x:row r="221">
      <x:c r="A221" s="37" t="str">
        <x:v>PLN-034X52</x:v>
      </x:c>
      <x:c r="B221" s="28" t="str">
        <x:v>Service-contract cohort renewal forecast</x:v>
      </x:c>
      <x:c r="C221" s="28" t="str">
        <x:v>FY27 cohort retention action register scenario controls</x:v>
      </x:c>
      <x:c r="D221" s="28" t="str">
        <x:v>Steering base</x:v>
      </x:c>
      <x:c r="E221" s="28" t="str">
        <x:v>Management review</x:v>
      </x:c>
      <x:c r="F221" s="28" t="str">
        <x:v>Approved case</x:v>
      </x:c>
      <x:c r="G221" s="28" t="str">
        <x:v>Capacity limit factor</x:v>
      </x:c>
      <x:c r="H221" s="31" t="n">
        <x:v>1</x:v>
      </x:c>
      <x:c r="I221" s="28" t="str"/>
      <x:c r="J221" s="28" t="str">
        <x:v>decimal ratio</x:v>
      </x:c>
      <x:c r="K221" s="28" t="str">
        <x:v>Finance operating schedule</x:v>
      </x:c>
      <x:c r="L221" s="34" t="str">
        <x:v>2026-06-30</x:v>
      </x:c>
      <x:c r="M221" s="28" t="str"/>
    </x:row>
    <x:row r="222">
      <x:c r="A222" s="37" t="str">
        <x:v>PLN-034X53</x:v>
      </x:c>
      <x:c r="B222" s="28" t="str">
        <x:v>Service-contract cohort renewal forecast</x:v>
      </x:c>
      <x:c r="C222" s="28" t="str">
        <x:v>FY27 cohort retention action register scenario controls</x:v>
      </x:c>
      <x:c r="D222" s="28" t="str">
        <x:v>Steering base</x:v>
      </x:c>
      <x:c r="E222" s="28" t="str">
        <x:v>Management review</x:v>
      </x:c>
      <x:c r="F222" s="28" t="str">
        <x:v>Approved case</x:v>
      </x:c>
      <x:c r="G222" s="28" t="str">
        <x:v>Maximum actions</x:v>
      </x:c>
      <x:c r="H222" s="31" t="n">
        <x:v>3</x:v>
      </x:c>
      <x:c r="I222" s="28" t="str"/>
      <x:c r="J222" s="28" t="str">
        <x:v>count</x:v>
      </x:c>
      <x:c r="K222" s="28" t="str">
        <x:v>Finance operating schedule</x:v>
      </x:c>
      <x:c r="L222" s="34" t="str">
        <x:v>2026-06-30</x:v>
      </x:c>
      <x:c r="M222" s="28" t="str"/>
    </x:row>
    <x:row r="223">
      <x:c r="A223" s="37" t="str">
        <x:v>PLN-034X54</x:v>
      </x:c>
      <x:c r="B223" s="28" t="str">
        <x:v>Service-contract cohort renewal forecast</x:v>
      </x:c>
      <x:c r="C223" s="28" t="str">
        <x:v>FY27 cohort retention action register scenario controls</x:v>
      </x:c>
      <x:c r="D223" s="28" t="str">
        <x:v>Steering base</x:v>
      </x:c>
      <x:c r="E223" s="28" t="str">
        <x:v>Management review</x:v>
      </x:c>
      <x:c r="F223" s="28" t="str">
        <x:v>Approved case</x:v>
      </x:c>
      <x:c r="G223" s="28" t="str">
        <x:v>Conditional actions allowed</x:v>
      </x:c>
      <x:c r="H223" s="31" t="str"/>
      <x:c r="I223" s="28" t="str">
        <x:v>Yes</x:v>
      </x:c>
      <x:c r="J223" s="28" t="str">
        <x:v>classification</x:v>
      </x:c>
      <x:c r="K223" s="28" t="str">
        <x:v>Finance operating schedule</x:v>
      </x:c>
      <x:c r="L223" s="34" t="str">
        <x:v>2026-06-30</x:v>
      </x:c>
      <x:c r="M223" s="28" t="str"/>
    </x:row>
    <x:row r="224">
      <x:c r="A224" s="37" t="str">
        <x:v>PLN-034X55</x:v>
      </x:c>
      <x:c r="B224" s="28" t="str">
        <x:v>Service-contract cohort renewal forecast</x:v>
      </x:c>
      <x:c r="C224" s="28" t="str">
        <x:v>FY27 cohort retention action register scenario controls</x:v>
      </x:c>
      <x:c r="D224" s="28" t="str">
        <x:v>Renewal and start-date pressure</x:v>
      </x:c>
      <x:c r="E224" s="28" t="str">
        <x:v>Management review</x:v>
      </x:c>
      <x:c r="F224" s="28" t="str">
        <x:v>Approved case</x:v>
      </x:c>
      <x:c r="G224" s="28" t="str">
        <x:v>Gross effect factor</x:v>
      </x:c>
      <x:c r="H224" s="31" t="n">
        <x:v>0.78</x:v>
      </x:c>
      <x:c r="I224" s="28" t="str"/>
      <x:c r="J224" s="28" t="str">
        <x:v>decimal ratio</x:v>
      </x:c>
      <x:c r="K224" s="28" t="str">
        <x:v>Finance operating schedule</x:v>
      </x:c>
      <x:c r="L224" s="34" t="str">
        <x:v>2026-06-30</x:v>
      </x:c>
      <x:c r="M224" s="28" t="str"/>
    </x:row>
    <x:row r="225">
      <x:c r="A225" s="37" t="str">
        <x:v>PLN-034X56</x:v>
      </x:c>
      <x:c r="B225" s="28" t="str">
        <x:v>Service-contract cohort renewal forecast</x:v>
      </x:c>
      <x:c r="C225" s="28" t="str">
        <x:v>FY27 cohort retention action register scenario controls</x:v>
      </x:c>
      <x:c r="D225" s="28" t="str">
        <x:v>Renewal and start-date pressure</x:v>
      </x:c>
      <x:c r="E225" s="28" t="str">
        <x:v>Management review</x:v>
      </x:c>
      <x:c r="F225" s="28" t="str">
        <x:v>Approved case</x:v>
      </x:c>
      <x:c r="G225" s="28" t="str">
        <x:v>Probability factor</x:v>
      </x:c>
      <x:c r="H225" s="31" t="n">
        <x:v>0.74</x:v>
      </x:c>
      <x:c r="I225" s="28" t="str"/>
      <x:c r="J225" s="28" t="str">
        <x:v>decimal ratio</x:v>
      </x:c>
      <x:c r="K225" s="28" t="str">
        <x:v>Finance operating schedule</x:v>
      </x:c>
      <x:c r="L225" s="34" t="str">
        <x:v>2026-06-30</x:v>
      </x:c>
      <x:c r="M225" s="28" t="str"/>
    </x:row>
    <x:row r="226">
      <x:c r="A226" s="37" t="str">
        <x:v>PLN-034X57</x:v>
      </x:c>
      <x:c r="B226" s="28" t="str">
        <x:v>Service-contract cohort renewal forecast</x:v>
      </x:c>
      <x:c r="C226" s="28" t="str">
        <x:v>FY27 cohort retention action register scenario controls</x:v>
      </x:c>
      <x:c r="D226" s="28" t="str">
        <x:v>Renewal and start-date pressure</x:v>
      </x:c>
      <x:c r="E226" s="28" t="str">
        <x:v>Management review</x:v>
      </x:c>
      <x:c r="F226" s="28" t="str">
        <x:v>Approved case</x:v>
      </x:c>
      <x:c r="G226" s="28" t="str">
        <x:v>Cash cost factor</x:v>
      </x:c>
      <x:c r="H226" s="31" t="n">
        <x:v>1.1</x:v>
      </x:c>
      <x:c r="I226" s="28" t="str"/>
      <x:c r="J226" s="28" t="str">
        <x:v>decimal ratio</x:v>
      </x:c>
      <x:c r="K226" s="28" t="str">
        <x:v>Finance operating schedule</x:v>
      </x:c>
      <x:c r="L226" s="34" t="str">
        <x:v>2026-06-30</x:v>
      </x:c>
      <x:c r="M226" s="28" t="str"/>
    </x:row>
    <x:row r="227">
      <x:c r="A227" s="37" t="str">
        <x:v>PLN-034X58</x:v>
      </x:c>
      <x:c r="B227" s="28" t="str">
        <x:v>Service-contract cohort renewal forecast</x:v>
      </x:c>
      <x:c r="C227" s="28" t="str">
        <x:v>FY27 cohort retention action register scenario controls</x:v>
      </x:c>
      <x:c r="D227" s="28" t="str">
        <x:v>Renewal and start-date pressure</x:v>
      </x:c>
      <x:c r="E227" s="28" t="str">
        <x:v>Management review</x:v>
      </x:c>
      <x:c r="F227" s="28" t="str">
        <x:v>Approved case</x:v>
      </x:c>
      <x:c r="G227" s="28" t="str">
        <x:v>Capacity factor</x:v>
      </x:c>
      <x:c r="H227" s="31" t="n">
        <x:v>1.12</x:v>
      </x:c>
      <x:c r="I227" s="28" t="str"/>
      <x:c r="J227" s="28" t="str">
        <x:v>decimal ratio</x:v>
      </x:c>
      <x:c r="K227" s="28" t="str">
        <x:v>Finance operating schedule</x:v>
      </x:c>
      <x:c r="L227" s="34" t="str">
        <x:v>2026-06-30</x:v>
      </x:c>
      <x:c r="M227" s="28" t="str"/>
    </x:row>
    <x:row r="228">
      <x:c r="A228" s="37" t="str">
        <x:v>PLN-034X59</x:v>
      </x:c>
      <x:c r="B228" s="28" t="str">
        <x:v>Service-contract cohort renewal forecast</x:v>
      </x:c>
      <x:c r="C228" s="28" t="str">
        <x:v>FY27 cohort retention action register scenario controls</x:v>
      </x:c>
      <x:c r="D228" s="28" t="str">
        <x:v>Renewal and start-date pressure</x:v>
      </x:c>
      <x:c r="E228" s="28" t="str">
        <x:v>Management review</x:v>
      </x:c>
      <x:c r="F228" s="28" t="str">
        <x:v>Approved case</x:v>
      </x:c>
      <x:c r="G228" s="28" t="str">
        <x:v>Cash budget factor</x:v>
      </x:c>
      <x:c r="H228" s="31" t="n">
        <x:v>0.82</x:v>
      </x:c>
      <x:c r="I228" s="28" t="str"/>
      <x:c r="J228" s="28" t="str">
        <x:v>decimal ratio</x:v>
      </x:c>
      <x:c r="K228" s="28" t="str">
        <x:v>Finance operating schedule</x:v>
      </x:c>
      <x:c r="L228" s="34" t="str">
        <x:v>2026-06-30</x:v>
      </x:c>
      <x:c r="M228" s="28" t="str"/>
    </x:row>
    <x:row r="229">
      <x:c r="A229" s="37" t="str">
        <x:v>PLN-034X60</x:v>
      </x:c>
      <x:c r="B229" s="28" t="str">
        <x:v>Service-contract cohort renewal forecast</x:v>
      </x:c>
      <x:c r="C229" s="28" t="str">
        <x:v>FY27 cohort retention action register scenario controls</x:v>
      </x:c>
      <x:c r="D229" s="28" t="str">
        <x:v>Renewal and start-date pressure</x:v>
      </x:c>
      <x:c r="E229" s="28" t="str">
        <x:v>Management review</x:v>
      </x:c>
      <x:c r="F229" s="28" t="str">
        <x:v>Approved case</x:v>
      </x:c>
      <x:c r="G229" s="28" t="str">
        <x:v>Capacity limit factor</x:v>
      </x:c>
      <x:c r="H229" s="31" t="n">
        <x:v>0.78</x:v>
      </x:c>
      <x:c r="I229" s="28" t="str"/>
      <x:c r="J229" s="28" t="str">
        <x:v>decimal ratio</x:v>
      </x:c>
      <x:c r="K229" s="28" t="str">
        <x:v>Finance operating schedule</x:v>
      </x:c>
      <x:c r="L229" s="34" t="str">
        <x:v>2026-06-30</x:v>
      </x:c>
      <x:c r="M229" s="28" t="str"/>
    </x:row>
    <x:row r="230">
      <x:c r="A230" s="37" t="str">
        <x:v>PLN-034X61</x:v>
      </x:c>
      <x:c r="B230" s="28" t="str">
        <x:v>Service-contract cohort renewal forecast</x:v>
      </x:c>
      <x:c r="C230" s="28" t="str">
        <x:v>FY27 cohort retention action register scenario controls</x:v>
      </x:c>
      <x:c r="D230" s="28" t="str">
        <x:v>Renewal and start-date pressure</x:v>
      </x:c>
      <x:c r="E230" s="28" t="str">
        <x:v>Management review</x:v>
      </x:c>
      <x:c r="F230" s="28" t="str">
        <x:v>Approved case</x:v>
      </x:c>
      <x:c r="G230" s="28" t="str">
        <x:v>Maximum actions</x:v>
      </x:c>
      <x:c r="H230" s="31" t="n">
        <x:v>2</x:v>
      </x:c>
      <x:c r="I230" s="28" t="str"/>
      <x:c r="J230" s="28" t="str">
        <x:v>count</x:v>
      </x:c>
      <x:c r="K230" s="28" t="str">
        <x:v>Finance operating schedule</x:v>
      </x:c>
      <x:c r="L230" s="34" t="str">
        <x:v>2026-06-30</x:v>
      </x:c>
      <x:c r="M230" s="28" t="str"/>
    </x:row>
    <x:row r="231">
      <x:c r="A231" s="37" t="str">
        <x:v>PLN-034X62</x:v>
      </x:c>
      <x:c r="B231" s="28" t="str">
        <x:v>Service-contract cohort renewal forecast</x:v>
      </x:c>
      <x:c r="C231" s="28" t="str">
        <x:v>FY27 cohort retention action register scenario controls</x:v>
      </x:c>
      <x:c r="D231" s="28" t="str">
        <x:v>Renewal and start-date pressure</x:v>
      </x:c>
      <x:c r="E231" s="28" t="str">
        <x:v>Management review</x:v>
      </x:c>
      <x:c r="F231" s="28" t="str">
        <x:v>Approved case</x:v>
      </x:c>
      <x:c r="G231" s="28" t="str">
        <x:v>Conditional actions allowed</x:v>
      </x:c>
      <x:c r="H231" s="31" t="str"/>
      <x:c r="I231" s="28" t="str">
        <x:v>No</x:v>
      </x:c>
      <x:c r="J231" s="28" t="str">
        <x:v>classification</x:v>
      </x:c>
      <x:c r="K231" s="28" t="str">
        <x:v>Finance operating schedule</x:v>
      </x:c>
      <x:c r="L231" s="34" t="str">
        <x:v>2026-06-30</x:v>
      </x:c>
      <x:c r="M231" s="28" t="str"/>
    </x:row>
    <x:row r="232">
      <x:c r="A232" s="37" t="str">
        <x:v>PLN-034X63</x:v>
      </x:c>
      <x:c r="B232" s="28" t="str">
        <x:v>Service-contract cohort renewal forecast</x:v>
      </x:c>
      <x:c r="C232" s="28" t="str">
        <x:v>FY27 cohort retention action register scenario controls</x:v>
      </x:c>
      <x:c r="D232" s="28" t="str">
        <x:v>Combined retention downside</x:v>
      </x:c>
      <x:c r="E232" s="28" t="str">
        <x:v>Management review</x:v>
      </x:c>
      <x:c r="F232" s="28" t="str">
        <x:v>Approved case</x:v>
      </x:c>
      <x:c r="G232" s="28" t="str">
        <x:v>Gross effect factor</x:v>
      </x:c>
      <x:c r="H232" s="31" t="n">
        <x:v>0.62</x:v>
      </x:c>
      <x:c r="I232" s="28" t="str"/>
      <x:c r="J232" s="28" t="str">
        <x:v>decimal ratio</x:v>
      </x:c>
      <x:c r="K232" s="28" t="str">
        <x:v>Finance operating schedule</x:v>
      </x:c>
      <x:c r="L232" s="34" t="str">
        <x:v>2026-06-30</x:v>
      </x:c>
      <x:c r="M232" s="28" t="str"/>
    </x:row>
    <x:row r="233">
      <x:c r="A233" s="37" t="str">
        <x:v>PLN-034X64</x:v>
      </x:c>
      <x:c r="B233" s="28" t="str">
        <x:v>Service-contract cohort renewal forecast</x:v>
      </x:c>
      <x:c r="C233" s="28" t="str">
        <x:v>FY27 cohort retention action register scenario controls</x:v>
      </x:c>
      <x:c r="D233" s="28" t="str">
        <x:v>Combined retention downside</x:v>
      </x:c>
      <x:c r="E233" s="28" t="str">
        <x:v>Management review</x:v>
      </x:c>
      <x:c r="F233" s="28" t="str">
        <x:v>Approved case</x:v>
      </x:c>
      <x:c r="G233" s="28" t="str">
        <x:v>Probability factor</x:v>
      </x:c>
      <x:c r="H233" s="31" t="n">
        <x:v>0.66</x:v>
      </x:c>
      <x:c r="I233" s="28" t="str"/>
      <x:c r="J233" s="28" t="str">
        <x:v>decimal ratio</x:v>
      </x:c>
      <x:c r="K233" s="28" t="str">
        <x:v>Finance operating schedule</x:v>
      </x:c>
      <x:c r="L233" s="34" t="str">
        <x:v>2026-06-30</x:v>
      </x:c>
      <x:c r="M233" s="28" t="str"/>
    </x:row>
    <x:row r="234">
      <x:c r="A234" s="37" t="str">
        <x:v>PLN-034X65</x:v>
      </x:c>
      <x:c r="B234" s="28" t="str">
        <x:v>Service-contract cohort renewal forecast</x:v>
      </x:c>
      <x:c r="C234" s="28" t="str">
        <x:v>FY27 cohort retention action register scenario controls</x:v>
      </x:c>
      <x:c r="D234" s="28" t="str">
        <x:v>Combined retention downside</x:v>
      </x:c>
      <x:c r="E234" s="28" t="str">
        <x:v>Management review</x:v>
      </x:c>
      <x:c r="F234" s="28" t="str">
        <x:v>Approved case</x:v>
      </x:c>
      <x:c r="G234" s="28" t="str">
        <x:v>Cash cost factor</x:v>
      </x:c>
      <x:c r="H234" s="31" t="n">
        <x:v>1.18</x:v>
      </x:c>
      <x:c r="I234" s="28" t="str"/>
      <x:c r="J234" s="28" t="str">
        <x:v>decimal ratio</x:v>
      </x:c>
      <x:c r="K234" s="28" t="str">
        <x:v>Finance operating schedule</x:v>
      </x:c>
      <x:c r="L234" s="34" t="str">
        <x:v>2026-06-30</x:v>
      </x:c>
      <x:c r="M234" s="28" t="str"/>
    </x:row>
    <x:row r="235">
      <x:c r="A235" s="37" t="str">
        <x:v>PLN-034X66</x:v>
      </x:c>
      <x:c r="B235" s="28" t="str">
        <x:v>Service-contract cohort renewal forecast</x:v>
      </x:c>
      <x:c r="C235" s="28" t="str">
        <x:v>FY27 cohort retention action register scenario controls</x:v>
      </x:c>
      <x:c r="D235" s="28" t="str">
        <x:v>Combined retention downside</x:v>
      </x:c>
      <x:c r="E235" s="28" t="str">
        <x:v>Management review</x:v>
      </x:c>
      <x:c r="F235" s="28" t="str">
        <x:v>Approved case</x:v>
      </x:c>
      <x:c r="G235" s="28" t="str">
        <x:v>Capacity factor</x:v>
      </x:c>
      <x:c r="H235" s="31" t="n">
        <x:v>1.22</x:v>
      </x:c>
      <x:c r="I235" s="28" t="str"/>
      <x:c r="J235" s="28" t="str">
        <x:v>decimal ratio</x:v>
      </x:c>
      <x:c r="K235" s="28" t="str">
        <x:v>Finance operating schedule</x:v>
      </x:c>
      <x:c r="L235" s="34" t="str">
        <x:v>2026-06-30</x:v>
      </x:c>
      <x:c r="M235" s="28" t="str"/>
    </x:row>
    <x:row r="236">
      <x:c r="A236" s="37" t="str">
        <x:v>PLN-034X67</x:v>
      </x:c>
      <x:c r="B236" s="28" t="str">
        <x:v>Service-contract cohort renewal forecast</x:v>
      </x:c>
      <x:c r="C236" s="28" t="str">
        <x:v>FY27 cohort retention action register scenario controls</x:v>
      </x:c>
      <x:c r="D236" s="28" t="str">
        <x:v>Combined retention downside</x:v>
      </x:c>
      <x:c r="E236" s="28" t="str">
        <x:v>Management review</x:v>
      </x:c>
      <x:c r="F236" s="28" t="str">
        <x:v>Approved case</x:v>
      </x:c>
      <x:c r="G236" s="28" t="str">
        <x:v>Cash budget factor</x:v>
      </x:c>
      <x:c r="H236" s="31" t="n">
        <x:v>0.7</x:v>
      </x:c>
      <x:c r="I236" s="28" t="str"/>
      <x:c r="J236" s="28" t="str">
        <x:v>decimal ratio</x:v>
      </x:c>
      <x:c r="K236" s="28" t="str">
        <x:v>Finance operating schedule</x:v>
      </x:c>
      <x:c r="L236" s="34" t="str">
        <x:v>2026-06-30</x:v>
      </x:c>
      <x:c r="M236" s="28" t="str"/>
    </x:row>
    <x:row r="237">
      <x:c r="A237" s="37" t="str">
        <x:v>PLN-034X68</x:v>
      </x:c>
      <x:c r="B237" s="28" t="str">
        <x:v>Service-contract cohort renewal forecast</x:v>
      </x:c>
      <x:c r="C237" s="28" t="str">
        <x:v>FY27 cohort retention action register scenario controls</x:v>
      </x:c>
      <x:c r="D237" s="28" t="str">
        <x:v>Combined retention downside</x:v>
      </x:c>
      <x:c r="E237" s="28" t="str">
        <x:v>Management review</x:v>
      </x:c>
      <x:c r="F237" s="28" t="str">
        <x:v>Approved case</x:v>
      </x:c>
      <x:c r="G237" s="28" t="str">
        <x:v>Capacity limit factor</x:v>
      </x:c>
      <x:c r="H237" s="31" t="n">
        <x:v>0.64</x:v>
      </x:c>
      <x:c r="I237" s="28" t="str"/>
      <x:c r="J237" s="28" t="str">
        <x:v>decimal ratio</x:v>
      </x:c>
      <x:c r="K237" s="28" t="str">
        <x:v>Finance operating schedule</x:v>
      </x:c>
      <x:c r="L237" s="34" t="str">
        <x:v>2026-06-30</x:v>
      </x:c>
      <x:c r="M237" s="28" t="str"/>
    </x:row>
    <x:row r="238">
      <x:c r="A238" s="37" t="str">
        <x:v>PLN-034X69</x:v>
      </x:c>
      <x:c r="B238" s="28" t="str">
        <x:v>Service-contract cohort renewal forecast</x:v>
      </x:c>
      <x:c r="C238" s="28" t="str">
        <x:v>FY27 cohort retention action register scenario controls</x:v>
      </x:c>
      <x:c r="D238" s="28" t="str">
        <x:v>Combined retention downside</x:v>
      </x:c>
      <x:c r="E238" s="28" t="str">
        <x:v>Management review</x:v>
      </x:c>
      <x:c r="F238" s="28" t="str">
        <x:v>Approved case</x:v>
      </x:c>
      <x:c r="G238" s="28" t="str">
        <x:v>Maximum actions</x:v>
      </x:c>
      <x:c r="H238" s="31" t="n">
        <x:v>1</x:v>
      </x:c>
      <x:c r="I238" s="28" t="str"/>
      <x:c r="J238" s="28" t="str">
        <x:v>count</x:v>
      </x:c>
      <x:c r="K238" s="28" t="str">
        <x:v>Finance operating schedule</x:v>
      </x:c>
      <x:c r="L238" s="34" t="str">
        <x:v>2026-06-30</x:v>
      </x:c>
      <x:c r="M238" s="28" t="str"/>
    </x:row>
    <x:row r="239">
      <x:c r="A239" s="37" t="str">
        <x:v>PLN-034X70</x:v>
      </x:c>
      <x:c r="B239" s="28" t="str">
        <x:v>Service-contract cohort renewal forecast</x:v>
      </x:c>
      <x:c r="C239" s="28" t="str">
        <x:v>FY27 cohort retention action register scenario controls</x:v>
      </x:c>
      <x:c r="D239" s="28" t="str">
        <x:v>Combined retention downside</x:v>
      </x:c>
      <x:c r="E239" s="28" t="str">
        <x:v>Management review</x:v>
      </x:c>
      <x:c r="F239" s="28" t="str">
        <x:v>Approved case</x:v>
      </x:c>
      <x:c r="G239" s="28" t="str">
        <x:v>Conditional actions allowed</x:v>
      </x:c>
      <x:c r="H239" s="31" t="str"/>
      <x:c r="I239" s="28" t="str">
        <x:v>No</x:v>
      </x:c>
      <x:c r="J239" s="28" t="str">
        <x:v>classification</x:v>
      </x:c>
      <x:c r="K239" s="28" t="str">
        <x:v>Finance operating schedule</x:v>
      </x:c>
      <x:c r="L239" s="34" t="str">
        <x:v>2026-06-30</x:v>
      </x:c>
      <x:c r="M239" s="28" t="str"/>
    </x:row>
    <x:row r="240">
      <x:c r="A240" s="37" t="str">
        <x:v>PLN-00926</x:v>
      </x:c>
      <x:c r="B240" s="28" t="str">
        <x:v>Create the integrated FY27 operating plan</x:v>
      </x:c>
      <x:c r="C240" s="28" t="str">
        <x:v>Integrated plan baseline</x:v>
      </x:c>
      <x:c r="D240" s="28" t="str">
        <x:v>Alder Ridge</x:v>
      </x:c>
      <x:c r="E240" s="28" t="str">
        <x:v>LTM 2026-06-30</x:v>
      </x:c>
      <x:c r="F240" s="28" t="str">
        <x:v>Approved case</x:v>
      </x:c>
      <x:c r="G240" s="28" t="str">
        <x:v>Posted revenue</x:v>
      </x:c>
      <x:c r="H240" s="31" t="n">
        <x:v>1</x:v>
      </x:c>
      <x:c r="I240" s="28" t="str"/>
      <x:c r="J240" s="28" t="str">
        <x:v>ledger allocation factor</x:v>
      </x:c>
      <x:c r="K240" s="28" t="str">
        <x:v>Finance operating schedule</x:v>
      </x:c>
      <x:c r="L240" s="34" t="str">
        <x:v>2026-06-30</x:v>
      </x:c>
      <x:c r="M240" s="28" t="str">
        <x:v>Vista ERP P&amp;L, 2025-07-01 through 2026-06-30; Revenue total</x:v>
      </x:c>
    </x:row>
    <x:row r="241">
      <x:c r="A241" s="37" t="str">
        <x:v>PLN-00927</x:v>
      </x:c>
      <x:c r="B241" s="28" t="str">
        <x:v>Create the integrated FY27 operating plan</x:v>
      </x:c>
      <x:c r="C241" s="28" t="str">
        <x:v>Integrated plan baseline</x:v>
      </x:c>
      <x:c r="D241" s="28" t="str">
        <x:v>Alder Ridge</x:v>
      </x:c>
      <x:c r="E241" s="28" t="str">
        <x:v>2026-06-30</x:v>
      </x:c>
      <x:c r="F241" s="28" t="str">
        <x:v>Approved case</x:v>
      </x:c>
      <x:c r="G241" s="28" t="str">
        <x:v>Opening unrestricted cash</x:v>
      </x:c>
      <x:c r="H241" s="31" t="n">
        <x:v>1</x:v>
      </x:c>
      <x:c r="I241" s="28" t="str"/>
      <x:c r="J241" s="28" t="str">
        <x:v>ledger allocation factor</x:v>
      </x:c>
      <x:c r="K241" s="28" t="str">
        <x:v>Finance operating schedule</x:v>
      </x:c>
      <x:c r="L241" s="34" t="str">
        <x:v>2026-06-30</x:v>
      </x:c>
      <x:c r="M241" s="28" t="str">
        <x:v>Vista ERP cash detail as of 2026-06-30; unrestricted company cash accounts</x:v>
      </x:c>
    </x:row>
    <x:row r="242">
      <x:c r="A242" s="37" t="str">
        <x:v>PLN-00928</x:v>
      </x:c>
      <x:c r="B242" s="28" t="str">
        <x:v>Create the integrated FY27 operating plan</x:v>
      </x:c>
      <x:c r="C242" s="28" t="str">
        <x:v>Branch operating plan</x:v>
      </x:c>
      <x:c r="D242" s="28" t="str">
        <x:v>Construction</x:v>
      </x:c>
      <x:c r="E242" s="28" t="str">
        <x:v>FY27</x:v>
      </x:c>
      <x:c r="F242" s="28" t="str">
        <x:v>Approved case</x:v>
      </x:c>
      <x:c r="G242" s="28" t="str">
        <x:v>FY26 revenue share</x:v>
      </x:c>
      <x:c r="H242" s="31" t="n">
        <x:v>0.58</x:v>
      </x:c>
      <x:c r="I242" s="28" t="str"/>
      <x:c r="J242" s="28" t="str">
        <x:v>decimal ratio</x:v>
      </x:c>
      <x:c r="K242" s="28" t="str">
        <x:v>Finance operating schedule</x:v>
      </x:c>
      <x:c r="L242" s="34" t="str">
        <x:v>2026-06-30</x:v>
      </x:c>
      <x:c r="M242" s="28" t="str"/>
    </x:row>
    <x:row r="243">
      <x:c r="A243" s="37" t="str">
        <x:v>PLN-00929</x:v>
      </x:c>
      <x:c r="B243" s="28" t="str">
        <x:v>Create the integrated FY27 operating plan</x:v>
      </x:c>
      <x:c r="C243" s="28" t="str">
        <x:v>Branch operating plan</x:v>
      </x:c>
      <x:c r="D243" s="28" t="str">
        <x:v>Construction</x:v>
      </x:c>
      <x:c r="E243" s="28" t="str">
        <x:v>FY27</x:v>
      </x:c>
      <x:c r="F243" s="28" t="str">
        <x:v>Approved case</x:v>
      </x:c>
      <x:c r="G243" s="28" t="str">
        <x:v>FY27 approved growth</x:v>
      </x:c>
      <x:c r="H243" s="31" t="n">
        <x:v>0.075</x:v>
      </x:c>
      <x:c r="I243" s="28" t="str"/>
      <x:c r="J243" s="28" t="str">
        <x:v>decimal ratio</x:v>
      </x:c>
      <x:c r="K243" s="28" t="str">
        <x:v>Finance operating schedule</x:v>
      </x:c>
      <x:c r="L243" s="34" t="str">
        <x:v>2026-06-30</x:v>
      </x:c>
      <x:c r="M243" s="28" t="str"/>
    </x:row>
    <x:row r="244">
      <x:c r="A244" s="37" t="str">
        <x:v>PLN-00930</x:v>
      </x:c>
      <x:c r="B244" s="28" t="str">
        <x:v>Create the integrated FY27 operating plan</x:v>
      </x:c>
      <x:c r="C244" s="28" t="str">
        <x:v>Branch operating plan</x:v>
      </x:c>
      <x:c r="D244" s="28" t="str">
        <x:v>Construction</x:v>
      </x:c>
      <x:c r="E244" s="28" t="str">
        <x:v>FY27</x:v>
      </x:c>
      <x:c r="F244" s="28" t="str">
        <x:v>Approved case</x:v>
      </x:c>
      <x:c r="G244" s="28" t="str">
        <x:v>FY27 gross margin</x:v>
      </x:c>
      <x:c r="H244" s="31" t="n">
        <x:v>0.235</x:v>
      </x:c>
      <x:c r="I244" s="28" t="str"/>
      <x:c r="J244" s="28" t="str">
        <x:v>decimal ratio</x:v>
      </x:c>
      <x:c r="K244" s="28" t="str">
        <x:v>Finance operating schedule</x:v>
      </x:c>
      <x:c r="L244" s="34" t="str">
        <x:v>2026-06-30</x:v>
      </x:c>
      <x:c r="M244" s="28" t="str"/>
    </x:row>
    <x:row r="245">
      <x:c r="A245" s="37" t="str">
        <x:v>PLN-00931</x:v>
      </x:c>
      <x:c r="B245" s="28" t="str">
        <x:v>Create the integrated FY27 operating plan</x:v>
      </x:c>
      <x:c r="C245" s="28" t="str">
        <x:v>Branch operating plan</x:v>
      </x:c>
      <x:c r="D245" s="28" t="str">
        <x:v>Construction</x:v>
      </x:c>
      <x:c r="E245" s="28" t="str">
        <x:v>FY27</x:v>
      </x:c>
      <x:c r="F245" s="28" t="str">
        <x:v>Approved case</x:v>
      </x:c>
      <x:c r="G245" s="28" t="str">
        <x:v>FY27 fixed opex</x:v>
      </x:c>
      <x:c r="H245" s="31" t="n">
        <x:v>3150000</x:v>
      </x:c>
      <x:c r="I245" s="28" t="str"/>
      <x:c r="J245" s="28" t="str">
        <x:v>USD</x:v>
      </x:c>
      <x:c r="K245" s="28" t="str">
        <x:v>Finance operating schedule</x:v>
      </x:c>
      <x:c r="L245" s="34" t="str">
        <x:v>2026-06-30</x:v>
      </x:c>
      <x:c r="M245" s="28" t="str"/>
    </x:row>
    <x:row r="246">
      <x:c r="A246" s="37" t="str">
        <x:v>PLN-00932</x:v>
      </x:c>
      <x:c r="B246" s="28" t="str">
        <x:v>Create the integrated FY27 operating plan</x:v>
      </x:c>
      <x:c r="C246" s="28" t="str">
        <x:v>Branch operating plan</x:v>
      </x:c>
      <x:c r="D246" s="28" t="str">
        <x:v>Construction</x:v>
      </x:c>
      <x:c r="E246" s="28" t="str">
        <x:v>FY27</x:v>
      </x:c>
      <x:c r="F246" s="28" t="str">
        <x:v>Approved case</x:v>
      </x:c>
      <x:c r="G246" s="28" t="str">
        <x:v>Variable opex percent</x:v>
      </x:c>
      <x:c r="H246" s="31" t="n">
        <x:v>0.035</x:v>
      </x:c>
      <x:c r="I246" s="28" t="str"/>
      <x:c r="J246" s="28" t="str">
        <x:v>decimal ratio</x:v>
      </x:c>
      <x:c r="K246" s="28" t="str">
        <x:v>Finance operating schedule</x:v>
      </x:c>
      <x:c r="L246" s="34" t="str">
        <x:v>2026-06-30</x:v>
      </x:c>
      <x:c r="M246" s="28" t="str"/>
    </x:row>
    <x:row r="247">
      <x:c r="A247" s="37" t="str">
        <x:v>PLN-00933</x:v>
      </x:c>
      <x:c r="B247" s="28" t="str">
        <x:v>Create the integrated FY27 operating plan</x:v>
      </x:c>
      <x:c r="C247" s="28" t="str">
        <x:v>Branch operating plan</x:v>
      </x:c>
      <x:c r="D247" s="28" t="str">
        <x:v>Service</x:v>
      </x:c>
      <x:c r="E247" s="28" t="str">
        <x:v>FY27</x:v>
      </x:c>
      <x:c r="F247" s="28" t="str">
        <x:v>Approved case</x:v>
      </x:c>
      <x:c r="G247" s="28" t="str">
        <x:v>FY26 revenue share</x:v>
      </x:c>
      <x:c r="H247" s="31" t="n">
        <x:v>0.27</x:v>
      </x:c>
      <x:c r="I247" s="28" t="str"/>
      <x:c r="J247" s="28" t="str">
        <x:v>decimal ratio</x:v>
      </x:c>
      <x:c r="K247" s="28" t="str">
        <x:v>Finance operating schedule</x:v>
      </x:c>
      <x:c r="L247" s="34" t="str">
        <x:v>2026-06-30</x:v>
      </x:c>
      <x:c r="M247" s="28" t="str"/>
    </x:row>
    <x:row r="248">
      <x:c r="A248" s="37" t="str">
        <x:v>PLN-00934</x:v>
      </x:c>
      <x:c r="B248" s="28" t="str">
        <x:v>Create the integrated FY27 operating plan</x:v>
      </x:c>
      <x:c r="C248" s="28" t="str">
        <x:v>Branch operating plan</x:v>
      </x:c>
      <x:c r="D248" s="28" t="str">
        <x:v>Service</x:v>
      </x:c>
      <x:c r="E248" s="28" t="str">
        <x:v>FY27</x:v>
      </x:c>
      <x:c r="F248" s="28" t="str">
        <x:v>Approved case</x:v>
      </x:c>
      <x:c r="G248" s="28" t="str">
        <x:v>FY27 approved growth</x:v>
      </x:c>
      <x:c r="H248" s="31" t="n">
        <x:v>0.112</x:v>
      </x:c>
      <x:c r="I248" s="28" t="str"/>
      <x:c r="J248" s="28" t="str">
        <x:v>decimal ratio</x:v>
      </x:c>
      <x:c r="K248" s="28" t="str">
        <x:v>Finance operating schedule</x:v>
      </x:c>
      <x:c r="L248" s="34" t="str">
        <x:v>2026-06-30</x:v>
      </x:c>
      <x:c r="M248" s="28" t="str"/>
    </x:row>
    <x:row r="249">
      <x:c r="A249" s="37" t="str">
        <x:v>PLN-00935</x:v>
      </x:c>
      <x:c r="B249" s="28" t="str">
        <x:v>Create the integrated FY27 operating plan</x:v>
      </x:c>
      <x:c r="C249" s="28" t="str">
        <x:v>Branch operating plan</x:v>
      </x:c>
      <x:c r="D249" s="28" t="str">
        <x:v>Service</x:v>
      </x:c>
      <x:c r="E249" s="28" t="str">
        <x:v>FY27</x:v>
      </x:c>
      <x:c r="F249" s="28" t="str">
        <x:v>Approved case</x:v>
      </x:c>
      <x:c r="G249" s="28" t="str">
        <x:v>FY27 gross margin</x:v>
      </x:c>
      <x:c r="H249" s="31" t="n">
        <x:v>0.435</x:v>
      </x:c>
      <x:c r="I249" s="28" t="str"/>
      <x:c r="J249" s="28" t="str">
        <x:v>decimal ratio</x:v>
      </x:c>
      <x:c r="K249" s="28" t="str">
        <x:v>Finance operating schedule</x:v>
      </x:c>
      <x:c r="L249" s="34" t="str">
        <x:v>2026-06-30</x:v>
      </x:c>
      <x:c r="M249" s="28" t="str"/>
    </x:row>
    <x:row r="250">
      <x:c r="A250" s="37" t="str">
        <x:v>PLN-00936</x:v>
      </x:c>
      <x:c r="B250" s="28" t="str">
        <x:v>Create the integrated FY27 operating plan</x:v>
      </x:c>
      <x:c r="C250" s="28" t="str">
        <x:v>Branch operating plan</x:v>
      </x:c>
      <x:c r="D250" s="28" t="str">
        <x:v>Service</x:v>
      </x:c>
      <x:c r="E250" s="28" t="str">
        <x:v>FY27</x:v>
      </x:c>
      <x:c r="F250" s="28" t="str">
        <x:v>Approved case</x:v>
      </x:c>
      <x:c r="G250" s="28" t="str">
        <x:v>FY27 fixed opex</x:v>
      </x:c>
      <x:c r="H250" s="31" t="n">
        <x:v>2120000</x:v>
      </x:c>
      <x:c r="I250" s="28" t="str"/>
      <x:c r="J250" s="28" t="str">
        <x:v>USD</x:v>
      </x:c>
      <x:c r="K250" s="28" t="str">
        <x:v>Finance operating schedule</x:v>
      </x:c>
      <x:c r="L250" s="34" t="str">
        <x:v>2026-06-30</x:v>
      </x:c>
      <x:c r="M250" s="28" t="str"/>
    </x:row>
    <x:row r="251">
      <x:c r="A251" s="37" t="str">
        <x:v>PLN-00937</x:v>
      </x:c>
      <x:c r="B251" s="28" t="str">
        <x:v>Create the integrated FY27 operating plan</x:v>
      </x:c>
      <x:c r="C251" s="28" t="str">
        <x:v>Branch operating plan</x:v>
      </x:c>
      <x:c r="D251" s="28" t="str">
        <x:v>Service</x:v>
      </x:c>
      <x:c r="E251" s="28" t="str">
        <x:v>FY27</x:v>
      </x:c>
      <x:c r="F251" s="28" t="str">
        <x:v>Approved case</x:v>
      </x:c>
      <x:c r="G251" s="28" t="str">
        <x:v>Variable opex percent</x:v>
      </x:c>
      <x:c r="H251" s="31" t="n">
        <x:v>0.052</x:v>
      </x:c>
      <x:c r="I251" s="28" t="str"/>
      <x:c r="J251" s="28" t="str">
        <x:v>decimal ratio</x:v>
      </x:c>
      <x:c r="K251" s="28" t="str">
        <x:v>Finance operating schedule</x:v>
      </x:c>
      <x:c r="L251" s="34" t="str">
        <x:v>2026-06-30</x:v>
      </x:c>
      <x:c r="M251" s="28" t="str"/>
    </x:row>
    <x:row r="252">
      <x:c r="A252" s="37" t="str">
        <x:v>PLN-00938</x:v>
      </x:c>
      <x:c r="B252" s="28" t="str">
        <x:v>Create the integrated FY27 operating plan</x:v>
      </x:c>
      <x:c r="C252" s="28" t="str">
        <x:v>Branch operating plan</x:v>
      </x:c>
      <x:c r="D252" s="28" t="str">
        <x:v>Controls</x:v>
      </x:c>
      <x:c r="E252" s="28" t="str">
        <x:v>FY27</x:v>
      </x:c>
      <x:c r="F252" s="28" t="str">
        <x:v>Approved case</x:v>
      </x:c>
      <x:c r="G252" s="28" t="str">
        <x:v>FY26 revenue share</x:v>
      </x:c>
      <x:c r="H252" s="31" t="n">
        <x:v>0.15</x:v>
      </x:c>
      <x:c r="I252" s="28" t="str"/>
      <x:c r="J252" s="28" t="str">
        <x:v>decimal ratio</x:v>
      </x:c>
      <x:c r="K252" s="28" t="str">
        <x:v>Finance operating schedule</x:v>
      </x:c>
      <x:c r="L252" s="34" t="str">
        <x:v>2026-06-30</x:v>
      </x:c>
      <x:c r="M252" s="28" t="str"/>
    </x:row>
    <x:row r="253">
      <x:c r="A253" s="37" t="str">
        <x:v>PLN-00939</x:v>
      </x:c>
      <x:c r="B253" s="28" t="str">
        <x:v>Create the integrated FY27 operating plan</x:v>
      </x:c>
      <x:c r="C253" s="28" t="str">
        <x:v>Branch operating plan</x:v>
      </x:c>
      <x:c r="D253" s="28" t="str">
        <x:v>Controls</x:v>
      </x:c>
      <x:c r="E253" s="28" t="str">
        <x:v>FY27</x:v>
      </x:c>
      <x:c r="F253" s="28" t="str">
        <x:v>Approved case</x:v>
      </x:c>
      <x:c r="G253" s="28" t="str">
        <x:v>FY27 approved growth</x:v>
      </x:c>
      <x:c r="H253" s="31" t="n">
        <x:v>0.098</x:v>
      </x:c>
      <x:c r="I253" s="28" t="str"/>
      <x:c r="J253" s="28" t="str">
        <x:v>decimal ratio</x:v>
      </x:c>
      <x:c r="K253" s="28" t="str">
        <x:v>Finance operating schedule</x:v>
      </x:c>
      <x:c r="L253" s="34" t="str">
        <x:v>2026-06-30</x:v>
      </x:c>
      <x:c r="M253" s="28" t="str"/>
    </x:row>
    <x:row r="254">
      <x:c r="A254" s="37" t="str">
        <x:v>PLN-00940</x:v>
      </x:c>
      <x:c r="B254" s="28" t="str">
        <x:v>Create the integrated FY27 operating plan</x:v>
      </x:c>
      <x:c r="C254" s="28" t="str">
        <x:v>Branch operating plan</x:v>
      </x:c>
      <x:c r="D254" s="28" t="str">
        <x:v>Controls</x:v>
      </x:c>
      <x:c r="E254" s="28" t="str">
        <x:v>FY27</x:v>
      </x:c>
      <x:c r="F254" s="28" t="str">
        <x:v>Approved case</x:v>
      </x:c>
      <x:c r="G254" s="28" t="str">
        <x:v>FY27 gross margin</x:v>
      </x:c>
      <x:c r="H254" s="31" t="n">
        <x:v>0.318</x:v>
      </x:c>
      <x:c r="I254" s="28" t="str"/>
      <x:c r="J254" s="28" t="str">
        <x:v>decimal ratio</x:v>
      </x:c>
      <x:c r="K254" s="28" t="str">
        <x:v>Finance operating schedule</x:v>
      </x:c>
      <x:c r="L254" s="34" t="str">
        <x:v>2026-06-30</x:v>
      </x:c>
      <x:c r="M254" s="28" t="str"/>
    </x:row>
    <x:row r="255">
      <x:c r="A255" s="37" t="str">
        <x:v>PLN-00941</x:v>
      </x:c>
      <x:c r="B255" s="28" t="str">
        <x:v>Create the integrated FY27 operating plan</x:v>
      </x:c>
      <x:c r="C255" s="28" t="str">
        <x:v>Branch operating plan</x:v>
      </x:c>
      <x:c r="D255" s="28" t="str">
        <x:v>Controls</x:v>
      </x:c>
      <x:c r="E255" s="28" t="str">
        <x:v>FY27</x:v>
      </x:c>
      <x:c r="F255" s="28" t="str">
        <x:v>Approved case</x:v>
      </x:c>
      <x:c r="G255" s="28" t="str">
        <x:v>FY27 fixed opex</x:v>
      </x:c>
      <x:c r="H255" s="31" t="n">
        <x:v>1480</x:v>
      </x:c>
      <x:c r="I255" s="28" t="str"/>
      <x:c r="J255" s="28" t="str">
        <x:v>USD thousands</x:v>
      </x:c>
      <x:c r="K255" s="28" t="str">
        <x:v>Finance operating schedule</x:v>
      </x:c>
      <x:c r="L255" s="34" t="str">
        <x:v>2026-06-30</x:v>
      </x:c>
      <x:c r="M255" s="28" t="str"/>
    </x:row>
    <x:row r="256">
      <x:c r="A256" s="37" t="str">
        <x:v>PLN-00942</x:v>
      </x:c>
      <x:c r="B256" s="28" t="str">
        <x:v>Create the integrated FY27 operating plan</x:v>
      </x:c>
      <x:c r="C256" s="28" t="str">
        <x:v>Branch operating plan</x:v>
      </x:c>
      <x:c r="D256" s="28" t="str">
        <x:v>Controls</x:v>
      </x:c>
      <x:c r="E256" s="28" t="str">
        <x:v>FY27</x:v>
      </x:c>
      <x:c r="F256" s="28" t="str">
        <x:v>Approved case</x:v>
      </x:c>
      <x:c r="G256" s="28" t="str">
        <x:v>Variable opex percent</x:v>
      </x:c>
      <x:c r="H256" s="31" t="n">
        <x:v>0.044</x:v>
      </x:c>
      <x:c r="I256" s="28" t="str"/>
      <x:c r="J256" s="28" t="str">
        <x:v>decimal ratio</x:v>
      </x:c>
      <x:c r="K256" s="28" t="str">
        <x:v>Finance operating schedule</x:v>
      </x:c>
      <x:c r="L256" s="34" t="str">
        <x:v>2026-06-30</x:v>
      </x:c>
      <x:c r="M256" s="28" t="str"/>
    </x:row>
    <x:row r="257">
      <x:c r="A257" s="37" t="str">
        <x:v>PLN-00943</x:v>
      </x:c>
      <x:c r="B257" s="28" t="str">
        <x:v>Create the integrated FY27 operating plan</x:v>
      </x:c>
      <x:c r="C257" s="28" t="str">
        <x:v>Integrated plan assumptions</x:v>
      </x:c>
      <x:c r="D257" s="28" t="str">
        <x:v>Alder Ridge</x:v>
      </x:c>
      <x:c r="E257" s="28" t="str">
        <x:v>FY27</x:v>
      </x:c>
      <x:c r="F257" s="28" t="str">
        <x:v>Approved case</x:v>
      </x:c>
      <x:c r="G257" s="28" t="str">
        <x:v>Corporate opex</x:v>
      </x:c>
      <x:c r="H257" s="31" t="n">
        <x:v>1050000</x:v>
      </x:c>
      <x:c r="I257" s="28" t="str"/>
      <x:c r="J257" s="28" t="str">
        <x:v>USD</x:v>
      </x:c>
      <x:c r="K257" s="28" t="str">
        <x:v>Finance operating schedule</x:v>
      </x:c>
      <x:c r="L257" s="34" t="str">
        <x:v>2026-06-30</x:v>
      </x:c>
      <x:c r="M257" s="28" t="str"/>
    </x:row>
    <x:row r="258">
      <x:c r="A258" s="37" t="str">
        <x:v>PLN-00944</x:v>
      </x:c>
      <x:c r="B258" s="28" t="str">
        <x:v>Create the integrated FY27 operating plan</x:v>
      </x:c>
      <x:c r="C258" s="28" t="str">
        <x:v>Integrated plan assumptions</x:v>
      </x:c>
      <x:c r="D258" s="28" t="str">
        <x:v>Alder Ridge</x:v>
      </x:c>
      <x:c r="E258" s="28" t="str">
        <x:v>FY27</x:v>
      </x:c>
      <x:c r="F258" s="28" t="str">
        <x:v>Approved case</x:v>
      </x:c>
      <x:c r="G258" s="28" t="str">
        <x:v>Annual cash taxes</x:v>
      </x:c>
      <x:c r="H258" s="31" t="n">
        <x:v>540000</x:v>
      </x:c>
      <x:c r="I258" s="28" t="str"/>
      <x:c r="J258" s="28" t="str">
        <x:v>USD</x:v>
      </x:c>
      <x:c r="K258" s="28" t="str">
        <x:v>Finance operating schedule</x:v>
      </x:c>
      <x:c r="L258" s="34" t="str">
        <x:v>2026-06-30</x:v>
      </x:c>
      <x:c r="M258" s="28" t="str"/>
    </x:row>
    <x:row r="259">
      <x:c r="A259" s="37" t="str">
        <x:v>PLN-00945</x:v>
      </x:c>
      <x:c r="B259" s="28" t="str">
        <x:v>Create the integrated FY27 operating plan</x:v>
      </x:c>
      <x:c r="C259" s="28" t="str">
        <x:v>Integrated plan assumptions</x:v>
      </x:c>
      <x:c r="D259" s="28" t="str">
        <x:v>Alder Ridge</x:v>
      </x:c>
      <x:c r="E259" s="28" t="str">
        <x:v>FY27</x:v>
      </x:c>
      <x:c r="F259" s="28" t="str">
        <x:v>Approved case</x:v>
      </x:c>
      <x:c r="G259" s="28" t="str">
        <x:v>Maintenance capex</x:v>
      </x:c>
      <x:c r="H259" s="31" t="n">
        <x:v>1150</x:v>
      </x:c>
      <x:c r="I259" s="28" t="str"/>
      <x:c r="J259" s="28" t="str">
        <x:v>USD thousands</x:v>
      </x:c>
      <x:c r="K259" s="28" t="str">
        <x:v>Finance operating schedule</x:v>
      </x:c>
      <x:c r="L259" s="34" t="str">
        <x:v>2026-06-30</x:v>
      </x:c>
      <x:c r="M259" s="28" t="str"/>
    </x:row>
    <x:row r="260">
      <x:c r="A260" s="37" t="str">
        <x:v>PLN-00946</x:v>
      </x:c>
      <x:c r="B260" s="28" t="str">
        <x:v>Create the integrated FY27 operating plan</x:v>
      </x:c>
      <x:c r="C260" s="28" t="str">
        <x:v>Integrated plan assumptions</x:v>
      </x:c>
      <x:c r="D260" s="28" t="str">
        <x:v>Alder Ridge</x:v>
      </x:c>
      <x:c r="E260" s="28" t="str">
        <x:v>FY27</x:v>
      </x:c>
      <x:c r="F260" s="28" t="str">
        <x:v>Approved case</x:v>
      </x:c>
      <x:c r="G260" s="28" t="str">
        <x:v>Growth capex</x:v>
      </x:c>
      <x:c r="H260" s="31" t="n">
        <x:v>1725000</x:v>
      </x:c>
      <x:c r="I260" s="28" t="str"/>
      <x:c r="J260" s="28" t="str">
        <x:v>USD</x:v>
      </x:c>
      <x:c r="K260" s="28" t="str">
        <x:v>Finance operating schedule</x:v>
      </x:c>
      <x:c r="L260" s="34" t="str">
        <x:v>2026-06-30</x:v>
      </x:c>
      <x:c r="M260" s="28" t="str"/>
    </x:row>
    <x:row r="261">
      <x:c r="A261" s="37" t="str">
        <x:v>PLN-00947</x:v>
      </x:c>
      <x:c r="B261" s="28" t="str">
        <x:v>Create the integrated FY27 operating plan</x:v>
      </x:c>
      <x:c r="C261" s="28" t="str">
        <x:v>Integrated plan assumptions</x:v>
      </x:c>
      <x:c r="D261" s="28" t="str">
        <x:v>Alder Ridge</x:v>
      </x:c>
      <x:c r="E261" s="28" t="str">
        <x:v>FY27</x:v>
      </x:c>
      <x:c r="F261" s="28" t="str">
        <x:v>Approved case</x:v>
      </x:c>
      <x:c r="G261" s="28" t="str">
        <x:v>Working capital percent of incremental revenue</x:v>
      </x:c>
      <x:c r="H261" s="31" t="n">
        <x:v>0.0825</x:v>
      </x:c>
      <x:c r="I261" s="28" t="str"/>
      <x:c r="J261" s="28" t="str">
        <x:v>decimal ratio</x:v>
      </x:c>
      <x:c r="K261" s="28" t="str">
        <x:v>Finance operating schedule</x:v>
      </x:c>
      <x:c r="L261" s="34" t="str">
        <x:v>2026-06-30</x:v>
      </x:c>
      <x:c r="M261" s="28" t="str"/>
    </x:row>
    <x:row r="262">
      <x:c r="A262" s="37" t="str">
        <x:v>PLN-00948</x:v>
      </x:c>
      <x:c r="B262" s="28" t="str">
        <x:v>Create the integrated FY27 operating plan</x:v>
      </x:c>
      <x:c r="C262" s="28" t="str">
        <x:v>Integrated plan assumptions</x:v>
      </x:c>
      <x:c r="D262" s="28" t="str">
        <x:v>Alder Ridge</x:v>
      </x:c>
      <x:c r="E262" s="28" t="str">
        <x:v>FY27</x:v>
      </x:c>
      <x:c r="F262" s="28" t="str">
        <x:v>Approved case</x:v>
      </x:c>
      <x:c r="G262" s="28" t="str">
        <x:v>Downside revenue decrement</x:v>
      </x:c>
      <x:c r="H262" s="31" t="n">
        <x:v>0.0875</x:v>
      </x:c>
      <x:c r="I262" s="28" t="str"/>
      <x:c r="J262" s="28" t="str">
        <x:v>decimal ratio</x:v>
      </x:c>
      <x:c r="K262" s="28" t="str">
        <x:v>Finance operating schedule</x:v>
      </x:c>
      <x:c r="L262" s="34" t="str">
        <x:v>2026-06-30</x:v>
      </x:c>
      <x:c r="M262" s="28" t="str"/>
    </x:row>
    <x:row r="263">
      <x:c r="A263" s="37" t="str">
        <x:v>PLN-00949</x:v>
      </x:c>
      <x:c r="B263" s="28" t="str">
        <x:v>Create the integrated FY27 operating plan</x:v>
      </x:c>
      <x:c r="C263" s="28" t="str">
        <x:v>Integrated plan assumptions</x:v>
      </x:c>
      <x:c r="D263" s="28" t="str">
        <x:v>Alder Ridge</x:v>
      </x:c>
      <x:c r="E263" s="28" t="str">
        <x:v>FY27</x:v>
      </x:c>
      <x:c r="F263" s="28" t="str">
        <x:v>Approved case</x:v>
      </x:c>
      <x:c r="G263" s="28" t="str">
        <x:v>Downside gross margin compression</x:v>
      </x:c>
      <x:c r="H263" s="31" t="n">
        <x:v>0.0225</x:v>
      </x:c>
      <x:c r="I263" s="28" t="str"/>
      <x:c r="J263" s="28" t="str">
        <x:v>decimal ratio</x:v>
      </x:c>
      <x:c r="K263" s="28" t="str">
        <x:v>Finance operating schedule</x:v>
      </x:c>
      <x:c r="L263" s="34" t="str">
        <x:v>2026-06-30</x:v>
      </x:c>
      <x:c r="M263" s="28" t="str"/>
    </x:row>
    <x:row r="264">
      <x:c r="A264" s="37" t="str">
        <x:v>PLN-00950</x:v>
      </x:c>
      <x:c r="B264" s="28" t="str">
        <x:v>Create the integrated FY27 operating plan</x:v>
      </x:c>
      <x:c r="C264" s="28" t="str">
        <x:v>Integrated plan assumptions</x:v>
      </x:c>
      <x:c r="D264" s="28" t="str">
        <x:v>Alder Ridge</x:v>
      </x:c>
      <x:c r="E264" s="28" t="str">
        <x:v>FY27</x:v>
      </x:c>
      <x:c r="F264" s="28" t="str">
        <x:v>Approved case</x:v>
      </x:c>
      <x:c r="G264" s="28" t="str">
        <x:v>Downside opex mitigation</x:v>
      </x:c>
      <x:c r="H264" s="31" t="n">
        <x:v>760000</x:v>
      </x:c>
      <x:c r="I264" s="28" t="str"/>
      <x:c r="J264" s="28" t="str">
        <x:v>USD</x:v>
      </x:c>
      <x:c r="K264" s="28" t="str">
        <x:v>Finance operating schedule</x:v>
      </x:c>
      <x:c r="L264" s="34" t="str">
        <x:v>2026-06-30</x:v>
      </x:c>
      <x:c r="M264" s="28" t="str"/>
    </x:row>
    <x:row r="265">
      <x:c r="A265" s="37" t="str">
        <x:v>PLN-00965</x:v>
      </x:c>
      <x:c r="B265" s="28" t="str">
        <x:v>Create the integrated FY27 operating plan</x:v>
      </x:c>
      <x:c r="C265" s="28" t="str">
        <x:v>Quarterly integrated plan</x:v>
      </x:c>
      <x:c r="D265" s="28" t="str">
        <x:v>Alder Ridge</x:v>
      </x:c>
      <x:c r="E265" s="28" t="str">
        <x:v>Q1 FY27</x:v>
      </x:c>
      <x:c r="F265" s="28" t="str">
        <x:v>Approved case</x:v>
      </x:c>
      <x:c r="G265" s="28" t="str">
        <x:v>Revenue phase</x:v>
      </x:c>
      <x:c r="H265" s="31" t="n">
        <x:v>0.21</x:v>
      </x:c>
      <x:c r="I265" s="28" t="str"/>
      <x:c r="J265" s="28" t="str">
        <x:v>decimal ratio</x:v>
      </x:c>
      <x:c r="K265" s="28" t="str">
        <x:v>Finance operating schedule</x:v>
      </x:c>
      <x:c r="L265" s="34" t="str">
        <x:v>2026-06-30</x:v>
      </x:c>
      <x:c r="M265" s="28" t="str"/>
    </x:row>
    <x:row r="266">
      <x:c r="A266" s="37" t="str">
        <x:v>PLN-00966</x:v>
      </x:c>
      <x:c r="B266" s="28" t="str">
        <x:v>Create the integrated FY27 operating plan</x:v>
      </x:c>
      <x:c r="C266" s="28" t="str">
        <x:v>Quarterly integrated plan</x:v>
      </x:c>
      <x:c r="D266" s="28" t="str">
        <x:v>Alder Ridge</x:v>
      </x:c>
      <x:c r="E266" s="28" t="str">
        <x:v>Q1 FY27</x:v>
      </x:c>
      <x:c r="F266" s="28" t="str">
        <x:v>Approved case</x:v>
      </x:c>
      <x:c r="G266" s="28" t="str">
        <x:v>EBITDA phase</x:v>
      </x:c>
      <x:c r="H266" s="31" t="n">
        <x:v>0.17</x:v>
      </x:c>
      <x:c r="I266" s="28" t="str"/>
      <x:c r="J266" s="28" t="str">
        <x:v>decimal ratio</x:v>
      </x:c>
      <x:c r="K266" s="28" t="str">
        <x:v>Finance operating schedule</x:v>
      </x:c>
      <x:c r="L266" s="34" t="str">
        <x:v>2026-06-30</x:v>
      </x:c>
      <x:c r="M266" s="28" t="str"/>
    </x:row>
    <x:row r="267">
      <x:c r="A267" s="37" t="str">
        <x:v>PLN-00967</x:v>
      </x:c>
      <x:c r="B267" s="28" t="str">
        <x:v>Create the integrated FY27 operating plan</x:v>
      </x:c>
      <x:c r="C267" s="28" t="str">
        <x:v>Quarterly integrated plan</x:v>
      </x:c>
      <x:c r="D267" s="28" t="str">
        <x:v>Alder Ridge</x:v>
      </x:c>
      <x:c r="E267" s="28" t="str">
        <x:v>Q1 FY27</x:v>
      </x:c>
      <x:c r="F267" s="28" t="str">
        <x:v>Approved case</x:v>
      </x:c>
      <x:c r="G267" s="28" t="str">
        <x:v>Cash taxes</x:v>
      </x:c>
      <x:c r="H267" s="31" t="n">
        <x:v>85000</x:v>
      </x:c>
      <x:c r="I267" s="28" t="str"/>
      <x:c r="J267" s="28" t="str">
        <x:v>USD</x:v>
      </x:c>
      <x:c r="K267" s="28" t="str">
        <x:v>Finance operating schedule</x:v>
      </x:c>
      <x:c r="L267" s="34" t="str">
        <x:v>2026-06-30</x:v>
      </x:c>
      <x:c r="M267" s="28" t="str"/>
    </x:row>
    <x:row r="268">
      <x:c r="A268" s="37" t="str">
        <x:v>PLN-00968</x:v>
      </x:c>
      <x:c r="B268" s="28" t="str">
        <x:v>Create the integrated FY27 operating plan</x:v>
      </x:c>
      <x:c r="C268" s="28" t="str">
        <x:v>Quarterly integrated plan</x:v>
      </x:c>
      <x:c r="D268" s="28" t="str">
        <x:v>Alder Ridge</x:v>
      </x:c>
      <x:c r="E268" s="28" t="str">
        <x:v>Q1 FY27</x:v>
      </x:c>
      <x:c r="F268" s="28" t="str">
        <x:v>Approved case</x:v>
      </x:c>
      <x:c r="G268" s="28" t="str">
        <x:v>Capex</x:v>
      </x:c>
      <x:c r="H268" s="31" t="n">
        <x:v>860</x:v>
      </x:c>
      <x:c r="I268" s="28" t="str"/>
      <x:c r="J268" s="28" t="str">
        <x:v>USD thousands</x:v>
      </x:c>
      <x:c r="K268" s="28" t="str">
        <x:v>Finance operating schedule</x:v>
      </x:c>
      <x:c r="L268" s="34" t="str">
        <x:v>2026-06-30</x:v>
      </x:c>
      <x:c r="M268" s="28" t="str"/>
    </x:row>
    <x:row r="269">
      <x:c r="A269" s="37" t="str">
        <x:v>PLN-00969</x:v>
      </x:c>
      <x:c r="B269" s="28" t="str">
        <x:v>Create the integrated FY27 operating plan</x:v>
      </x:c>
      <x:c r="C269" s="28" t="str">
        <x:v>Quarterly integrated plan</x:v>
      </x:c>
      <x:c r="D269" s="28" t="str">
        <x:v>Alder Ridge</x:v>
      </x:c>
      <x:c r="E269" s="28" t="str">
        <x:v>Q1 FY27</x:v>
      </x:c>
      <x:c r="F269" s="28" t="str">
        <x:v>Approved case</x:v>
      </x:c>
      <x:c r="G269" s="28" t="str">
        <x:v>Ending NWC balance</x:v>
      </x:c>
      <x:c r="H269" s="31" t="n">
        <x:v>5900000</x:v>
      </x:c>
      <x:c r="I269" s="28" t="str"/>
      <x:c r="J269" s="28" t="str">
        <x:v>USD</x:v>
      </x:c>
      <x:c r="K269" s="28" t="str">
        <x:v>Finance operating schedule</x:v>
      </x:c>
      <x:c r="L269" s="34" t="str">
        <x:v>2026-06-30</x:v>
      </x:c>
      <x:c r="M269" s="28" t="str"/>
    </x:row>
    <x:row r="270">
      <x:c r="A270" s="37" t="str">
        <x:v>PLN-00970</x:v>
      </x:c>
      <x:c r="B270" s="28" t="str">
        <x:v>Create the integrated FY27 operating plan</x:v>
      </x:c>
      <x:c r="C270" s="28" t="str">
        <x:v>Quarterly integrated plan</x:v>
      </x:c>
      <x:c r="D270" s="28" t="str">
        <x:v>Alder Ridge</x:v>
      </x:c>
      <x:c r="E270" s="28" t="str">
        <x:v>Q2 FY27</x:v>
      </x:c>
      <x:c r="F270" s="28" t="str">
        <x:v>Approved case</x:v>
      </x:c>
      <x:c r="G270" s="28" t="str">
        <x:v>Revenue phase</x:v>
      </x:c>
      <x:c r="H270" s="31" t="n">
        <x:v>0.24</x:v>
      </x:c>
      <x:c r="I270" s="28" t="str"/>
      <x:c r="J270" s="28" t="str">
        <x:v>decimal ratio</x:v>
      </x:c>
      <x:c r="K270" s="28" t="str">
        <x:v>Finance operating schedule</x:v>
      </x:c>
      <x:c r="L270" s="34" t="str">
        <x:v>2026-06-30</x:v>
      </x:c>
      <x:c r="M270" s="28" t="str"/>
    </x:row>
    <x:row r="271">
      <x:c r="A271" s="37" t="str">
        <x:v>PLN-00971</x:v>
      </x:c>
      <x:c r="B271" s="28" t="str">
        <x:v>Create the integrated FY27 operating plan</x:v>
      </x:c>
      <x:c r="C271" s="28" t="str">
        <x:v>Quarterly integrated plan</x:v>
      </x:c>
      <x:c r="D271" s="28" t="str">
        <x:v>Alder Ridge</x:v>
      </x:c>
      <x:c r="E271" s="28" t="str">
        <x:v>Q2 FY27</x:v>
      </x:c>
      <x:c r="F271" s="28" t="str">
        <x:v>Approved case</x:v>
      </x:c>
      <x:c r="G271" s="28" t="str">
        <x:v>EBITDA phase</x:v>
      </x:c>
      <x:c r="H271" s="31" t="n">
        <x:v>0.22</x:v>
      </x:c>
      <x:c r="I271" s="28" t="str"/>
      <x:c r="J271" s="28" t="str">
        <x:v>decimal ratio</x:v>
      </x:c>
      <x:c r="K271" s="28" t="str">
        <x:v>Finance operating schedule</x:v>
      </x:c>
      <x:c r="L271" s="34" t="str">
        <x:v>2026-06-30</x:v>
      </x:c>
      <x:c r="M271" s="28" t="str"/>
    </x:row>
    <x:row r="272">
      <x:c r="A272" s="37" t="str">
        <x:v>PLN-00972</x:v>
      </x:c>
      <x:c r="B272" s="28" t="str">
        <x:v>Create the integrated FY27 operating plan</x:v>
      </x:c>
      <x:c r="C272" s="28" t="str">
        <x:v>Quarterly integrated plan</x:v>
      </x:c>
      <x:c r="D272" s="28" t="str">
        <x:v>Alder Ridge</x:v>
      </x:c>
      <x:c r="E272" s="28" t="str">
        <x:v>Q2 FY27</x:v>
      </x:c>
      <x:c r="F272" s="28" t="str">
        <x:v>Approved case</x:v>
      </x:c>
      <x:c r="G272" s="28" t="str">
        <x:v>Cash taxes</x:v>
      </x:c>
      <x:c r="H272" s="31" t="n">
        <x:v>120</x:v>
      </x:c>
      <x:c r="I272" s="28" t="str"/>
      <x:c r="J272" s="28" t="str">
        <x:v>USD thousands</x:v>
      </x:c>
      <x:c r="K272" s="28" t="str">
        <x:v>Finance operating schedule</x:v>
      </x:c>
      <x:c r="L272" s="34" t="str">
        <x:v>2026-06-30</x:v>
      </x:c>
      <x:c r="M272" s="28" t="str"/>
    </x:row>
    <x:row r="273">
      <x:c r="A273" s="37" t="str">
        <x:v>PLN-00973</x:v>
      </x:c>
      <x:c r="B273" s="28" t="str">
        <x:v>Create the integrated FY27 operating plan</x:v>
      </x:c>
      <x:c r="C273" s="28" t="str">
        <x:v>Quarterly integrated plan</x:v>
      </x:c>
      <x:c r="D273" s="28" t="str">
        <x:v>Alder Ridge</x:v>
      </x:c>
      <x:c r="E273" s="28" t="str">
        <x:v>Q2 FY27</x:v>
      </x:c>
      <x:c r="F273" s="28" t="str">
        <x:v>Approved case</x:v>
      </x:c>
      <x:c r="G273" s="28" t="str">
        <x:v>Capex</x:v>
      </x:c>
      <x:c r="H273" s="31" t="n">
        <x:v>735000</x:v>
      </x:c>
      <x:c r="I273" s="28" t="str"/>
      <x:c r="J273" s="28" t="str">
        <x:v>USD</x:v>
      </x:c>
      <x:c r="K273" s="28" t="str">
        <x:v>Finance operating schedule</x:v>
      </x:c>
      <x:c r="L273" s="34" t="str">
        <x:v>2026-06-30</x:v>
      </x:c>
      <x:c r="M273" s="28" t="str"/>
    </x:row>
    <x:row r="274">
      <x:c r="A274" s="37" t="str">
        <x:v>PLN-00974</x:v>
      </x:c>
      <x:c r="B274" s="28" t="str">
        <x:v>Create the integrated FY27 operating plan</x:v>
      </x:c>
      <x:c r="C274" s="28" t="str">
        <x:v>Quarterly integrated plan</x:v>
      </x:c>
      <x:c r="D274" s="28" t="str">
        <x:v>Alder Ridge</x:v>
      </x:c>
      <x:c r="E274" s="28" t="str">
        <x:v>Q2 FY27</x:v>
      </x:c>
      <x:c r="F274" s="28" t="str">
        <x:v>Approved case</x:v>
      </x:c>
      <x:c r="G274" s="28" t="str">
        <x:v>Ending NWC balance</x:v>
      </x:c>
      <x:c r="H274" s="31" t="n">
        <x:v>5700000</x:v>
      </x:c>
      <x:c r="I274" s="28" t="str"/>
      <x:c r="J274" s="28" t="str">
        <x:v>USD</x:v>
      </x:c>
      <x:c r="K274" s="28" t="str">
        <x:v>Finance operating schedule</x:v>
      </x:c>
      <x:c r="L274" s="34" t="str">
        <x:v>2026-06-30</x:v>
      </x:c>
      <x:c r="M274" s="28" t="str"/>
    </x:row>
    <x:row r="275">
      <x:c r="A275" s="37" t="str">
        <x:v>PLN-00975</x:v>
      </x:c>
      <x:c r="B275" s="28" t="str">
        <x:v>Create the integrated FY27 operating plan</x:v>
      </x:c>
      <x:c r="C275" s="28" t="str">
        <x:v>Quarterly integrated plan</x:v>
      </x:c>
      <x:c r="D275" s="28" t="str">
        <x:v>Alder Ridge</x:v>
      </x:c>
      <x:c r="E275" s="28" t="str">
        <x:v>Q3 FY27</x:v>
      </x:c>
      <x:c r="F275" s="28" t="str">
        <x:v>Approved case</x:v>
      </x:c>
      <x:c r="G275" s="28" t="str">
        <x:v>Revenue phase</x:v>
      </x:c>
      <x:c r="H275" s="31" t="n">
        <x:v>0.26</x:v>
      </x:c>
      <x:c r="I275" s="28" t="str"/>
      <x:c r="J275" s="28" t="str">
        <x:v>decimal ratio</x:v>
      </x:c>
      <x:c r="K275" s="28" t="str">
        <x:v>Finance operating schedule</x:v>
      </x:c>
      <x:c r="L275" s="34" t="str">
        <x:v>2026-06-30</x:v>
      </x:c>
      <x:c r="M275" s="28" t="str"/>
    </x:row>
    <x:row r="276">
      <x:c r="A276" s="37" t="str">
        <x:v>PLN-00976</x:v>
      </x:c>
      <x:c r="B276" s="28" t="str">
        <x:v>Create the integrated FY27 operating plan</x:v>
      </x:c>
      <x:c r="C276" s="28" t="str">
        <x:v>Quarterly integrated plan</x:v>
      </x:c>
      <x:c r="D276" s="28" t="str">
        <x:v>Alder Ridge</x:v>
      </x:c>
      <x:c r="E276" s="28" t="str">
        <x:v>Q3 FY27</x:v>
      </x:c>
      <x:c r="F276" s="28" t="str">
        <x:v>Approved case</x:v>
      </x:c>
      <x:c r="G276" s="28" t="str">
        <x:v>EBITDA phase</x:v>
      </x:c>
      <x:c r="H276" s="31" t="n">
        <x:v>0.27</x:v>
      </x:c>
      <x:c r="I276" s="28" t="str"/>
      <x:c r="J276" s="28" t="str">
        <x:v>decimal ratio</x:v>
      </x:c>
      <x:c r="K276" s="28" t="str">
        <x:v>Finance operating schedule</x:v>
      </x:c>
      <x:c r="L276" s="34" t="str">
        <x:v>2026-06-30</x:v>
      </x:c>
      <x:c r="M276" s="28" t="str"/>
    </x:row>
    <x:row r="277">
      <x:c r="A277" s="37" t="str">
        <x:v>PLN-00977</x:v>
      </x:c>
      <x:c r="B277" s="28" t="str">
        <x:v>Create the integrated FY27 operating plan</x:v>
      </x:c>
      <x:c r="C277" s="28" t="str">
        <x:v>Quarterly integrated plan</x:v>
      </x:c>
      <x:c r="D277" s="28" t="str">
        <x:v>Alder Ridge</x:v>
      </x:c>
      <x:c r="E277" s="28" t="str">
        <x:v>Q3 FY27</x:v>
      </x:c>
      <x:c r="F277" s="28" t="str">
        <x:v>Approved case</x:v>
      </x:c>
      <x:c r="G277" s="28" t="str">
        <x:v>Cash taxes</x:v>
      </x:c>
      <x:c r="H277" s="31" t="n">
        <x:v>145000</x:v>
      </x:c>
      <x:c r="I277" s="28" t="str"/>
      <x:c r="J277" s="28" t="str">
        <x:v>USD</x:v>
      </x:c>
      <x:c r="K277" s="28" t="str">
        <x:v>Finance operating schedule</x:v>
      </x:c>
      <x:c r="L277" s="34" t="str">
        <x:v>2026-06-30</x:v>
      </x:c>
      <x:c r="M277" s="28" t="str"/>
    </x:row>
    <x:row r="278">
      <x:c r="A278" s="37" t="str">
        <x:v>PLN-00978</x:v>
      </x:c>
      <x:c r="B278" s="28" t="str">
        <x:v>Create the integrated FY27 operating plan</x:v>
      </x:c>
      <x:c r="C278" s="28" t="str">
        <x:v>Quarterly integrated plan</x:v>
      </x:c>
      <x:c r="D278" s="28" t="str">
        <x:v>Alder Ridge</x:v>
      </x:c>
      <x:c r="E278" s="28" t="str">
        <x:v>Q3 FY27</x:v>
      </x:c>
      <x:c r="F278" s="28" t="str">
        <x:v>Approved case</x:v>
      </x:c>
      <x:c r="G278" s="28" t="str">
        <x:v>Capex</x:v>
      </x:c>
      <x:c r="H278" s="31" t="n">
        <x:v>630000</x:v>
      </x:c>
      <x:c r="I278" s="28" t="str"/>
      <x:c r="J278" s="28" t="str">
        <x:v>USD</x:v>
      </x:c>
      <x:c r="K278" s="28" t="str">
        <x:v>Finance operating schedule</x:v>
      </x:c>
      <x:c r="L278" s="34" t="str">
        <x:v>2026-06-30</x:v>
      </x:c>
      <x:c r="M278" s="28" t="str"/>
    </x:row>
    <x:row r="279">
      <x:c r="A279" s="37" t="str">
        <x:v>PLN-00979</x:v>
      </x:c>
      <x:c r="B279" s="28" t="str">
        <x:v>Create the integrated FY27 operating plan</x:v>
      </x:c>
      <x:c r="C279" s="28" t="str">
        <x:v>Quarterly integrated plan</x:v>
      </x:c>
      <x:c r="D279" s="28" t="str">
        <x:v>Alder Ridge</x:v>
      </x:c>
      <x:c r="E279" s="28" t="str">
        <x:v>Q3 FY27</x:v>
      </x:c>
      <x:c r="F279" s="28" t="str">
        <x:v>Approved case</x:v>
      </x:c>
      <x:c r="G279" s="28" t="str">
        <x:v>Ending NWC balance</x:v>
      </x:c>
      <x:c r="H279" s="31" t="n">
        <x:v>5400000</x:v>
      </x:c>
      <x:c r="I279" s="28" t="str"/>
      <x:c r="J279" s="28" t="str">
        <x:v>USD</x:v>
      </x:c>
      <x:c r="K279" s="28" t="str">
        <x:v>Finance operating schedule</x:v>
      </x:c>
      <x:c r="L279" s="34" t="str">
        <x:v>2026-06-30</x:v>
      </x:c>
      <x:c r="M279" s="28" t="str"/>
    </x:row>
    <x:row r="280">
      <x:c r="A280" s="37" t="str">
        <x:v>PLN-00980</x:v>
      </x:c>
      <x:c r="B280" s="28" t="str">
        <x:v>Create the integrated FY27 operating plan</x:v>
      </x:c>
      <x:c r="C280" s="28" t="str">
        <x:v>Quarterly integrated plan</x:v>
      </x:c>
      <x:c r="D280" s="28" t="str">
        <x:v>Alder Ridge</x:v>
      </x:c>
      <x:c r="E280" s="28" t="str">
        <x:v>Q4 FY27</x:v>
      </x:c>
      <x:c r="F280" s="28" t="str">
        <x:v>Approved case</x:v>
      </x:c>
      <x:c r="G280" s="28" t="str">
        <x:v>Revenue phase</x:v>
      </x:c>
      <x:c r="H280" s="31" t="n">
        <x:v>0.29</x:v>
      </x:c>
      <x:c r="I280" s="28" t="str"/>
      <x:c r="J280" s="28" t="str">
        <x:v>decimal ratio</x:v>
      </x:c>
      <x:c r="K280" s="28" t="str">
        <x:v>Finance operating schedule</x:v>
      </x:c>
      <x:c r="L280" s="34" t="str">
        <x:v>2026-06-30</x:v>
      </x:c>
      <x:c r="M280" s="28" t="str"/>
    </x:row>
    <x:row r="281">
      <x:c r="A281" s="37" t="str">
        <x:v>PLN-00981</x:v>
      </x:c>
      <x:c r="B281" s="28" t="str">
        <x:v>Create the integrated FY27 operating plan</x:v>
      </x:c>
      <x:c r="C281" s="28" t="str">
        <x:v>Quarterly integrated plan</x:v>
      </x:c>
      <x:c r="D281" s="28" t="str">
        <x:v>Alder Ridge</x:v>
      </x:c>
      <x:c r="E281" s="28" t="str">
        <x:v>Q4 FY27</x:v>
      </x:c>
      <x:c r="F281" s="28" t="str">
        <x:v>Approved case</x:v>
      </x:c>
      <x:c r="G281" s="28" t="str">
        <x:v>EBITDA phase</x:v>
      </x:c>
      <x:c r="H281" s="31" t="n">
        <x:v>0.34</x:v>
      </x:c>
      <x:c r="I281" s="28" t="str"/>
      <x:c r="J281" s="28" t="str">
        <x:v>decimal ratio</x:v>
      </x:c>
      <x:c r="K281" s="28" t="str">
        <x:v>Finance operating schedule</x:v>
      </x:c>
      <x:c r="L281" s="34" t="str">
        <x:v>2026-06-30</x:v>
      </x:c>
      <x:c r="M281" s="28" t="str"/>
    </x:row>
    <x:row r="282">
      <x:c r="A282" s="37" t="str">
        <x:v>PLN-00982</x:v>
      </x:c>
      <x:c r="B282" s="28" t="str">
        <x:v>Create the integrated FY27 operating plan</x:v>
      </x:c>
      <x:c r="C282" s="28" t="str">
        <x:v>Quarterly integrated plan</x:v>
      </x:c>
      <x:c r="D282" s="28" t="str">
        <x:v>Alder Ridge</x:v>
      </x:c>
      <x:c r="E282" s="28" t="str">
        <x:v>Q4 FY27</x:v>
      </x:c>
      <x:c r="F282" s="28" t="str">
        <x:v>Approved case</x:v>
      </x:c>
      <x:c r="G282" s="28" t="str">
        <x:v>Cash taxes</x:v>
      </x:c>
      <x:c r="H282" s="31" t="n">
        <x:v>190000</x:v>
      </x:c>
      <x:c r="I282" s="28" t="str"/>
      <x:c r="J282" s="28" t="str">
        <x:v>USD</x:v>
      </x:c>
      <x:c r="K282" s="28" t="str">
        <x:v>Finance operating schedule</x:v>
      </x:c>
      <x:c r="L282" s="34" t="str">
        <x:v>2026-06-30</x:v>
      </x:c>
      <x:c r="M282" s="28" t="str"/>
    </x:row>
    <x:row r="283">
      <x:c r="A283" s="37" t="str">
        <x:v>PLN-00983</x:v>
      </x:c>
      <x:c r="B283" s="28" t="str">
        <x:v>Create the integrated FY27 operating plan</x:v>
      </x:c>
      <x:c r="C283" s="28" t="str">
        <x:v>Quarterly integrated plan</x:v>
      </x:c>
      <x:c r="D283" s="28" t="str">
        <x:v>Alder Ridge</x:v>
      </x:c>
      <x:c r="E283" s="28" t="str">
        <x:v>Q4 FY27</x:v>
      </x:c>
      <x:c r="F283" s="28" t="str">
        <x:v>Approved case</x:v>
      </x:c>
      <x:c r="G283" s="28" t="str">
        <x:v>Capex</x:v>
      </x:c>
      <x:c r="H283" s="31" t="n">
        <x:v>650000</x:v>
      </x:c>
      <x:c r="I283" s="28" t="str"/>
      <x:c r="J283" s="28" t="str">
        <x:v>USD</x:v>
      </x:c>
      <x:c r="K283" s="28" t="str">
        <x:v>Finance operating schedule</x:v>
      </x:c>
      <x:c r="L283" s="34" t="str">
        <x:v>2026-06-30</x:v>
      </x:c>
      <x:c r="M283" s="28" t="str"/>
    </x:row>
    <x:row r="284">
      <x:c r="A284" s="37" t="str">
        <x:v>PLN-00984</x:v>
      </x:c>
      <x:c r="B284" s="28" t="str">
        <x:v>Create the integrated FY27 operating plan</x:v>
      </x:c>
      <x:c r="C284" s="28" t="str">
        <x:v>Quarterly integrated plan</x:v>
      </x:c>
      <x:c r="D284" s="28" t="str">
        <x:v>Alder Ridge</x:v>
      </x:c>
      <x:c r="E284" s="28" t="str">
        <x:v>Q4 FY27</x:v>
      </x:c>
      <x:c r="F284" s="28" t="str">
        <x:v>Approved case</x:v>
      </x:c>
      <x:c r="G284" s="28" t="str">
        <x:v>Ending NWC balance</x:v>
      </x:c>
      <x:c r="H284" s="31" t="n">
        <x:v>4800</x:v>
      </x:c>
      <x:c r="I284" s="28" t="str"/>
      <x:c r="J284" s="28" t="str">
        <x:v>USD thousands</x:v>
      </x:c>
      <x:c r="K284" s="28" t="str">
        <x:v>Finance operating schedule</x:v>
      </x:c>
      <x:c r="L284" s="34" t="str">
        <x:v>2026-06-30</x:v>
      </x:c>
      <x:c r="M284" s="28" t="str"/>
    </x:row>
    <x:row r="285">
      <x:c r="A285" s="37" t="str">
        <x:v>PLN-00985</x:v>
      </x:c>
      <x:c r="B285" s="28" t="str">
        <x:v>Create the integrated FY27 operating plan</x:v>
      </x:c>
      <x:c r="C285" s="28" t="str">
        <x:v>Quarterly funding policy</x:v>
      </x:c>
      <x:c r="D285" s="28" t="str">
        <x:v>Alder Ridge</x:v>
      </x:c>
      <x:c r="E285" s="28" t="str">
        <x:v>FY27</x:v>
      </x:c>
      <x:c r="F285" s="28" t="str">
        <x:v>Approved case</x:v>
      </x:c>
      <x:c r="G285" s="28" t="str">
        <x:v>Opening net working capital</x:v>
      </x:c>
      <x:c r="H285" s="31" t="n">
        <x:v>4380000</x:v>
      </x:c>
      <x:c r="I285" s="28" t="str"/>
      <x:c r="J285" s="28" t="str">
        <x:v>USD</x:v>
      </x:c>
      <x:c r="K285" s="28" t="str">
        <x:v>Finance operating schedule</x:v>
      </x:c>
      <x:c r="L285" s="34" t="str">
        <x:v>2026-06-30</x:v>
      </x:c>
      <x:c r="M285" s="28" t="str"/>
    </x:row>
    <x:row r="286">
      <x:c r="A286" s="37" t="str">
        <x:v>PLN-00986</x:v>
      </x:c>
      <x:c r="B286" s="28" t="str">
        <x:v>Create the integrated FY27 operating plan</x:v>
      </x:c>
      <x:c r="C286" s="28" t="str">
        <x:v>Quarterly funding policy</x:v>
      </x:c>
      <x:c r="D286" s="28" t="str">
        <x:v>Alder Ridge</x:v>
      </x:c>
      <x:c r="E286" s="28" t="str">
        <x:v>FY27</x:v>
      </x:c>
      <x:c r="F286" s="28" t="str">
        <x:v>Approved case</x:v>
      </x:c>
      <x:c r="G286" s="28" t="str">
        <x:v>Opening term debt</x:v>
      </x:c>
      <x:c r="H286" s="31" t="n">
        <x:v>5600000</x:v>
      </x:c>
      <x:c r="I286" s="28" t="str"/>
      <x:c r="J286" s="28" t="str">
        <x:v>USD</x:v>
      </x:c>
      <x:c r="K286" s="28" t="str">
        <x:v>Finance operating schedule</x:v>
      </x:c>
      <x:c r="L286" s="34" t="str">
        <x:v>2026-06-30</x:v>
      </x:c>
      <x:c r="M286" s="28" t="str"/>
    </x:row>
    <x:row r="287">
      <x:c r="A287" s="37" t="str">
        <x:v>PLN-00987</x:v>
      </x:c>
      <x:c r="B287" s="28" t="str">
        <x:v>Create the integrated FY27 operating plan</x:v>
      </x:c>
      <x:c r="C287" s="28" t="str">
        <x:v>Quarterly funding policy</x:v>
      </x:c>
      <x:c r="D287" s="28" t="str">
        <x:v>Alder Ridge</x:v>
      </x:c>
      <x:c r="E287" s="28" t="str">
        <x:v>FY27</x:v>
      </x:c>
      <x:c r="F287" s="28" t="str">
        <x:v>Approved case</x:v>
      </x:c>
      <x:c r="G287" s="28" t="str">
        <x:v>Quarterly term amortization</x:v>
      </x:c>
      <x:c r="H287" s="31" t="n">
        <x:v>350000</x:v>
      </x:c>
      <x:c r="I287" s="28" t="str"/>
      <x:c r="J287" s="28" t="str">
        <x:v>USD</x:v>
      </x:c>
      <x:c r="K287" s="28" t="str">
        <x:v>Finance operating schedule</x:v>
      </x:c>
      <x:c r="L287" s="34" t="str">
        <x:v>2026-06-30</x:v>
      </x:c>
      <x:c r="M287" s="28" t="str"/>
    </x:row>
    <x:row r="288">
      <x:c r="A288" s="37" t="str">
        <x:v>PLN-00988</x:v>
      </x:c>
      <x:c r="B288" s="28" t="str">
        <x:v>Create the integrated FY27 operating plan</x:v>
      </x:c>
      <x:c r="C288" s="28" t="str">
        <x:v>Quarterly funding policy</x:v>
      </x:c>
      <x:c r="D288" s="28" t="str">
        <x:v>Alder Ridge</x:v>
      </x:c>
      <x:c r="E288" s="28" t="str">
        <x:v>FY27</x:v>
      </x:c>
      <x:c r="F288" s="28" t="str">
        <x:v>Approved case</x:v>
      </x:c>
      <x:c r="G288" s="28" t="str">
        <x:v>Minimum operating cash</x:v>
      </x:c>
      <x:c r="H288" s="31" t="n">
        <x:v>2250</x:v>
      </x:c>
      <x:c r="I288" s="28" t="str"/>
      <x:c r="J288" s="28" t="str">
        <x:v>USD thousands</x:v>
      </x:c>
      <x:c r="K288" s="28" t="str">
        <x:v>Finance operating schedule</x:v>
      </x:c>
      <x:c r="L288" s="34" t="str">
        <x:v>2026-06-30</x:v>
      </x:c>
      <x:c r="M288" s="28" t="str"/>
    </x:row>
    <x:row r="289">
      <x:c r="A289" s="37" t="str">
        <x:v>PLN-00989</x:v>
      </x:c>
      <x:c r="B289" s="28" t="str">
        <x:v>Create the integrated FY27 operating plan</x:v>
      </x:c>
      <x:c r="C289" s="28" t="str">
        <x:v>Quarterly funding policy</x:v>
      </x:c>
      <x:c r="D289" s="28" t="str">
        <x:v>Alder Ridge</x:v>
      </x:c>
      <x:c r="E289" s="28" t="str">
        <x:v>FY27</x:v>
      </x:c>
      <x:c r="F289" s="28" t="str">
        <x:v>Approved case</x:v>
      </x:c>
      <x:c r="G289" s="28" t="str">
        <x:v>Revolver rate</x:v>
      </x:c>
      <x:c r="H289" s="31" t="n">
        <x:v>0.083</x:v>
      </x:c>
      <x:c r="I289" s="28" t="str"/>
      <x:c r="J289" s="28" t="str">
        <x:v>decimal ratio</x:v>
      </x:c>
      <x:c r="K289" s="28" t="str">
        <x:v>Finance operating schedule</x:v>
      </x:c>
      <x:c r="L289" s="34" t="str">
        <x:v>2026-06-30</x:v>
      </x:c>
      <x:c r="M289" s="28" t="str"/>
    </x:row>
    <x:row r="290">
      <x:c r="A290" s="37" t="str">
        <x:v>PLN-00990</x:v>
      </x:c>
      <x:c r="B290" s="28" t="str">
        <x:v>Create the integrated FY27 operating plan</x:v>
      </x:c>
      <x:c r="C290" s="28" t="str">
        <x:v>Quarterly funding policy</x:v>
      </x:c>
      <x:c r="D290" s="28" t="str">
        <x:v>Alder Ridge</x:v>
      </x:c>
      <x:c r="E290" s="28" t="str">
        <x:v>FY27</x:v>
      </x:c>
      <x:c r="F290" s="28" t="str">
        <x:v>Approved case</x:v>
      </x:c>
      <x:c r="G290" s="28" t="str">
        <x:v>Term debt rate</x:v>
      </x:c>
      <x:c r="H290" s="31" t="n">
        <x:v>0.071</x:v>
      </x:c>
      <x:c r="I290" s="28" t="str"/>
      <x:c r="J290" s="28" t="str">
        <x:v>decimal ratio</x:v>
      </x:c>
      <x:c r="K290" s="28" t="str">
        <x:v>Finance operating schedule</x:v>
      </x:c>
      <x:c r="L290" s="34" t="str">
        <x:v>2026-06-30</x:v>
      </x:c>
      <x:c r="M290" s="28" t="str"/>
    </x:row>
    <x:row r="291">
      <x:c r="A291" s="37" t="str">
        <x:v>PLN-00991</x:v>
      </x:c>
      <x:c r="B291" s="28" t="str">
        <x:v>Create the integrated FY27 operating plan</x:v>
      </x:c>
      <x:c r="C291" s="28" t="str">
        <x:v>Quarterly funding policy</x:v>
      </x:c>
      <x:c r="D291" s="28" t="str">
        <x:v>Alder Ridge</x:v>
      </x:c>
      <x:c r="E291" s="28" t="str">
        <x:v>FY27</x:v>
      </x:c>
      <x:c r="F291" s="28" t="str">
        <x:v>Approved case</x:v>
      </x:c>
      <x:c r="G291" s="28" t="str">
        <x:v>Maximum gross leverage</x:v>
      </x:c>
      <x:c r="H291" s="31" t="n">
        <x:v>2.75</x:v>
      </x:c>
      <x:c r="I291" s="28" t="str"/>
      <x:c r="J291" s="28" t="str">
        <x:v>multiple</x:v>
      </x:c>
      <x:c r="K291" s="28" t="str">
        <x:v>Finance operating schedule</x:v>
      </x:c>
      <x:c r="L291" s="34" t="str">
        <x:v>2026-06-30</x:v>
      </x:c>
      <x:c r="M291" s="28" t="str"/>
    </x:row>
    <x:row r="292">
      <x:c r="A292" s="37" t="str">
        <x:v>PLN-00998</x:v>
      </x:c>
      <x:c r="B292" s="28" t="str">
        <x:v>Rolling forecast variance and corrective actions</x:v>
      </x:c>
      <x:c r="C292" s="28" t="str">
        <x:v>Rolling forecast by business unit</x:v>
      </x:c>
      <x:c r="D292" s="28" t="str">
        <x:v>Construction</x:v>
      </x:c>
      <x:c r="E292" s="28" t="str">
        <x:v>FY26</x:v>
      </x:c>
      <x:c r="F292" s="28" t="str">
        <x:v>Approved case</x:v>
      </x:c>
      <x:c r="G292" s="28" t="str">
        <x:v>YTD actual revenue</x:v>
      </x:c>
      <x:c r="H292" s="31" t="n">
        <x:v>15950000</x:v>
      </x:c>
      <x:c r="I292" s="28" t="str"/>
      <x:c r="J292" s="28" t="str">
        <x:v>USD</x:v>
      </x:c>
      <x:c r="K292" s="28" t="str">
        <x:v>Finance operating schedule</x:v>
      </x:c>
      <x:c r="L292" s="34" t="str">
        <x:v>2026-06-30</x:v>
      </x:c>
      <x:c r="M292" s="28" t="str"/>
    </x:row>
    <x:row r="293">
      <x:c r="A293" s="37" t="str">
        <x:v>PLN-00999</x:v>
      </x:c>
      <x:c r="B293" s="28" t="str">
        <x:v>Rolling forecast variance and corrective actions</x:v>
      </x:c>
      <x:c r="C293" s="28" t="str">
        <x:v>Rolling forecast by business unit</x:v>
      </x:c>
      <x:c r="D293" s="28" t="str">
        <x:v>Construction</x:v>
      </x:c>
      <x:c r="E293" s="28" t="str">
        <x:v>FY26</x:v>
      </x:c>
      <x:c r="F293" s="28" t="str">
        <x:v>Approved case</x:v>
      </x:c>
      <x:c r="G293" s="28" t="str">
        <x:v>YTD plan revenue</x:v>
      </x:c>
      <x:c r="H293" s="31" t="n">
        <x:v>16420000</x:v>
      </x:c>
      <x:c r="I293" s="28" t="str"/>
      <x:c r="J293" s="28" t="str">
        <x:v>USD</x:v>
      </x:c>
      <x:c r="K293" s="28" t="str">
        <x:v>Finance operating schedule</x:v>
      </x:c>
      <x:c r="L293" s="34" t="str">
        <x:v>2026-06-30</x:v>
      </x:c>
      <x:c r="M293" s="28" t="str"/>
    </x:row>
    <x:row r="294">
      <x:c r="A294" s="37" t="str">
        <x:v>PLN-01000</x:v>
      </x:c>
      <x:c r="B294" s="28" t="str">
        <x:v>Rolling forecast variance and corrective actions</x:v>
      </x:c>
      <x:c r="C294" s="28" t="str">
        <x:v>Rolling forecast by business unit</x:v>
      </x:c>
      <x:c r="D294" s="28" t="str">
        <x:v>Construction</x:v>
      </x:c>
      <x:c r="E294" s="28" t="str">
        <x:v>FY26</x:v>
      </x:c>
      <x:c r="F294" s="28" t="str">
        <x:v>Approved case</x:v>
      </x:c>
      <x:c r="G294" s="28" t="str">
        <x:v>H2 latest forecast revenue</x:v>
      </x:c>
      <x:c r="H294" s="31" t="n">
        <x:v>17880000</x:v>
      </x:c>
      <x:c r="I294" s="28" t="str"/>
      <x:c r="J294" s="28" t="str">
        <x:v>USD</x:v>
      </x:c>
      <x:c r="K294" s="28" t="str">
        <x:v>Finance operating schedule</x:v>
      </x:c>
      <x:c r="L294" s="34" t="str">
        <x:v>2026-06-30</x:v>
      </x:c>
      <x:c r="M294" s="28" t="str"/>
    </x:row>
    <x:row r="295">
      <x:c r="A295" s="37" t="str">
        <x:v>PLN-01001</x:v>
      </x:c>
      <x:c r="B295" s="28" t="str">
        <x:v>Rolling forecast variance and corrective actions</x:v>
      </x:c>
      <x:c r="C295" s="28" t="str">
        <x:v>Rolling forecast by business unit</x:v>
      </x:c>
      <x:c r="D295" s="28" t="str">
        <x:v>Construction</x:v>
      </x:c>
      <x:c r="E295" s="28" t="str">
        <x:v>FY26</x:v>
      </x:c>
      <x:c r="F295" s="28" t="str">
        <x:v>Approved case</x:v>
      </x:c>
      <x:c r="G295" s="28" t="str">
        <x:v>H2 plan revenue</x:v>
      </x:c>
      <x:c r="H295" s="31" t="n">
        <x:v>18600</x:v>
      </x:c>
      <x:c r="I295" s="28" t="str"/>
      <x:c r="J295" s="28" t="str">
        <x:v>USD thousands</x:v>
      </x:c>
      <x:c r="K295" s="28" t="str">
        <x:v>Finance operating schedule</x:v>
      </x:c>
      <x:c r="L295" s="34" t="str">
        <x:v>2026-06-30</x:v>
      </x:c>
      <x:c r="M295" s="28" t="str"/>
    </x:row>
    <x:row r="296">
      <x:c r="A296" s="37" t="str">
        <x:v>PLN-01002</x:v>
      </x:c>
      <x:c r="B296" s="28" t="str">
        <x:v>Rolling forecast variance and corrective actions</x:v>
      </x:c>
      <x:c r="C296" s="28" t="str">
        <x:v>Rolling forecast by business unit</x:v>
      </x:c>
      <x:c r="D296" s="28" t="str">
        <x:v>Construction</x:v>
      </x:c>
      <x:c r="E296" s="28" t="str">
        <x:v>FY26</x:v>
      </x:c>
      <x:c r="F296" s="28" t="str">
        <x:v>Approved case</x:v>
      </x:c>
      <x:c r="G296" s="28" t="str">
        <x:v>Actual gross margin</x:v>
      </x:c>
      <x:c r="H296" s="31" t="n">
        <x:v>0.226</x:v>
      </x:c>
      <x:c r="I296" s="28" t="str"/>
      <x:c r="J296" s="28" t="str">
        <x:v>decimal ratio</x:v>
      </x:c>
      <x:c r="K296" s="28" t="str">
        <x:v>Finance operating schedule</x:v>
      </x:c>
      <x:c r="L296" s="34" t="str">
        <x:v>2026-06-30</x:v>
      </x:c>
      <x:c r="M296" s="28" t="str"/>
    </x:row>
    <x:row r="297">
      <x:c r="A297" s="37" t="str">
        <x:v>PLN-01003</x:v>
      </x:c>
      <x:c r="B297" s="28" t="str">
        <x:v>Rolling forecast variance and corrective actions</x:v>
      </x:c>
      <x:c r="C297" s="28" t="str">
        <x:v>Rolling forecast by business unit</x:v>
      </x:c>
      <x:c r="D297" s="28" t="str">
        <x:v>Construction</x:v>
      </x:c>
      <x:c r="E297" s="28" t="str">
        <x:v>FY26</x:v>
      </x:c>
      <x:c r="F297" s="28" t="str">
        <x:v>Approved case</x:v>
      </x:c>
      <x:c r="G297" s="28" t="str">
        <x:v>Plan gross margin</x:v>
      </x:c>
      <x:c r="H297" s="31" t="n">
        <x:v>0.238</x:v>
      </x:c>
      <x:c r="I297" s="28" t="str"/>
      <x:c r="J297" s="28" t="str">
        <x:v>decimal ratio</x:v>
      </x:c>
      <x:c r="K297" s="28" t="str">
        <x:v>Finance operating schedule</x:v>
      </x:c>
      <x:c r="L297" s="34" t="str">
        <x:v>2026-06-30</x:v>
      </x:c>
      <x:c r="M297" s="28" t="str"/>
    </x:row>
    <x:row r="298">
      <x:c r="A298" s="37" t="str">
        <x:v>PLN-01004</x:v>
      </x:c>
      <x:c r="B298" s="28" t="str">
        <x:v>Rolling forecast variance and corrective actions</x:v>
      </x:c>
      <x:c r="C298" s="28" t="str">
        <x:v>Rolling forecast by business unit</x:v>
      </x:c>
      <x:c r="D298" s="28" t="str">
        <x:v>Construction</x:v>
      </x:c>
      <x:c r="E298" s="28" t="str">
        <x:v>FY26</x:v>
      </x:c>
      <x:c r="F298" s="28" t="str">
        <x:v>Approved case</x:v>
      </x:c>
      <x:c r="G298" s="28" t="str">
        <x:v>YTD plus H2 forecast opex</x:v>
      </x:c>
      <x:c r="H298" s="31" t="n">
        <x:v>5900000</x:v>
      </x:c>
      <x:c r="I298" s="28" t="str"/>
      <x:c r="J298" s="28" t="str">
        <x:v>USD</x:v>
      </x:c>
      <x:c r="K298" s="28" t="str">
        <x:v>Finance operating schedule</x:v>
      </x:c>
      <x:c r="L298" s="34" t="str">
        <x:v>2026-06-30</x:v>
      </x:c>
      <x:c r="M298" s="28" t="str"/>
    </x:row>
    <x:row r="299">
      <x:c r="A299" s="37" t="str">
        <x:v>PLN-01005</x:v>
      </x:c>
      <x:c r="B299" s="28" t="str">
        <x:v>Rolling forecast variance and corrective actions</x:v>
      </x:c>
      <x:c r="C299" s="28" t="str">
        <x:v>Rolling forecast by business unit</x:v>
      </x:c>
      <x:c r="D299" s="28" t="str">
        <x:v>Construction</x:v>
      </x:c>
      <x:c r="E299" s="28" t="str">
        <x:v>FY26</x:v>
      </x:c>
      <x:c r="F299" s="28" t="str">
        <x:v>Approved case</x:v>
      </x:c>
      <x:c r="G299" s="28" t="str">
        <x:v>Full year plan opex</x:v>
      </x:c>
      <x:c r="H299" s="31" t="n">
        <x:v>6050</x:v>
      </x:c>
      <x:c r="I299" s="28" t="str"/>
      <x:c r="J299" s="28" t="str">
        <x:v>USD thousands</x:v>
      </x:c>
      <x:c r="K299" s="28" t="str">
        <x:v>Finance operating schedule</x:v>
      </x:c>
      <x:c r="L299" s="34" t="str">
        <x:v>2026-06-30</x:v>
      </x:c>
      <x:c r="M299" s="28" t="str"/>
    </x:row>
    <x:row r="300">
      <x:c r="A300" s="37" t="str">
        <x:v>PLN-01006</x:v>
      </x:c>
      <x:c r="B300" s="28" t="str">
        <x:v>Rolling forecast variance and corrective actions</x:v>
      </x:c>
      <x:c r="C300" s="28" t="str">
        <x:v>Rolling forecast by business unit</x:v>
      </x:c>
      <x:c r="D300" s="28" t="str">
        <x:v>Service</x:v>
      </x:c>
      <x:c r="E300" s="28" t="str">
        <x:v>FY26</x:v>
      </x:c>
      <x:c r="F300" s="28" t="str">
        <x:v>Approved case</x:v>
      </x:c>
      <x:c r="G300" s="28" t="str">
        <x:v>YTD actual revenue</x:v>
      </x:c>
      <x:c r="H300" s="31" t="n">
        <x:v>7420000</x:v>
      </x:c>
      <x:c r="I300" s="28" t="str"/>
      <x:c r="J300" s="28" t="str">
        <x:v>USD</x:v>
      </x:c>
      <x:c r="K300" s="28" t="str">
        <x:v>Finance operating schedule</x:v>
      </x:c>
      <x:c r="L300" s="34" t="str">
        <x:v>2026-06-30</x:v>
      </x:c>
      <x:c r="M300" s="28" t="str"/>
    </x:row>
    <x:row r="301">
      <x:c r="A301" s="37" t="str">
        <x:v>PLN-01007</x:v>
      </x:c>
      <x:c r="B301" s="28" t="str">
        <x:v>Rolling forecast variance and corrective actions</x:v>
      </x:c>
      <x:c r="C301" s="28" t="str">
        <x:v>Rolling forecast by business unit</x:v>
      </x:c>
      <x:c r="D301" s="28" t="str">
        <x:v>Service</x:v>
      </x:c>
      <x:c r="E301" s="28" t="str">
        <x:v>FY26</x:v>
      </x:c>
      <x:c r="F301" s="28" t="str">
        <x:v>Approved case</x:v>
      </x:c>
      <x:c r="G301" s="28" t="str">
        <x:v>YTD plan revenue</x:v>
      </x:c>
      <x:c r="H301" s="31" t="n">
        <x:v>7180000</x:v>
      </x:c>
      <x:c r="I301" s="28" t="str"/>
      <x:c r="J301" s="28" t="str">
        <x:v>USD</x:v>
      </x:c>
      <x:c r="K301" s="28" t="str">
        <x:v>Finance operating schedule</x:v>
      </x:c>
      <x:c r="L301" s="34" t="str">
        <x:v>2026-06-30</x:v>
      </x:c>
      <x:c r="M301" s="28" t="str"/>
    </x:row>
    <x:row r="302">
      <x:c r="A302" s="37" t="str">
        <x:v>PLN-01008</x:v>
      </x:c>
      <x:c r="B302" s="28" t="str">
        <x:v>Rolling forecast variance and corrective actions</x:v>
      </x:c>
      <x:c r="C302" s="28" t="str">
        <x:v>Rolling forecast by business unit</x:v>
      </x:c>
      <x:c r="D302" s="28" t="str">
        <x:v>Service</x:v>
      </x:c>
      <x:c r="E302" s="28" t="str">
        <x:v>FY26</x:v>
      </x:c>
      <x:c r="F302" s="28" t="str">
        <x:v>Approved case</x:v>
      </x:c>
      <x:c r="G302" s="28" t="str">
        <x:v>H2 latest forecast revenue</x:v>
      </x:c>
      <x:c r="H302" s="31" t="n">
        <x:v>7690000</x:v>
      </x:c>
      <x:c r="I302" s="28" t="str"/>
      <x:c r="J302" s="28" t="str">
        <x:v>USD</x:v>
      </x:c>
      <x:c r="K302" s="28" t="str">
        <x:v>Finance operating schedule</x:v>
      </x:c>
      <x:c r="L302" s="34" t="str">
        <x:v>2026-06-30</x:v>
      </x:c>
      <x:c r="M302" s="28" t="str"/>
    </x:row>
    <x:row r="303">
      <x:c r="A303" s="37" t="str">
        <x:v>PLN-01009</x:v>
      </x:c>
      <x:c r="B303" s="28" t="str">
        <x:v>Rolling forecast variance and corrective actions</x:v>
      </x:c>
      <x:c r="C303" s="28" t="str">
        <x:v>Rolling forecast by business unit</x:v>
      </x:c>
      <x:c r="D303" s="28" t="str">
        <x:v>Service</x:v>
      </x:c>
      <x:c r="E303" s="28" t="str">
        <x:v>FY26</x:v>
      </x:c>
      <x:c r="F303" s="28" t="str">
        <x:v>Approved case</x:v>
      </x:c>
      <x:c r="G303" s="28" t="str">
        <x:v>H2 plan revenue</x:v>
      </x:c>
      <x:c r="H303" s="31" t="n">
        <x:v>7860</x:v>
      </x:c>
      <x:c r="I303" s="28" t="str"/>
      <x:c r="J303" s="28" t="str">
        <x:v>USD thousands</x:v>
      </x:c>
      <x:c r="K303" s="28" t="str">
        <x:v>Finance operating schedule</x:v>
      </x:c>
      <x:c r="L303" s="34" t="str">
        <x:v>2026-06-30</x:v>
      </x:c>
      <x:c r="M303" s="28" t="str"/>
    </x:row>
    <x:row r="304">
      <x:c r="A304" s="37" t="str">
        <x:v>PLN-01010</x:v>
      </x:c>
      <x:c r="B304" s="28" t="str">
        <x:v>Rolling forecast variance and corrective actions</x:v>
      </x:c>
      <x:c r="C304" s="28" t="str">
        <x:v>Rolling forecast by business unit</x:v>
      </x:c>
      <x:c r="D304" s="28" t="str">
        <x:v>Service</x:v>
      </x:c>
      <x:c r="E304" s="28" t="str">
        <x:v>FY26</x:v>
      </x:c>
      <x:c r="F304" s="28" t="str">
        <x:v>Approved case</x:v>
      </x:c>
      <x:c r="G304" s="28" t="str">
        <x:v>Actual gross margin</x:v>
      </x:c>
      <x:c r="H304" s="31" t="n">
        <x:v>0.428</x:v>
      </x:c>
      <x:c r="I304" s="28" t="str"/>
      <x:c r="J304" s="28" t="str">
        <x:v>decimal ratio</x:v>
      </x:c>
      <x:c r="K304" s="28" t="str">
        <x:v>Finance operating schedule</x:v>
      </x:c>
      <x:c r="L304" s="34" t="str">
        <x:v>2026-06-30</x:v>
      </x:c>
      <x:c r="M304" s="28" t="str"/>
    </x:row>
    <x:row r="305">
      <x:c r="A305" s="37" t="str">
        <x:v>PLN-01011</x:v>
      </x:c>
      <x:c r="B305" s="28" t="str">
        <x:v>Rolling forecast variance and corrective actions</x:v>
      </x:c>
      <x:c r="C305" s="28" t="str">
        <x:v>Rolling forecast by business unit</x:v>
      </x:c>
      <x:c r="D305" s="28" t="str">
        <x:v>Service</x:v>
      </x:c>
      <x:c r="E305" s="28" t="str">
        <x:v>FY26</x:v>
      </x:c>
      <x:c r="F305" s="28" t="str">
        <x:v>Approved case</x:v>
      </x:c>
      <x:c r="G305" s="28" t="str">
        <x:v>Plan gross margin</x:v>
      </x:c>
      <x:c r="H305" s="31" t="n">
        <x:v>0.441</x:v>
      </x:c>
      <x:c r="I305" s="28" t="str"/>
      <x:c r="J305" s="28" t="str">
        <x:v>decimal ratio</x:v>
      </x:c>
      <x:c r="K305" s="28" t="str">
        <x:v>Finance operating schedule</x:v>
      </x:c>
      <x:c r="L305" s="34" t="str">
        <x:v>2026-06-30</x:v>
      </x:c>
      <x:c r="M305" s="28" t="str"/>
    </x:row>
    <x:row r="306">
      <x:c r="A306" s="37" t="str">
        <x:v>PLN-01012</x:v>
      </x:c>
      <x:c r="B306" s="28" t="str">
        <x:v>Rolling forecast variance and corrective actions</x:v>
      </x:c>
      <x:c r="C306" s="28" t="str">
        <x:v>Rolling forecast by business unit</x:v>
      </x:c>
      <x:c r="D306" s="28" t="str">
        <x:v>Service</x:v>
      </x:c>
      <x:c r="E306" s="28" t="str">
        <x:v>FY26</x:v>
      </x:c>
      <x:c r="F306" s="28" t="str">
        <x:v>Approved case</x:v>
      </x:c>
      <x:c r="G306" s="28" t="str">
        <x:v>YTD plus H2 forecast opex</x:v>
      </x:c>
      <x:c r="H306" s="31" t="n">
        <x:v>3950000</x:v>
      </x:c>
      <x:c r="I306" s="28" t="str"/>
      <x:c r="J306" s="28" t="str">
        <x:v>USD</x:v>
      </x:c>
      <x:c r="K306" s="28" t="str">
        <x:v>Finance operating schedule</x:v>
      </x:c>
      <x:c r="L306" s="34" t="str">
        <x:v>2026-06-30</x:v>
      </x:c>
      <x:c r="M306" s="28" t="str"/>
    </x:row>
    <x:row r="307">
      <x:c r="A307" s="37" t="str">
        <x:v>PLN-01013</x:v>
      </x:c>
      <x:c r="B307" s="28" t="str">
        <x:v>Rolling forecast variance and corrective actions</x:v>
      </x:c>
      <x:c r="C307" s="28" t="str">
        <x:v>Rolling forecast by business unit</x:v>
      </x:c>
      <x:c r="D307" s="28" t="str">
        <x:v>Service</x:v>
      </x:c>
      <x:c r="E307" s="28" t="str">
        <x:v>FY26</x:v>
      </x:c>
      <x:c r="F307" s="28" t="str">
        <x:v>Approved case</x:v>
      </x:c>
      <x:c r="G307" s="28" t="str">
        <x:v>Full year plan opex</x:v>
      </x:c>
      <x:c r="H307" s="31" t="n">
        <x:v>3870</x:v>
      </x:c>
      <x:c r="I307" s="28" t="str"/>
      <x:c r="J307" s="28" t="str">
        <x:v>USD thousands</x:v>
      </x:c>
      <x:c r="K307" s="28" t="str">
        <x:v>Finance operating schedule</x:v>
      </x:c>
      <x:c r="L307" s="34" t="str">
        <x:v>2026-06-30</x:v>
      </x:c>
      <x:c r="M307" s="28" t="str"/>
    </x:row>
    <x:row r="308">
      <x:c r="A308" s="37" t="str">
        <x:v>PLN-01014</x:v>
      </x:c>
      <x:c r="B308" s="28" t="str">
        <x:v>Rolling forecast variance and corrective actions</x:v>
      </x:c>
      <x:c r="C308" s="28" t="str">
        <x:v>Rolling forecast by business unit</x:v>
      </x:c>
      <x:c r="D308" s="28" t="str">
        <x:v>Controls</x:v>
      </x:c>
      <x:c r="E308" s="28" t="str">
        <x:v>FY26</x:v>
      </x:c>
      <x:c r="F308" s="28" t="str">
        <x:v>Approved case</x:v>
      </x:c>
      <x:c r="G308" s="28" t="str">
        <x:v>YTD actual revenue</x:v>
      </x:c>
      <x:c r="H308" s="31" t="n">
        <x:v>4030000</x:v>
      </x:c>
      <x:c r="I308" s="28" t="str"/>
      <x:c r="J308" s="28" t="str">
        <x:v>USD</x:v>
      </x:c>
      <x:c r="K308" s="28" t="str">
        <x:v>Finance operating schedule</x:v>
      </x:c>
      <x:c r="L308" s="34" t="str">
        <x:v>2026-06-30</x:v>
      </x:c>
      <x:c r="M308" s="28" t="str"/>
    </x:row>
    <x:row r="309">
      <x:c r="A309" s="37" t="str">
        <x:v>PLN-01015</x:v>
      </x:c>
      <x:c r="B309" s="28" t="str">
        <x:v>Rolling forecast variance and corrective actions</x:v>
      </x:c>
      <x:c r="C309" s="28" t="str">
        <x:v>Rolling forecast by business unit</x:v>
      </x:c>
      <x:c r="D309" s="28" t="str">
        <x:v>Controls</x:v>
      </x:c>
      <x:c r="E309" s="28" t="str">
        <x:v>FY26</x:v>
      </x:c>
      <x:c r="F309" s="28" t="str">
        <x:v>Approved case</x:v>
      </x:c>
      <x:c r="G309" s="28" t="str">
        <x:v>YTD plan revenue</x:v>
      </x:c>
      <x:c r="H309" s="31" t="n">
        <x:v>4220000</x:v>
      </x:c>
      <x:c r="I309" s="28" t="str"/>
      <x:c r="J309" s="28" t="str">
        <x:v>USD</x:v>
      </x:c>
      <x:c r="K309" s="28" t="str">
        <x:v>Finance operating schedule</x:v>
      </x:c>
      <x:c r="L309" s="34" t="str">
        <x:v>2026-06-30</x:v>
      </x:c>
      <x:c r="M309" s="28" t="str"/>
    </x:row>
    <x:row r="310">
      <x:c r="A310" s="37" t="str">
        <x:v>PLN-01016</x:v>
      </x:c>
      <x:c r="B310" s="28" t="str">
        <x:v>Rolling forecast variance and corrective actions</x:v>
      </x:c>
      <x:c r="C310" s="28" t="str">
        <x:v>Rolling forecast by business unit</x:v>
      </x:c>
      <x:c r="D310" s="28" t="str">
        <x:v>Controls</x:v>
      </x:c>
      <x:c r="E310" s="28" t="str">
        <x:v>FY26</x:v>
      </x:c>
      <x:c r="F310" s="28" t="str">
        <x:v>Approved case</x:v>
      </x:c>
      <x:c r="G310" s="28" t="str">
        <x:v>H2 latest forecast revenue</x:v>
      </x:c>
      <x:c r="H310" s="31" t="n">
        <x:v>4580000</x:v>
      </x:c>
      <x:c r="I310" s="28" t="str"/>
      <x:c r="J310" s="28" t="str">
        <x:v>USD</x:v>
      </x:c>
      <x:c r="K310" s="28" t="str">
        <x:v>Finance operating schedule</x:v>
      </x:c>
      <x:c r="L310" s="34" t="str">
        <x:v>2026-06-30</x:v>
      </x:c>
      <x:c r="M310" s="28" t="str"/>
    </x:row>
    <x:row r="311">
      <x:c r="A311" s="37" t="str">
        <x:v>PLN-01017</x:v>
      </x:c>
      <x:c r="B311" s="28" t="str">
        <x:v>Rolling forecast variance and corrective actions</x:v>
      </x:c>
      <x:c r="C311" s="28" t="str">
        <x:v>Rolling forecast by business unit</x:v>
      </x:c>
      <x:c r="D311" s="28" t="str">
        <x:v>Controls</x:v>
      </x:c>
      <x:c r="E311" s="28" t="str">
        <x:v>FY26</x:v>
      </x:c>
      <x:c r="F311" s="28" t="str">
        <x:v>Approved case</x:v>
      </x:c>
      <x:c r="G311" s="28" t="str">
        <x:v>H2 plan revenue</x:v>
      </x:c>
      <x:c r="H311" s="31" t="n">
        <x:v>4410</x:v>
      </x:c>
      <x:c r="I311" s="28" t="str"/>
      <x:c r="J311" s="28" t="str">
        <x:v>USD thousands</x:v>
      </x:c>
      <x:c r="K311" s="28" t="str">
        <x:v>Finance operating schedule</x:v>
      </x:c>
      <x:c r="L311" s="34" t="str">
        <x:v>2026-06-30</x:v>
      </x:c>
      <x:c r="M311" s="28" t="str"/>
    </x:row>
    <x:row r="312">
      <x:c r="A312" s="37" t="str">
        <x:v>PLN-01018</x:v>
      </x:c>
      <x:c r="B312" s="28" t="str">
        <x:v>Rolling forecast variance and corrective actions</x:v>
      </x:c>
      <x:c r="C312" s="28" t="str">
        <x:v>Rolling forecast by business unit</x:v>
      </x:c>
      <x:c r="D312" s="28" t="str">
        <x:v>Controls</x:v>
      </x:c>
      <x:c r="E312" s="28" t="str">
        <x:v>FY26</x:v>
      </x:c>
      <x:c r="F312" s="28" t="str">
        <x:v>Approved case</x:v>
      </x:c>
      <x:c r="G312" s="28" t="str">
        <x:v>Actual gross margin</x:v>
      </x:c>
      <x:c r="H312" s="31" t="n">
        <x:v>0.305</x:v>
      </x:c>
      <x:c r="I312" s="28" t="str"/>
      <x:c r="J312" s="28" t="str">
        <x:v>decimal ratio</x:v>
      </x:c>
      <x:c r="K312" s="28" t="str">
        <x:v>Finance operating schedule</x:v>
      </x:c>
      <x:c r="L312" s="34" t="str">
        <x:v>2026-06-30</x:v>
      </x:c>
      <x:c r="M312" s="28" t="str"/>
    </x:row>
    <x:row r="313">
      <x:c r="A313" s="37" t="str">
        <x:v>PLN-01019</x:v>
      </x:c>
      <x:c r="B313" s="28" t="str">
        <x:v>Rolling forecast variance and corrective actions</x:v>
      </x:c>
      <x:c r="C313" s="28" t="str">
        <x:v>Rolling forecast by business unit</x:v>
      </x:c>
      <x:c r="D313" s="28" t="str">
        <x:v>Controls</x:v>
      </x:c>
      <x:c r="E313" s="28" t="str">
        <x:v>FY26</x:v>
      </x:c>
      <x:c r="F313" s="28" t="str">
        <x:v>Approved case</x:v>
      </x:c>
      <x:c r="G313" s="28" t="str">
        <x:v>Plan gross margin</x:v>
      </x:c>
      <x:c r="H313" s="31" t="n">
        <x:v>0.322</x:v>
      </x:c>
      <x:c r="I313" s="28" t="str"/>
      <x:c r="J313" s="28" t="str">
        <x:v>decimal ratio</x:v>
      </x:c>
      <x:c r="K313" s="28" t="str">
        <x:v>Finance operating schedule</x:v>
      </x:c>
      <x:c r="L313" s="34" t="str">
        <x:v>2026-06-30</x:v>
      </x:c>
      <x:c r="M313" s="28" t="str"/>
    </x:row>
    <x:row r="314">
      <x:c r="A314" s="37" t="str">
        <x:v>PLN-01020</x:v>
      </x:c>
      <x:c r="B314" s="28" t="str">
        <x:v>Rolling forecast variance and corrective actions</x:v>
      </x:c>
      <x:c r="C314" s="28" t="str">
        <x:v>Rolling forecast by business unit</x:v>
      </x:c>
      <x:c r="D314" s="28" t="str">
        <x:v>Controls</x:v>
      </x:c>
      <x:c r="E314" s="28" t="str">
        <x:v>FY26</x:v>
      </x:c>
      <x:c r="F314" s="28" t="str">
        <x:v>Approved case</x:v>
      </x:c>
      <x:c r="G314" s="28" t="str">
        <x:v>YTD plus H2 forecast opex</x:v>
      </x:c>
      <x:c r="H314" s="31" t="n">
        <x:v>2330000</x:v>
      </x:c>
      <x:c r="I314" s="28" t="str"/>
      <x:c r="J314" s="28" t="str">
        <x:v>USD</x:v>
      </x:c>
      <x:c r="K314" s="28" t="str">
        <x:v>Finance operating schedule</x:v>
      </x:c>
      <x:c r="L314" s="34" t="str">
        <x:v>2026-06-30</x:v>
      </x:c>
      <x:c r="M314" s="28" t="str"/>
    </x:row>
    <x:row r="315">
      <x:c r="A315" s="37" t="str">
        <x:v>PLN-01021</x:v>
      </x:c>
      <x:c r="B315" s="28" t="str">
        <x:v>Rolling forecast variance and corrective actions</x:v>
      </x:c>
      <x:c r="C315" s="28" t="str">
        <x:v>Rolling forecast by business unit</x:v>
      </x:c>
      <x:c r="D315" s="28" t="str">
        <x:v>Controls</x:v>
      </x:c>
      <x:c r="E315" s="28" t="str">
        <x:v>FY26</x:v>
      </x:c>
      <x:c r="F315" s="28" t="str">
        <x:v>Approved case</x:v>
      </x:c>
      <x:c r="G315" s="28" t="str">
        <x:v>Full year plan opex</x:v>
      </x:c>
      <x:c r="H315" s="31" t="n">
        <x:v>2290</x:v>
      </x:c>
      <x:c r="I315" s="28" t="str"/>
      <x:c r="J315" s="28" t="str">
        <x:v>USD thousands</x:v>
      </x:c>
      <x:c r="K315" s="28" t="str">
        <x:v>Finance operating schedule</x:v>
      </x:c>
      <x:c r="L315" s="34" t="str">
        <x:v>2026-06-30</x:v>
      </x:c>
      <x:c r="M315" s="28" t="str"/>
    </x:row>
    <x:row r="316">
      <x:c r="A316" s="37" t="str">
        <x:v>PLN-01022</x:v>
      </x:c>
      <x:c r="B316" s="28" t="str">
        <x:v>Rolling forecast variance and corrective actions</x:v>
      </x:c>
      <x:c r="C316" s="28" t="str">
        <x:v>Forecast corrective actions</x:v>
      </x:c>
      <x:c r="D316" s="28" t="str">
        <x:v>Procurement reset</x:v>
      </x:c>
      <x:c r="E316" s="28" t="str">
        <x:v>FY26 H2</x:v>
      </x:c>
      <x:c r="F316" s="28" t="str">
        <x:v>Approved case</x:v>
      </x:c>
      <x:c r="G316" s="28" t="str">
        <x:v>Gross EBITDA benefit</x:v>
      </x:c>
      <x:c r="H316" s="31" t="n">
        <x:v>410000</x:v>
      </x:c>
      <x:c r="I316" s="28" t="str"/>
      <x:c r="J316" s="28" t="str">
        <x:v>USD</x:v>
      </x:c>
      <x:c r="K316" s="28" t="str">
        <x:v>Finance operating schedule</x:v>
      </x:c>
      <x:c r="L316" s="34" t="str">
        <x:v>2026-06-30</x:v>
      </x:c>
      <x:c r="M316" s="28" t="str"/>
    </x:row>
    <x:row r="317">
      <x:c r="A317" s="37" t="str">
        <x:v>PLN-01023</x:v>
      </x:c>
      <x:c r="B317" s="28" t="str">
        <x:v>Rolling forecast variance and corrective actions</x:v>
      </x:c>
      <x:c r="C317" s="28" t="str">
        <x:v>Forecast corrective actions</x:v>
      </x:c>
      <x:c r="D317" s="28" t="str">
        <x:v>Procurement reset</x:v>
      </x:c>
      <x:c r="E317" s="28" t="str">
        <x:v>FY26 H2</x:v>
      </x:c>
      <x:c r="F317" s="28" t="str">
        <x:v>Approved case</x:v>
      </x:c>
      <x:c r="G317" s="28" t="str">
        <x:v>Realization probability</x:v>
      </x:c>
      <x:c r="H317" s="31" t="n">
        <x:v>0.85</x:v>
      </x:c>
      <x:c r="I317" s="28" t="str"/>
      <x:c r="J317" s="28" t="str">
        <x:v>decimal ratio</x:v>
      </x:c>
      <x:c r="K317" s="28" t="str">
        <x:v>Finance operating schedule</x:v>
      </x:c>
      <x:c r="L317" s="34" t="str">
        <x:v>2026-06-30</x:v>
      </x:c>
      <x:c r="M317" s="28" t="str"/>
    </x:row>
    <x:row r="318">
      <x:c r="A318" s="37" t="str">
        <x:v>PLN-01024</x:v>
      </x:c>
      <x:c r="B318" s="28" t="str">
        <x:v>Rolling forecast variance and corrective actions</x:v>
      </x:c>
      <x:c r="C318" s="28" t="str">
        <x:v>Forecast corrective actions</x:v>
      </x:c>
      <x:c r="D318" s="28" t="str">
        <x:v>Procurement reset</x:v>
      </x:c>
      <x:c r="E318" s="28" t="str">
        <x:v>FY26 H2</x:v>
      </x:c>
      <x:c r="F318" s="28" t="str">
        <x:v>Approved case</x:v>
      </x:c>
      <x:c r="G318" s="28" t="str">
        <x:v>Owner</x:v>
      </x:c>
      <x:c r="H318" s="31" t="str"/>
      <x:c r="I318" s="28" t="str">
        <x:v>Construction</x:v>
      </x:c>
      <x:c r="J318" s="28" t="str">
        <x:v>classification</x:v>
      </x:c>
      <x:c r="K318" s="28" t="str">
        <x:v>Finance operating schedule</x:v>
      </x:c>
      <x:c r="L318" s="34" t="str">
        <x:v>2026-06-30</x:v>
      </x:c>
      <x:c r="M318" s="28" t="str"/>
    </x:row>
    <x:row r="319">
      <x:c r="A319" s="37" t="str">
        <x:v>PLN-01025</x:v>
      </x:c>
      <x:c r="B319" s="28" t="str">
        <x:v>Rolling forecast variance and corrective actions</x:v>
      </x:c>
      <x:c r="C319" s="28" t="str">
        <x:v>Forecast corrective actions</x:v>
      </x:c>
      <x:c r="D319" s="28" t="str">
        <x:v>Service routing</x:v>
      </x:c>
      <x:c r="E319" s="28" t="str">
        <x:v>FY26 H2</x:v>
      </x:c>
      <x:c r="F319" s="28" t="str">
        <x:v>Approved case</x:v>
      </x:c>
      <x:c r="G319" s="28" t="str">
        <x:v>Gross EBITDA benefit</x:v>
      </x:c>
      <x:c r="H319" s="31" t="n">
        <x:v>265</x:v>
      </x:c>
      <x:c r="I319" s="28" t="str"/>
      <x:c r="J319" s="28" t="str">
        <x:v>USD thousands</x:v>
      </x:c>
      <x:c r="K319" s="28" t="str">
        <x:v>Finance operating schedule</x:v>
      </x:c>
      <x:c r="L319" s="34" t="str">
        <x:v>2026-06-30</x:v>
      </x:c>
      <x:c r="M319" s="28" t="str"/>
    </x:row>
    <x:row r="320">
      <x:c r="A320" s="37" t="str">
        <x:v>PLN-01026</x:v>
      </x:c>
      <x:c r="B320" s="28" t="str">
        <x:v>Rolling forecast variance and corrective actions</x:v>
      </x:c>
      <x:c r="C320" s="28" t="str">
        <x:v>Forecast corrective actions</x:v>
      </x:c>
      <x:c r="D320" s="28" t="str">
        <x:v>Service routing</x:v>
      </x:c>
      <x:c r="E320" s="28" t="str">
        <x:v>FY26 H2</x:v>
      </x:c>
      <x:c r="F320" s="28" t="str">
        <x:v>Approved case</x:v>
      </x:c>
      <x:c r="G320" s="28" t="str">
        <x:v>Realization probability</x:v>
      </x:c>
      <x:c r="H320" s="31" t="n">
        <x:v>0.7</x:v>
      </x:c>
      <x:c r="I320" s="28" t="str"/>
      <x:c r="J320" s="28" t="str">
        <x:v>decimal ratio</x:v>
      </x:c>
      <x:c r="K320" s="28" t="str">
        <x:v>Finance operating schedule</x:v>
      </x:c>
      <x:c r="L320" s="34" t="str">
        <x:v>2026-06-30</x:v>
      </x:c>
      <x:c r="M320" s="28" t="str"/>
    </x:row>
    <x:row r="321">
      <x:c r="A321" s="37" t="str">
        <x:v>PLN-01027</x:v>
      </x:c>
      <x:c r="B321" s="28" t="str">
        <x:v>Rolling forecast variance and corrective actions</x:v>
      </x:c>
      <x:c r="C321" s="28" t="str">
        <x:v>Forecast corrective actions</x:v>
      </x:c>
      <x:c r="D321" s="28" t="str">
        <x:v>Service routing</x:v>
      </x:c>
      <x:c r="E321" s="28" t="str">
        <x:v>FY26 H2</x:v>
      </x:c>
      <x:c r="F321" s="28" t="str">
        <x:v>Approved case</x:v>
      </x:c>
      <x:c r="G321" s="28" t="str">
        <x:v>Owner</x:v>
      </x:c>
      <x:c r="H321" s="31" t="str"/>
      <x:c r="I321" s="28" t="str">
        <x:v>Service</x:v>
      </x:c>
      <x:c r="J321" s="28" t="str">
        <x:v>classification</x:v>
      </x:c>
      <x:c r="K321" s="28" t="str">
        <x:v>Finance operating schedule</x:v>
      </x:c>
      <x:c r="L321" s="34" t="str">
        <x:v>2026-06-30</x:v>
      </x:c>
      <x:c r="M321" s="28" t="str"/>
    </x:row>
    <x:row r="322">
      <x:c r="A322" s="37" t="str">
        <x:v>PLN-01028</x:v>
      </x:c>
      <x:c r="B322" s="28" t="str">
        <x:v>Rolling forecast variance and corrective actions</x:v>
      </x:c>
      <x:c r="C322" s="28" t="str">
        <x:v>Forecast corrective actions</x:v>
      </x:c>
      <x:c r="D322" s="28" t="str">
        <x:v>Controls commissioning</x:v>
      </x:c>
      <x:c r="E322" s="28" t="str">
        <x:v>FY26 H2</x:v>
      </x:c>
      <x:c r="F322" s="28" t="str">
        <x:v>Approved case</x:v>
      </x:c>
      <x:c r="G322" s="28" t="str">
        <x:v>Gross EBITDA benefit</x:v>
      </x:c>
      <x:c r="H322" s="31" t="n">
        <x:v>190000</x:v>
      </x:c>
      <x:c r="I322" s="28" t="str"/>
      <x:c r="J322" s="28" t="str">
        <x:v>USD</x:v>
      </x:c>
      <x:c r="K322" s="28" t="str">
        <x:v>Finance operating schedule</x:v>
      </x:c>
      <x:c r="L322" s="34" t="str">
        <x:v>2026-06-30</x:v>
      </x:c>
      <x:c r="M322" s="28" t="str"/>
    </x:row>
    <x:row r="323">
      <x:c r="A323" s="37" t="str">
        <x:v>PLN-01029</x:v>
      </x:c>
      <x:c r="B323" s="28" t="str">
        <x:v>Rolling forecast variance and corrective actions</x:v>
      </x:c>
      <x:c r="C323" s="28" t="str">
        <x:v>Forecast corrective actions</x:v>
      </x:c>
      <x:c r="D323" s="28" t="str">
        <x:v>Controls commissioning</x:v>
      </x:c>
      <x:c r="E323" s="28" t="str">
        <x:v>FY26 H2</x:v>
      </x:c>
      <x:c r="F323" s="28" t="str">
        <x:v>Approved case</x:v>
      </x:c>
      <x:c r="G323" s="28" t="str">
        <x:v>Realization probability</x:v>
      </x:c>
      <x:c r="H323" s="31" t="n">
        <x:v>0.6</x:v>
      </x:c>
      <x:c r="I323" s="28" t="str"/>
      <x:c r="J323" s="28" t="str">
        <x:v>decimal ratio</x:v>
      </x:c>
      <x:c r="K323" s="28" t="str">
        <x:v>Finance operating schedule</x:v>
      </x:c>
      <x:c r="L323" s="34" t="str">
        <x:v>2026-06-30</x:v>
      </x:c>
      <x:c r="M323" s="28" t="str"/>
    </x:row>
    <x:row r="324">
      <x:c r="A324" s="37" t="str">
        <x:v>PLN-01030</x:v>
      </x:c>
      <x:c r="B324" s="28" t="str">
        <x:v>Rolling forecast variance and corrective actions</x:v>
      </x:c>
      <x:c r="C324" s="28" t="str">
        <x:v>Forecast corrective actions</x:v>
      </x:c>
      <x:c r="D324" s="28" t="str">
        <x:v>Controls commissioning</x:v>
      </x:c>
      <x:c r="E324" s="28" t="str">
        <x:v>FY26 H2</x:v>
      </x:c>
      <x:c r="F324" s="28" t="str">
        <x:v>Approved case</x:v>
      </x:c>
      <x:c r="G324" s="28" t="str">
        <x:v>Owner</x:v>
      </x:c>
      <x:c r="H324" s="31" t="str"/>
      <x:c r="I324" s="28" t="str">
        <x:v>Controls</x:v>
      </x:c>
      <x:c r="J324" s="28" t="str">
        <x:v>classification</x:v>
      </x:c>
      <x:c r="K324" s="28" t="str">
        <x:v>Finance operating schedule</x:v>
      </x:c>
      <x:c r="L324" s="34" t="str">
        <x:v>2026-06-30</x:v>
      </x:c>
      <x:c r="M324" s="28" t="str"/>
    </x:row>
    <x:row r="325">
      <x:c r="A325" s="37" t="str">
        <x:v>PLN-01031</x:v>
      </x:c>
      <x:c r="B325" s="28" t="str">
        <x:v>Rolling forecast variance and corrective actions</x:v>
      </x:c>
      <x:c r="C325" s="28" t="str">
        <x:v>Forecast corrective actions</x:v>
      </x:c>
      <x:c r="D325" s="28" t="str">
        <x:v>Discretionary freeze</x:v>
      </x:c>
      <x:c r="E325" s="28" t="str">
        <x:v>FY26 H2</x:v>
      </x:c>
      <x:c r="F325" s="28" t="str">
        <x:v>Approved case</x:v>
      </x:c>
      <x:c r="G325" s="28" t="str">
        <x:v>Gross EBITDA benefit</x:v>
      </x:c>
      <x:c r="H325" s="31" t="n">
        <x:v>225000</x:v>
      </x:c>
      <x:c r="I325" s="28" t="str"/>
      <x:c r="J325" s="28" t="str">
        <x:v>USD</x:v>
      </x:c>
      <x:c r="K325" s="28" t="str">
        <x:v>Finance operating schedule</x:v>
      </x:c>
      <x:c r="L325" s="34" t="str">
        <x:v>2026-06-30</x:v>
      </x:c>
      <x:c r="M325" s="28" t="str"/>
    </x:row>
    <x:row r="326">
      <x:c r="A326" s="37" t="str">
        <x:v>PLN-01032</x:v>
      </x:c>
      <x:c r="B326" s="28" t="str">
        <x:v>Rolling forecast variance and corrective actions</x:v>
      </x:c>
      <x:c r="C326" s="28" t="str">
        <x:v>Forecast corrective actions</x:v>
      </x:c>
      <x:c r="D326" s="28" t="str">
        <x:v>Discretionary freeze</x:v>
      </x:c>
      <x:c r="E326" s="28" t="str">
        <x:v>FY26 H2</x:v>
      </x:c>
      <x:c r="F326" s="28" t="str">
        <x:v>Approved case</x:v>
      </x:c>
      <x:c r="G326" s="28" t="str">
        <x:v>Realization probability</x:v>
      </x:c>
      <x:c r="H326" s="31" t="n">
        <x:v>1</x:v>
      </x:c>
      <x:c r="I326" s="28" t="str"/>
      <x:c r="J326" s="28" t="str">
        <x:v>decimal ratio</x:v>
      </x:c>
      <x:c r="K326" s="28" t="str">
        <x:v>Finance operating schedule</x:v>
      </x:c>
      <x:c r="L326" s="34" t="str">
        <x:v>2026-06-30</x:v>
      </x:c>
      <x:c r="M326" s="28" t="str"/>
    </x:row>
    <x:row r="327">
      <x:c r="A327" s="37" t="str">
        <x:v>PLN-01033</x:v>
      </x:c>
      <x:c r="B327" s="28" t="str">
        <x:v>Rolling forecast variance and corrective actions</x:v>
      </x:c>
      <x:c r="C327" s="28" t="str">
        <x:v>Forecast corrective actions</x:v>
      </x:c>
      <x:c r="D327" s="28" t="str">
        <x:v>Discretionary freeze</x:v>
      </x:c>
      <x:c r="E327" s="28" t="str">
        <x:v>FY26 H2</x:v>
      </x:c>
      <x:c r="F327" s="28" t="str">
        <x:v>Approved case</x:v>
      </x:c>
      <x:c r="G327" s="28" t="str">
        <x:v>Owner</x:v>
      </x:c>
      <x:c r="H327" s="31" t="str"/>
      <x:c r="I327" s="28" t="str">
        <x:v>Corporate</x:v>
      </x:c>
      <x:c r="J327" s="28" t="str">
        <x:v>classification</x:v>
      </x:c>
      <x:c r="K327" s="28" t="str">
        <x:v>Finance operating schedule</x:v>
      </x:c>
      <x:c r="L327" s="34" t="str">
        <x:v>2026-06-30</x:v>
      </x:c>
      <x:c r="M327" s="28" t="str"/>
    </x:row>
    <x:row r="328">
      <x:c r="A328" s="37" t="str">
        <x:v>PLN-01034</x:v>
      </x:c>
      <x:c r="B328" s="28" t="str">
        <x:v>Rolling forecast variance and corrective actions</x:v>
      </x:c>
      <x:c r="C328" s="28" t="str">
        <x:v>Forecast policy</x:v>
      </x:c>
      <x:c r="D328" s="28" t="str">
        <x:v>Alder Ridge</x:v>
      </x:c>
      <x:c r="E328" s="28" t="str">
        <x:v>FY26</x:v>
      </x:c>
      <x:c r="F328" s="28" t="str">
        <x:v>Approved case</x:v>
      </x:c>
      <x:c r="G328" s="28" t="str">
        <x:v>Minimum recovery target</x:v>
      </x:c>
      <x:c r="H328" s="31" t="n">
        <x:v>750000</x:v>
      </x:c>
      <x:c r="I328" s="28" t="str"/>
      <x:c r="J328" s="28" t="str">
        <x:v>USD</x:v>
      </x:c>
      <x:c r="K328" s="28" t="str">
        <x:v>Finance operating schedule</x:v>
      </x:c>
      <x:c r="L328" s="34" t="str">
        <x:v>2026-06-30</x:v>
      </x:c>
      <x:c r="M328" s="28" t="str"/>
    </x:row>
    <x:row r="329">
      <x:c r="A329" s="37" t="str">
        <x:v>PLN-01047</x:v>
      </x:c>
      <x:c r="B329" s="28" t="str">
        <x:v>Rolling forecast variance and corrective actions</x:v>
      </x:c>
      <x:c r="C329" s="28" t="str">
        <x:v>Corrective action phasing</x:v>
      </x:c>
      <x:c r="D329" s="28" t="str">
        <x:v>Procurement reset</x:v>
      </x:c>
      <x:c r="E329" s="28" t="str">
        <x:v>FY26 H2</x:v>
      </x:c>
      <x:c r="F329" s="28" t="str">
        <x:v>Approved case</x:v>
      </x:c>
      <x:c r="G329" s="28" t="str">
        <x:v>Q3 realization phase</x:v>
      </x:c>
      <x:c r="H329" s="31" t="n">
        <x:v>0.35</x:v>
      </x:c>
      <x:c r="I329" s="28" t="str"/>
      <x:c r="J329" s="28" t="str">
        <x:v>decimal ratio</x:v>
      </x:c>
      <x:c r="K329" s="28" t="str">
        <x:v>Finance operating schedule</x:v>
      </x:c>
      <x:c r="L329" s="34" t="str">
        <x:v>2026-06-30</x:v>
      </x:c>
      <x:c r="M329" s="28" t="str"/>
    </x:row>
    <x:row r="330">
      <x:c r="A330" s="37" t="str">
        <x:v>PLN-01048</x:v>
      </x:c>
      <x:c r="B330" s="28" t="str">
        <x:v>Rolling forecast variance and corrective actions</x:v>
      </x:c>
      <x:c r="C330" s="28" t="str">
        <x:v>Corrective action phasing</x:v>
      </x:c>
      <x:c r="D330" s="28" t="str">
        <x:v>Procurement reset</x:v>
      </x:c>
      <x:c r="E330" s="28" t="str">
        <x:v>FY26 H2</x:v>
      </x:c>
      <x:c r="F330" s="28" t="str">
        <x:v>Approved case</x:v>
      </x:c>
      <x:c r="G330" s="28" t="str">
        <x:v>Q4 realization phase</x:v>
      </x:c>
      <x:c r="H330" s="31" t="n">
        <x:v>0.65</x:v>
      </x:c>
      <x:c r="I330" s="28" t="str"/>
      <x:c r="J330" s="28" t="str">
        <x:v>decimal ratio</x:v>
      </x:c>
      <x:c r="K330" s="28" t="str">
        <x:v>Finance operating schedule</x:v>
      </x:c>
      <x:c r="L330" s="34" t="str">
        <x:v>2026-06-30</x:v>
      </x:c>
      <x:c r="M330" s="28" t="str"/>
    </x:row>
    <x:row r="331">
      <x:c r="A331" s="37" t="str">
        <x:v>PLN-01049</x:v>
      </x:c>
      <x:c r="B331" s="28" t="str">
        <x:v>Rolling forecast variance and corrective actions</x:v>
      </x:c>
      <x:c r="C331" s="28" t="str">
        <x:v>Corrective action phasing</x:v>
      </x:c>
      <x:c r="D331" s="28" t="str">
        <x:v>Procurement reset</x:v>
      </x:c>
      <x:c r="E331" s="28" t="str">
        <x:v>FY26 H2</x:v>
      </x:c>
      <x:c r="F331" s="28" t="str">
        <x:v>Approved case</x:v>
      </x:c>
      <x:c r="G331" s="28" t="str">
        <x:v>Implementation cash cost</x:v>
      </x:c>
      <x:c r="H331" s="31" t="n">
        <x:v>125000</x:v>
      </x:c>
      <x:c r="I331" s="28" t="str"/>
      <x:c r="J331" s="28" t="str">
        <x:v>USD</x:v>
      </x:c>
      <x:c r="K331" s="28" t="str">
        <x:v>Finance operating schedule</x:v>
      </x:c>
      <x:c r="L331" s="34" t="str">
        <x:v>2026-06-30</x:v>
      </x:c>
      <x:c r="M331" s="28" t="str"/>
    </x:row>
    <x:row r="332">
      <x:c r="A332" s="37" t="str">
        <x:v>PLN-01050</x:v>
      </x:c>
      <x:c r="B332" s="28" t="str">
        <x:v>Rolling forecast variance and corrective actions</x:v>
      </x:c>
      <x:c r="C332" s="28" t="str">
        <x:v>Corrective action phasing</x:v>
      </x:c>
      <x:c r="D332" s="28" t="str">
        <x:v>Service routing</x:v>
      </x:c>
      <x:c r="E332" s="28" t="str">
        <x:v>FY26 H2</x:v>
      </x:c>
      <x:c r="F332" s="28" t="str">
        <x:v>Approved case</x:v>
      </x:c>
      <x:c r="G332" s="28" t="str">
        <x:v>Q3 realization phase</x:v>
      </x:c>
      <x:c r="H332" s="31" t="n">
        <x:v>0.45</x:v>
      </x:c>
      <x:c r="I332" s="28" t="str"/>
      <x:c r="J332" s="28" t="str">
        <x:v>decimal ratio</x:v>
      </x:c>
      <x:c r="K332" s="28" t="str">
        <x:v>Finance operating schedule</x:v>
      </x:c>
      <x:c r="L332" s="34" t="str">
        <x:v>2026-06-30</x:v>
      </x:c>
      <x:c r="M332" s="28" t="str"/>
    </x:row>
    <x:row r="333">
      <x:c r="A333" s="37" t="str">
        <x:v>PLN-01051</x:v>
      </x:c>
      <x:c r="B333" s="28" t="str">
        <x:v>Rolling forecast variance and corrective actions</x:v>
      </x:c>
      <x:c r="C333" s="28" t="str">
        <x:v>Corrective action phasing</x:v>
      </x:c>
      <x:c r="D333" s="28" t="str">
        <x:v>Service routing</x:v>
      </x:c>
      <x:c r="E333" s="28" t="str">
        <x:v>FY26 H2</x:v>
      </x:c>
      <x:c r="F333" s="28" t="str">
        <x:v>Approved case</x:v>
      </x:c>
      <x:c r="G333" s="28" t="str">
        <x:v>Q4 realization phase</x:v>
      </x:c>
      <x:c r="H333" s="31" t="n">
        <x:v>0.55</x:v>
      </x:c>
      <x:c r="I333" s="28" t="str"/>
      <x:c r="J333" s="28" t="str">
        <x:v>decimal ratio</x:v>
      </x:c>
      <x:c r="K333" s="28" t="str">
        <x:v>Finance operating schedule</x:v>
      </x:c>
      <x:c r="L333" s="34" t="str">
        <x:v>2026-06-30</x:v>
      </x:c>
      <x:c r="M333" s="28" t="str"/>
    </x:row>
    <x:row r="334">
      <x:c r="A334" s="37" t="str">
        <x:v>PLN-01052</x:v>
      </x:c>
      <x:c r="B334" s="28" t="str">
        <x:v>Rolling forecast variance and corrective actions</x:v>
      </x:c>
      <x:c r="C334" s="28" t="str">
        <x:v>Corrective action phasing</x:v>
      </x:c>
      <x:c r="D334" s="28" t="str">
        <x:v>Service routing</x:v>
      </x:c>
      <x:c r="E334" s="28" t="str">
        <x:v>FY26 H2</x:v>
      </x:c>
      <x:c r="F334" s="28" t="str">
        <x:v>Approved case</x:v>
      </x:c>
      <x:c r="G334" s="28" t="str">
        <x:v>Implementation cash cost</x:v>
      </x:c>
      <x:c r="H334" s="31" t="n">
        <x:v>95000</x:v>
      </x:c>
      <x:c r="I334" s="28" t="str"/>
      <x:c r="J334" s="28" t="str">
        <x:v>USD</x:v>
      </x:c>
      <x:c r="K334" s="28" t="str">
        <x:v>Finance operating schedule</x:v>
      </x:c>
      <x:c r="L334" s="34" t="str">
        <x:v>2026-06-30</x:v>
      </x:c>
      <x:c r="M334" s="28" t="str"/>
    </x:row>
    <x:row r="335">
      <x:c r="A335" s="37" t="str">
        <x:v>PLN-01053</x:v>
      </x:c>
      <x:c r="B335" s="28" t="str">
        <x:v>Rolling forecast variance and corrective actions</x:v>
      </x:c>
      <x:c r="C335" s="28" t="str">
        <x:v>Corrective action phasing</x:v>
      </x:c>
      <x:c r="D335" s="28" t="str">
        <x:v>Controls commissioning</x:v>
      </x:c>
      <x:c r="E335" s="28" t="str">
        <x:v>FY26 H2</x:v>
      </x:c>
      <x:c r="F335" s="28" t="str">
        <x:v>Approved case</x:v>
      </x:c>
      <x:c r="G335" s="28" t="str">
        <x:v>Q3 realization phase</x:v>
      </x:c>
      <x:c r="H335" s="31" t="n">
        <x:v>0.2</x:v>
      </x:c>
      <x:c r="I335" s="28" t="str"/>
      <x:c r="J335" s="28" t="str">
        <x:v>decimal ratio</x:v>
      </x:c>
      <x:c r="K335" s="28" t="str">
        <x:v>Finance operating schedule</x:v>
      </x:c>
      <x:c r="L335" s="34" t="str">
        <x:v>2026-06-30</x:v>
      </x:c>
      <x:c r="M335" s="28" t="str"/>
    </x:row>
    <x:row r="336">
      <x:c r="A336" s="37" t="str">
        <x:v>PLN-01054</x:v>
      </x:c>
      <x:c r="B336" s="28" t="str">
        <x:v>Rolling forecast variance and corrective actions</x:v>
      </x:c>
      <x:c r="C336" s="28" t="str">
        <x:v>Corrective action phasing</x:v>
      </x:c>
      <x:c r="D336" s="28" t="str">
        <x:v>Controls commissioning</x:v>
      </x:c>
      <x:c r="E336" s="28" t="str">
        <x:v>FY26 H2</x:v>
      </x:c>
      <x:c r="F336" s="28" t="str">
        <x:v>Approved case</x:v>
      </x:c>
      <x:c r="G336" s="28" t="str">
        <x:v>Q4 realization phase</x:v>
      </x:c>
      <x:c r="H336" s="31" t="n">
        <x:v>0.8</x:v>
      </x:c>
      <x:c r="I336" s="28" t="str"/>
      <x:c r="J336" s="28" t="str">
        <x:v>decimal ratio</x:v>
      </x:c>
      <x:c r="K336" s="28" t="str">
        <x:v>Finance operating schedule</x:v>
      </x:c>
      <x:c r="L336" s="34" t="str">
        <x:v>2026-06-30</x:v>
      </x:c>
      <x:c r="M336" s="28" t="str"/>
    </x:row>
    <x:row r="337">
      <x:c r="A337" s="37" t="str">
        <x:v>PLN-01055</x:v>
      </x:c>
      <x:c r="B337" s="28" t="str">
        <x:v>Rolling forecast variance and corrective actions</x:v>
      </x:c>
      <x:c r="C337" s="28" t="str">
        <x:v>Corrective action phasing</x:v>
      </x:c>
      <x:c r="D337" s="28" t="str">
        <x:v>Controls commissioning</x:v>
      </x:c>
      <x:c r="E337" s="28" t="str">
        <x:v>FY26 H2</x:v>
      </x:c>
      <x:c r="F337" s="28" t="str">
        <x:v>Approved case</x:v>
      </x:c>
      <x:c r="G337" s="28" t="str">
        <x:v>Implementation cash cost</x:v>
      </x:c>
      <x:c r="H337" s="31" t="n">
        <x:v>70000</x:v>
      </x:c>
      <x:c r="I337" s="28" t="str"/>
      <x:c r="J337" s="28" t="str">
        <x:v>USD</x:v>
      </x:c>
      <x:c r="K337" s="28" t="str">
        <x:v>Finance operating schedule</x:v>
      </x:c>
      <x:c r="L337" s="34" t="str">
        <x:v>2026-06-30</x:v>
      </x:c>
      <x:c r="M337" s="28" t="str"/>
    </x:row>
    <x:row r="338">
      <x:c r="A338" s="37" t="str">
        <x:v>PLN-01056</x:v>
      </x:c>
      <x:c r="B338" s="28" t="str">
        <x:v>Rolling forecast variance and corrective actions</x:v>
      </x:c>
      <x:c r="C338" s="28" t="str">
        <x:v>Corrective action phasing</x:v>
      </x:c>
      <x:c r="D338" s="28" t="str">
        <x:v>Discretionary freeze</x:v>
      </x:c>
      <x:c r="E338" s="28" t="str">
        <x:v>FY26 H2</x:v>
      </x:c>
      <x:c r="F338" s="28" t="str">
        <x:v>Approved case</x:v>
      </x:c>
      <x:c r="G338" s="28" t="str">
        <x:v>Q3 realization phase</x:v>
      </x:c>
      <x:c r="H338" s="31" t="n">
        <x:v>0.6</x:v>
      </x:c>
      <x:c r="I338" s="28" t="str"/>
      <x:c r="J338" s="28" t="str">
        <x:v>decimal ratio</x:v>
      </x:c>
      <x:c r="K338" s="28" t="str">
        <x:v>Finance operating schedule</x:v>
      </x:c>
      <x:c r="L338" s="34" t="str">
        <x:v>2026-06-30</x:v>
      </x:c>
      <x:c r="M338" s="28" t="str"/>
    </x:row>
    <x:row r="339">
      <x:c r="A339" s="37" t="str">
        <x:v>PLN-01057</x:v>
      </x:c>
      <x:c r="B339" s="28" t="str">
        <x:v>Rolling forecast variance and corrective actions</x:v>
      </x:c>
      <x:c r="C339" s="28" t="str">
        <x:v>Corrective action phasing</x:v>
      </x:c>
      <x:c r="D339" s="28" t="str">
        <x:v>Discretionary freeze</x:v>
      </x:c>
      <x:c r="E339" s="28" t="str">
        <x:v>FY26 H2</x:v>
      </x:c>
      <x:c r="F339" s="28" t="str">
        <x:v>Approved case</x:v>
      </x:c>
      <x:c r="G339" s="28" t="str">
        <x:v>Q4 realization phase</x:v>
      </x:c>
      <x:c r="H339" s="31" t="n">
        <x:v>0.4</x:v>
      </x:c>
      <x:c r="I339" s="28" t="str"/>
      <x:c r="J339" s="28" t="str">
        <x:v>decimal ratio</x:v>
      </x:c>
      <x:c r="K339" s="28" t="str">
        <x:v>Finance operating schedule</x:v>
      </x:c>
      <x:c r="L339" s="34" t="str">
        <x:v>2026-06-30</x:v>
      </x:c>
      <x:c r="M339" s="28" t="str"/>
    </x:row>
    <x:row r="340">
      <x:c r="A340" s="37" t="str">
        <x:v>PLN-01058</x:v>
      </x:c>
      <x:c r="B340" s="28" t="str">
        <x:v>Rolling forecast variance and corrective actions</x:v>
      </x:c>
      <x:c r="C340" s="28" t="str">
        <x:v>Corrective action phasing</x:v>
      </x:c>
      <x:c r="D340" s="28" t="str">
        <x:v>Discretionary freeze</x:v>
      </x:c>
      <x:c r="E340" s="28" t="str">
        <x:v>FY26 H2</x:v>
      </x:c>
      <x:c r="F340" s="28" t="str">
        <x:v>Approved case</x:v>
      </x:c>
      <x:c r="G340" s="28" t="str">
        <x:v>Implementation cash cost</x:v>
      </x:c>
      <x:c r="H340" s="31" t="n">
        <x:v>25</x:v>
      </x:c>
      <x:c r="I340" s="28" t="str"/>
      <x:c r="J340" s="28" t="str">
        <x:v>USD thousands</x:v>
      </x:c>
      <x:c r="K340" s="28" t="str">
        <x:v>Finance operating schedule</x:v>
      </x:c>
      <x:c r="L340" s="34" t="str">
        <x:v>2026-06-30</x:v>
      </x:c>
      <x:c r="M340" s="28" t="str"/>
    </x:row>
    <x:row r="341">
      <x:c r="A341" s="38" t="str">
        <x:v>PLN-01059</x:v>
      </x:c>
      <x:c r="B341" s="29" t="str">
        <x:v>Rolling forecast variance and corrective actions</x:v>
      </x:c>
      <x:c r="C341" s="29" t="str">
        <x:v>Forecast policy</x:v>
      </x:c>
      <x:c r="D341" s="29" t="str">
        <x:v>Alder Ridge</x:v>
      </x:c>
      <x:c r="E341" s="29" t="str">
        <x:v>FY26</x:v>
      </x:c>
      <x:c r="F341" s="29" t="str">
        <x:v>Approved case</x:v>
      </x:c>
      <x:c r="G341" s="29" t="str">
        <x:v>Minimum probability-weighted gross benefit / implementation cash multiple</x:v>
      </x:c>
      <x:c r="H341" s="32" t="n">
        <x:v>1.75</x:v>
      </x:c>
      <x:c r="I341" s="29" t="str"/>
      <x:c r="J341" s="29" t="str">
        <x:v>multiple</x:v>
      </x:c>
      <x:c r="K341" s="29" t="str">
        <x:v>Finance operating schedule</x:v>
      </x:c>
      <x:c r="L341" s="35" t="str">
        <x:v>2026-06-30</x:v>
      </x:c>
      <x:c r="M341" s="29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FY27 operating plan | Margin and Accuracy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CURRENT WORKING SOURCE - controller tie completed 2026-07-03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>
      <x:c r="A5" s="36" t="str">
        <x:v>PLN-00329</x:v>
      </x:c>
      <x:c r="B5" s="27" t="str">
        <x:v>Construction gross-margin driver bridge</x:v>
      </x:c>
      <x:c r="C5" s="27" t="str">
        <x:v>Construction worktype bridge</x:v>
      </x:c>
      <x:c r="D5" s="27" t="str">
        <x:v>Large project</x:v>
      </x:c>
      <x:c r="E5" s="27" t="str">
        <x:v>2026-Q2</x:v>
      </x:c>
      <x:c r="F5" s="27" t="str">
        <x:v>Approved case</x:v>
      </x:c>
      <x:c r="G5" s="27" t="str">
        <x:v>Budget revenue</x:v>
      </x:c>
      <x:c r="H5" s="30" t="n">
        <x:v>12000000</x:v>
      </x:c>
      <x:c r="I5" s="27" t="str"/>
      <x:c r="J5" s="27" t="str">
        <x:v>USD</x:v>
      </x:c>
      <x:c r="K5" s="27" t="str">
        <x:v>Project controls margin bridge input</x:v>
      </x:c>
      <x:c r="L5" s="33" t="str">
        <x:v>2026-06-30</x:v>
      </x:c>
      <x:c r="M5" s="27" t="str"/>
    </x:row>
    <x:row r="6">
      <x:c r="A6" s="37" t="str">
        <x:v>PLN-00330</x:v>
      </x:c>
      <x:c r="B6" s="28" t="str">
        <x:v>Construction gross-margin driver bridge</x:v>
      </x:c>
      <x:c r="C6" s="28" t="str">
        <x:v>Construction worktype bridge</x:v>
      </x:c>
      <x:c r="D6" s="28" t="str">
        <x:v>Large project</x:v>
      </x:c>
      <x:c r="E6" s="28" t="str">
        <x:v>2026-Q2</x:v>
      </x:c>
      <x:c r="F6" s="28" t="str">
        <x:v>Approved case</x:v>
      </x:c>
      <x:c r="G6" s="28" t="str">
        <x:v>Budget gross margin</x:v>
      </x:c>
      <x:c r="H6" s="31" t="n">
        <x:v>0.31</x:v>
      </x:c>
      <x:c r="I6" s="28" t="str"/>
      <x:c r="J6" s="28" t="str">
        <x:v>decimal ratio</x:v>
      </x:c>
      <x:c r="K6" s="28" t="str">
        <x:v>Project controls margin bridge input</x:v>
      </x:c>
      <x:c r="L6" s="34" t="str">
        <x:v>2026-06-30</x:v>
      </x:c>
      <x:c r="M6" s="28" t="str"/>
    </x:row>
    <x:row r="7">
      <x:c r="A7" s="37" t="str">
        <x:v>PLN-00331</x:v>
      </x:c>
      <x:c r="B7" s="28" t="str">
        <x:v>Construction gross-margin driver bridge</x:v>
      </x:c>
      <x:c r="C7" s="28" t="str">
        <x:v>Construction worktype bridge</x:v>
      </x:c>
      <x:c r="D7" s="28" t="str">
        <x:v>Large project</x:v>
      </x:c>
      <x:c r="E7" s="28" t="str">
        <x:v>2026-Q2</x:v>
      </x:c>
      <x:c r="F7" s="28" t="str">
        <x:v>Approved case</x:v>
      </x:c>
      <x:c r="G7" s="28" t="str">
        <x:v>Revenue volume change</x:v>
      </x:c>
      <x:c r="H7" s="31" t="n">
        <x:v>0.05</x:v>
      </x:c>
      <x:c r="I7" s="28" t="str"/>
      <x:c r="J7" s="28" t="str">
        <x:v>decimal ratio</x:v>
      </x:c>
      <x:c r="K7" s="28" t="str">
        <x:v>Project controls margin bridge input</x:v>
      </x:c>
      <x:c r="L7" s="34" t="str">
        <x:v>2026-06-30</x:v>
      </x:c>
      <x:c r="M7" s="28" t="str"/>
    </x:row>
    <x:row r="8">
      <x:c r="A8" s="37" t="str">
        <x:v>PLN-00332</x:v>
      </x:c>
      <x:c r="B8" s="28" t="str">
        <x:v>Construction gross-margin driver bridge</x:v>
      </x:c>
      <x:c r="C8" s="28" t="str">
        <x:v>Construction worktype bridge</x:v>
      </x:c>
      <x:c r="D8" s="28" t="str">
        <x:v>Large project</x:v>
      </x:c>
      <x:c r="E8" s="28" t="str">
        <x:v>2026-Q2</x:v>
      </x:c>
      <x:c r="F8" s="28" t="str">
        <x:v>Approved case</x:v>
      </x:c>
      <x:c r="G8" s="28" t="str">
        <x:v>Contract price change</x:v>
      </x:c>
      <x:c r="H8" s="31" t="n">
        <x:v>0.018</x:v>
      </x:c>
      <x:c r="I8" s="28" t="str"/>
      <x:c r="J8" s="28" t="str">
        <x:v>decimal ratio</x:v>
      </x:c>
      <x:c r="K8" s="28" t="str">
        <x:v>Project controls margin bridge input</x:v>
      </x:c>
      <x:c r="L8" s="34" t="str">
        <x:v>2026-06-30</x:v>
      </x:c>
      <x:c r="M8" s="28" t="str"/>
    </x:row>
    <x:row r="9">
      <x:c r="A9" s="37" t="str">
        <x:v>PLN-00333</x:v>
      </x:c>
      <x:c r="B9" s="28" t="str">
        <x:v>Construction gross-margin driver bridge</x:v>
      </x:c>
      <x:c r="C9" s="28" t="str">
        <x:v>Construction worktype bridge</x:v>
      </x:c>
      <x:c r="D9" s="28" t="str">
        <x:v>Large project</x:v>
      </x:c>
      <x:c r="E9" s="28" t="str">
        <x:v>2026-Q2</x:v>
      </x:c>
      <x:c r="F9" s="28" t="str">
        <x:v>Approved case</x:v>
      </x:c>
      <x:c r="G9" s="28" t="str">
        <x:v>Labor rate effect as percent of actual revenue</x:v>
      </x:c>
      <x:c r="H9" s="31" t="n">
        <x:v>-0.012</x:v>
      </x:c>
      <x:c r="I9" s="28" t="str"/>
      <x:c r="J9" s="28" t="str">
        <x:v>decimal ratio</x:v>
      </x:c>
      <x:c r="K9" s="28" t="str">
        <x:v>Project controls margin bridge input</x:v>
      </x:c>
      <x:c r="L9" s="34" t="str">
        <x:v>2026-06-30</x:v>
      </x:c>
      <x:c r="M9" s="28" t="str"/>
    </x:row>
    <x:row r="10">
      <x:c r="A10" s="37" t="str">
        <x:v>PLN-00334</x:v>
      </x:c>
      <x:c r="B10" s="28" t="str">
        <x:v>Construction gross-margin driver bridge</x:v>
      </x:c>
      <x:c r="C10" s="28" t="str">
        <x:v>Construction worktype bridge</x:v>
      </x:c>
      <x:c r="D10" s="28" t="str">
        <x:v>Large project</x:v>
      </x:c>
      <x:c r="E10" s="28" t="str">
        <x:v>2026-Q2</x:v>
      </x:c>
      <x:c r="F10" s="28" t="str">
        <x:v>Approved case</x:v>
      </x:c>
      <x:c r="G10" s="28" t="str">
        <x:v>Labor productivity effect as percent of actual revenue</x:v>
      </x:c>
      <x:c r="H10" s="31" t="n">
        <x:v>-0.018</x:v>
      </x:c>
      <x:c r="I10" s="28" t="str"/>
      <x:c r="J10" s="28" t="str">
        <x:v>decimal ratio</x:v>
      </x:c>
      <x:c r="K10" s="28" t="str">
        <x:v>Project controls margin bridge input</x:v>
      </x:c>
      <x:c r="L10" s="34" t="str">
        <x:v>2026-06-30</x:v>
      </x:c>
      <x:c r="M10" s="28" t="str"/>
    </x:row>
    <x:row r="11">
      <x:c r="A11" s="37" t="str">
        <x:v>PLN-00335</x:v>
      </x:c>
      <x:c r="B11" s="28" t="str">
        <x:v>Construction gross-margin driver bridge</x:v>
      </x:c>
      <x:c r="C11" s="28" t="str">
        <x:v>Construction worktype bridge</x:v>
      </x:c>
      <x:c r="D11" s="28" t="str">
        <x:v>Large project</x:v>
      </x:c>
      <x:c r="E11" s="28" t="str">
        <x:v>2026-Q2</x:v>
      </x:c>
      <x:c r="F11" s="28" t="str">
        <x:v>Approved case</x:v>
      </x:c>
      <x:c r="G11" s="28" t="str">
        <x:v>Material price effect as percent of actual revenue</x:v>
      </x:c>
      <x:c r="H11" s="31" t="n">
        <x:v>-0.011</x:v>
      </x:c>
      <x:c r="I11" s="28" t="str"/>
      <x:c r="J11" s="28" t="str">
        <x:v>decimal ratio</x:v>
      </x:c>
      <x:c r="K11" s="28" t="str">
        <x:v>Project controls margin bridge input</x:v>
      </x:c>
      <x:c r="L11" s="34" t="str">
        <x:v>2026-06-30</x:v>
      </x:c>
      <x:c r="M11" s="28" t="str"/>
    </x:row>
    <x:row r="12">
      <x:c r="A12" s="37" t="str">
        <x:v>PLN-00336</x:v>
      </x:c>
      <x:c r="B12" s="28" t="str">
        <x:v>Construction gross-margin driver bridge</x:v>
      </x:c>
      <x:c r="C12" s="28" t="str">
        <x:v>Construction worktype bridge</x:v>
      </x:c>
      <x:c r="D12" s="28" t="str">
        <x:v>Large project</x:v>
      </x:c>
      <x:c r="E12" s="28" t="str">
        <x:v>2026-Q2</x:v>
      </x:c>
      <x:c r="F12" s="28" t="str">
        <x:v>Approved case</x:v>
      </x:c>
      <x:c r="G12" s="28" t="str">
        <x:v>Subcontractor effect as percent of actual revenue</x:v>
      </x:c>
      <x:c r="H12" s="31" t="n">
        <x:v>-0.006</x:v>
      </x:c>
      <x:c r="I12" s="28" t="str"/>
      <x:c r="J12" s="28" t="str">
        <x:v>decimal ratio</x:v>
      </x:c>
      <x:c r="K12" s="28" t="str">
        <x:v>Project controls margin bridge input</x:v>
      </x:c>
      <x:c r="L12" s="34" t="str">
        <x:v>2026-06-30</x:v>
      </x:c>
      <x:c r="M12" s="28" t="str"/>
    </x:row>
    <x:row r="13">
      <x:c r="A13" s="37" t="str">
        <x:v>PLN-00337</x:v>
      </x:c>
      <x:c r="B13" s="28" t="str">
        <x:v>Construction gross-margin driver bridge</x:v>
      </x:c>
      <x:c r="C13" s="28" t="str">
        <x:v>Construction worktype bridge</x:v>
      </x:c>
      <x:c r="D13" s="28" t="str">
        <x:v>Tenant improvement</x:v>
      </x:c>
      <x:c r="E13" s="28" t="str">
        <x:v>2026-Q2</x:v>
      </x:c>
      <x:c r="F13" s="28" t="str">
        <x:v>Approved case</x:v>
      </x:c>
      <x:c r="G13" s="28" t="str">
        <x:v>Budget revenue</x:v>
      </x:c>
      <x:c r="H13" s="31" t="n">
        <x:v>5500000</x:v>
      </x:c>
      <x:c r="I13" s="28" t="str"/>
      <x:c r="J13" s="28" t="str">
        <x:v>USD</x:v>
      </x:c>
      <x:c r="K13" s="28" t="str">
        <x:v>Project controls margin bridge input</x:v>
      </x:c>
      <x:c r="L13" s="34" t="str">
        <x:v>2026-06-30</x:v>
      </x:c>
      <x:c r="M13" s="28" t="str"/>
    </x:row>
    <x:row r="14">
      <x:c r="A14" s="37" t="str">
        <x:v>PLN-00338</x:v>
      </x:c>
      <x:c r="B14" s="28" t="str">
        <x:v>Construction gross-margin driver bridge</x:v>
      </x:c>
      <x:c r="C14" s="28" t="str">
        <x:v>Construction worktype bridge</x:v>
      </x:c>
      <x:c r="D14" s="28" t="str">
        <x:v>Tenant improvement</x:v>
      </x:c>
      <x:c r="E14" s="28" t="str">
        <x:v>2026-Q2</x:v>
      </x:c>
      <x:c r="F14" s="28" t="str">
        <x:v>Approved case</x:v>
      </x:c>
      <x:c r="G14" s="28" t="str">
        <x:v>Budget gross margin</x:v>
      </x:c>
      <x:c r="H14" s="31" t="n">
        <x:v>0.34</x:v>
      </x:c>
      <x:c r="I14" s="28" t="str"/>
      <x:c r="J14" s="28" t="str">
        <x:v>decimal ratio</x:v>
      </x:c>
      <x:c r="K14" s="28" t="str">
        <x:v>Project controls margin bridge input</x:v>
      </x:c>
      <x:c r="L14" s="34" t="str">
        <x:v>2026-06-30</x:v>
      </x:c>
      <x:c r="M14" s="28" t="str"/>
    </x:row>
    <x:row r="15">
      <x:c r="A15" s="37" t="str">
        <x:v>PLN-00339</x:v>
      </x:c>
      <x:c r="B15" s="28" t="str">
        <x:v>Construction gross-margin driver bridge</x:v>
      </x:c>
      <x:c r="C15" s="28" t="str">
        <x:v>Construction worktype bridge</x:v>
      </x:c>
      <x:c r="D15" s="28" t="str">
        <x:v>Tenant improvement</x:v>
      </x:c>
      <x:c r="E15" s="28" t="str">
        <x:v>2026-Q2</x:v>
      </x:c>
      <x:c r="F15" s="28" t="str">
        <x:v>Approved case</x:v>
      </x:c>
      <x:c r="G15" s="28" t="str">
        <x:v>Revenue volume change</x:v>
      </x:c>
      <x:c r="H15" s="31" t="n">
        <x:v>0.08</x:v>
      </x:c>
      <x:c r="I15" s="28" t="str"/>
      <x:c r="J15" s="28" t="str">
        <x:v>decimal ratio</x:v>
      </x:c>
      <x:c r="K15" s="28" t="str">
        <x:v>Project controls margin bridge input</x:v>
      </x:c>
      <x:c r="L15" s="34" t="str">
        <x:v>2026-06-30</x:v>
      </x:c>
      <x:c r="M15" s="28" t="str"/>
    </x:row>
    <x:row r="16">
      <x:c r="A16" s="37" t="str">
        <x:v>PLN-00340</x:v>
      </x:c>
      <x:c r="B16" s="28" t="str">
        <x:v>Construction gross-margin driver bridge</x:v>
      </x:c>
      <x:c r="C16" s="28" t="str">
        <x:v>Construction worktype bridge</x:v>
      </x:c>
      <x:c r="D16" s="28" t="str">
        <x:v>Tenant improvement</x:v>
      </x:c>
      <x:c r="E16" s="28" t="str">
        <x:v>2026-Q2</x:v>
      </x:c>
      <x:c r="F16" s="28" t="str">
        <x:v>Approved case</x:v>
      </x:c>
      <x:c r="G16" s="28" t="str">
        <x:v>Contract price change</x:v>
      </x:c>
      <x:c r="H16" s="31" t="n">
        <x:v>0.025</x:v>
      </x:c>
      <x:c r="I16" s="28" t="str"/>
      <x:c r="J16" s="28" t="str">
        <x:v>decimal ratio</x:v>
      </x:c>
      <x:c r="K16" s="28" t="str">
        <x:v>Project controls margin bridge input</x:v>
      </x:c>
      <x:c r="L16" s="34" t="str">
        <x:v>2026-06-30</x:v>
      </x:c>
      <x:c r="M16" s="28" t="str"/>
    </x:row>
    <x:row r="17">
      <x:c r="A17" s="37" t="str">
        <x:v>PLN-00341</x:v>
      </x:c>
      <x:c r="B17" s="28" t="str">
        <x:v>Construction gross-margin driver bridge</x:v>
      </x:c>
      <x:c r="C17" s="28" t="str">
        <x:v>Construction worktype bridge</x:v>
      </x:c>
      <x:c r="D17" s="28" t="str">
        <x:v>Tenant improvement</x:v>
      </x:c>
      <x:c r="E17" s="28" t="str">
        <x:v>2026-Q2</x:v>
      </x:c>
      <x:c r="F17" s="28" t="str">
        <x:v>Approved case</x:v>
      </x:c>
      <x:c r="G17" s="28" t="str">
        <x:v>Labor rate effect as percent of actual revenue</x:v>
      </x:c>
      <x:c r="H17" s="31" t="n">
        <x:v>-0.009</x:v>
      </x:c>
      <x:c r="I17" s="28" t="str"/>
      <x:c r="J17" s="28" t="str">
        <x:v>decimal ratio</x:v>
      </x:c>
      <x:c r="K17" s="28" t="str">
        <x:v>Project controls margin bridge input</x:v>
      </x:c>
      <x:c r="L17" s="34" t="str">
        <x:v>2026-06-30</x:v>
      </x:c>
      <x:c r="M17" s="28" t="str"/>
    </x:row>
    <x:row r="18">
      <x:c r="A18" s="37" t="str">
        <x:v>PLN-00342</x:v>
      </x:c>
      <x:c r="B18" s="28" t="str">
        <x:v>Construction gross-margin driver bridge</x:v>
      </x:c>
      <x:c r="C18" s="28" t="str">
        <x:v>Construction worktype bridge</x:v>
      </x:c>
      <x:c r="D18" s="28" t="str">
        <x:v>Tenant improvement</x:v>
      </x:c>
      <x:c r="E18" s="28" t="str">
        <x:v>2026-Q2</x:v>
      </x:c>
      <x:c r="F18" s="28" t="str">
        <x:v>Approved case</x:v>
      </x:c>
      <x:c r="G18" s="28" t="str">
        <x:v>Labor productivity effect as percent of actual revenue</x:v>
      </x:c>
      <x:c r="H18" s="31" t="n">
        <x:v>-0.014</x:v>
      </x:c>
      <x:c r="I18" s="28" t="str"/>
      <x:c r="J18" s="28" t="str">
        <x:v>decimal ratio</x:v>
      </x:c>
      <x:c r="K18" s="28" t="str">
        <x:v>Project controls margin bridge input</x:v>
      </x:c>
      <x:c r="L18" s="34" t="str">
        <x:v>2026-06-30</x:v>
      </x:c>
      <x:c r="M18" s="28" t="str"/>
    </x:row>
    <x:row r="19">
      <x:c r="A19" s="37" t="str">
        <x:v>PLN-00343</x:v>
      </x:c>
      <x:c r="B19" s="28" t="str">
        <x:v>Construction gross-margin driver bridge</x:v>
      </x:c>
      <x:c r="C19" s="28" t="str">
        <x:v>Construction worktype bridge</x:v>
      </x:c>
      <x:c r="D19" s="28" t="str">
        <x:v>Tenant improvement</x:v>
      </x:c>
      <x:c r="E19" s="28" t="str">
        <x:v>2026-Q2</x:v>
      </x:c>
      <x:c r="F19" s="28" t="str">
        <x:v>Approved case</x:v>
      </x:c>
      <x:c r="G19" s="28" t="str">
        <x:v>Material price effect as percent of actual revenue</x:v>
      </x:c>
      <x:c r="H19" s="31" t="n">
        <x:v>-0.008</x:v>
      </x:c>
      <x:c r="I19" s="28" t="str"/>
      <x:c r="J19" s="28" t="str">
        <x:v>decimal ratio</x:v>
      </x:c>
      <x:c r="K19" s="28" t="str">
        <x:v>Project controls margin bridge input</x:v>
      </x:c>
      <x:c r="L19" s="34" t="str">
        <x:v>2026-06-30</x:v>
      </x:c>
      <x:c r="M19" s="28" t="str"/>
    </x:row>
    <x:row r="20">
      <x:c r="A20" s="37" t="str">
        <x:v>PLN-00344</x:v>
      </x:c>
      <x:c r="B20" s="28" t="str">
        <x:v>Construction gross-margin driver bridge</x:v>
      </x:c>
      <x:c r="C20" s="28" t="str">
        <x:v>Construction worktype bridge</x:v>
      </x:c>
      <x:c r="D20" s="28" t="str">
        <x:v>Tenant improvement</x:v>
      </x:c>
      <x:c r="E20" s="28" t="str">
        <x:v>2026-Q2</x:v>
      </x:c>
      <x:c r="F20" s="28" t="str">
        <x:v>Approved case</x:v>
      </x:c>
      <x:c r="G20" s="28" t="str">
        <x:v>Subcontractor effect as percent of actual revenue</x:v>
      </x:c>
      <x:c r="H20" s="31" t="n">
        <x:v>-0.004</x:v>
      </x:c>
      <x:c r="I20" s="28" t="str"/>
      <x:c r="J20" s="28" t="str">
        <x:v>decimal ratio</x:v>
      </x:c>
      <x:c r="K20" s="28" t="str">
        <x:v>Project controls margin bridge input</x:v>
      </x:c>
      <x:c r="L20" s="34" t="str">
        <x:v>2026-06-30</x:v>
      </x:c>
      <x:c r="M20" s="28" t="str"/>
    </x:row>
    <x:row r="21">
      <x:c r="A21" s="37" t="str">
        <x:v>PLN-00345</x:v>
      </x:c>
      <x:c r="B21" s="28" t="str">
        <x:v>Construction gross-margin driver bridge</x:v>
      </x:c>
      <x:c r="C21" s="28" t="str">
        <x:v>Construction worktype bridge</x:v>
      </x:c>
      <x:c r="D21" s="28" t="str">
        <x:v>Retrofit</x:v>
      </x:c>
      <x:c r="E21" s="28" t="str">
        <x:v>2026-Q2</x:v>
      </x:c>
      <x:c r="F21" s="28" t="str">
        <x:v>Approved case</x:v>
      </x:c>
      <x:c r="G21" s="28" t="str">
        <x:v>Budget revenue</x:v>
      </x:c>
      <x:c r="H21" s="31" t="n">
        <x:v>4200000</x:v>
      </x:c>
      <x:c r="I21" s="28" t="str"/>
      <x:c r="J21" s="28" t="str">
        <x:v>USD</x:v>
      </x:c>
      <x:c r="K21" s="28" t="str">
        <x:v>Project controls margin bridge input</x:v>
      </x:c>
      <x:c r="L21" s="34" t="str">
        <x:v>2026-06-30</x:v>
      </x:c>
      <x:c r="M21" s="28" t="str"/>
    </x:row>
    <x:row r="22">
      <x:c r="A22" s="37" t="str">
        <x:v>PLN-00346</x:v>
      </x:c>
      <x:c r="B22" s="28" t="str">
        <x:v>Construction gross-margin driver bridge</x:v>
      </x:c>
      <x:c r="C22" s="28" t="str">
        <x:v>Construction worktype bridge</x:v>
      </x:c>
      <x:c r="D22" s="28" t="str">
        <x:v>Retrofit</x:v>
      </x:c>
      <x:c r="E22" s="28" t="str">
        <x:v>2026-Q2</x:v>
      </x:c>
      <x:c r="F22" s="28" t="str">
        <x:v>Approved case</x:v>
      </x:c>
      <x:c r="G22" s="28" t="str">
        <x:v>Budget gross margin</x:v>
      </x:c>
      <x:c r="H22" s="31" t="n">
        <x:v>0.38</x:v>
      </x:c>
      <x:c r="I22" s="28" t="str"/>
      <x:c r="J22" s="28" t="str">
        <x:v>decimal ratio</x:v>
      </x:c>
      <x:c r="K22" s="28" t="str">
        <x:v>Project controls margin bridge input</x:v>
      </x:c>
      <x:c r="L22" s="34" t="str">
        <x:v>2026-06-30</x:v>
      </x:c>
      <x:c r="M22" s="28" t="str"/>
    </x:row>
    <x:row r="23">
      <x:c r="A23" s="37" t="str">
        <x:v>PLN-00347</x:v>
      </x:c>
      <x:c r="B23" s="28" t="str">
        <x:v>Construction gross-margin driver bridge</x:v>
      </x:c>
      <x:c r="C23" s="28" t="str">
        <x:v>Construction worktype bridge</x:v>
      </x:c>
      <x:c r="D23" s="28" t="str">
        <x:v>Retrofit</x:v>
      </x:c>
      <x:c r="E23" s="28" t="str">
        <x:v>2026-Q2</x:v>
      </x:c>
      <x:c r="F23" s="28" t="str">
        <x:v>Approved case</x:v>
      </x:c>
      <x:c r="G23" s="28" t="str">
        <x:v>Revenue volume change</x:v>
      </x:c>
      <x:c r="H23" s="31" t="n">
        <x:v>-0.025</x:v>
      </x:c>
      <x:c r="I23" s="28" t="str"/>
      <x:c r="J23" s="28" t="str">
        <x:v>decimal ratio</x:v>
      </x:c>
      <x:c r="K23" s="28" t="str">
        <x:v>Project controls margin bridge input</x:v>
      </x:c>
      <x:c r="L23" s="34" t="str">
        <x:v>2026-06-30</x:v>
      </x:c>
      <x:c r="M23" s="28" t="str"/>
    </x:row>
    <x:row r="24">
      <x:c r="A24" s="37" t="str">
        <x:v>PLN-00348</x:v>
      </x:c>
      <x:c r="B24" s="28" t="str">
        <x:v>Construction gross-margin driver bridge</x:v>
      </x:c>
      <x:c r="C24" s="28" t="str">
        <x:v>Construction worktype bridge</x:v>
      </x:c>
      <x:c r="D24" s="28" t="str">
        <x:v>Retrofit</x:v>
      </x:c>
      <x:c r="E24" s="28" t="str">
        <x:v>2026-Q2</x:v>
      </x:c>
      <x:c r="F24" s="28" t="str">
        <x:v>Approved case</x:v>
      </x:c>
      <x:c r="G24" s="28" t="str">
        <x:v>Contract price change</x:v>
      </x:c>
      <x:c r="H24" s="31" t="n">
        <x:v>0.032</x:v>
      </x:c>
      <x:c r="I24" s="28" t="str"/>
      <x:c r="J24" s="28" t="str">
        <x:v>decimal ratio</x:v>
      </x:c>
      <x:c r="K24" s="28" t="str">
        <x:v>Project controls margin bridge input</x:v>
      </x:c>
      <x:c r="L24" s="34" t="str">
        <x:v>2026-06-30</x:v>
      </x:c>
      <x:c r="M24" s="28" t="str"/>
    </x:row>
    <x:row r="25">
      <x:c r="A25" s="37" t="str">
        <x:v>PLN-00349</x:v>
      </x:c>
      <x:c r="B25" s="28" t="str">
        <x:v>Construction gross-margin driver bridge</x:v>
      </x:c>
      <x:c r="C25" s="28" t="str">
        <x:v>Construction worktype bridge</x:v>
      </x:c>
      <x:c r="D25" s="28" t="str">
        <x:v>Retrofit</x:v>
      </x:c>
      <x:c r="E25" s="28" t="str">
        <x:v>2026-Q2</x:v>
      </x:c>
      <x:c r="F25" s="28" t="str">
        <x:v>Approved case</x:v>
      </x:c>
      <x:c r="G25" s="28" t="str">
        <x:v>Labor rate effect as percent of actual revenue</x:v>
      </x:c>
      <x:c r="H25" s="31" t="n">
        <x:v>-0.014</x:v>
      </x:c>
      <x:c r="I25" s="28" t="str"/>
      <x:c r="J25" s="28" t="str">
        <x:v>decimal ratio</x:v>
      </x:c>
      <x:c r="K25" s="28" t="str">
        <x:v>Project controls margin bridge input</x:v>
      </x:c>
      <x:c r="L25" s="34" t="str">
        <x:v>2026-06-30</x:v>
      </x:c>
      <x:c r="M25" s="28" t="str"/>
    </x:row>
    <x:row r="26">
      <x:c r="A26" s="37" t="str">
        <x:v>PLN-00350</x:v>
      </x:c>
      <x:c r="B26" s="28" t="str">
        <x:v>Construction gross-margin driver bridge</x:v>
      </x:c>
      <x:c r="C26" s="28" t="str">
        <x:v>Construction worktype bridge</x:v>
      </x:c>
      <x:c r="D26" s="28" t="str">
        <x:v>Retrofit</x:v>
      </x:c>
      <x:c r="E26" s="28" t="str">
        <x:v>2026-Q2</x:v>
      </x:c>
      <x:c r="F26" s="28" t="str">
        <x:v>Approved case</x:v>
      </x:c>
      <x:c r="G26" s="28" t="str">
        <x:v>Labor productivity effect as percent of actual revenue</x:v>
      </x:c>
      <x:c r="H26" s="31" t="n">
        <x:v>-0.01</x:v>
      </x:c>
      <x:c r="I26" s="28" t="str"/>
      <x:c r="J26" s="28" t="str">
        <x:v>decimal ratio</x:v>
      </x:c>
      <x:c r="K26" s="28" t="str">
        <x:v>Project controls margin bridge input</x:v>
      </x:c>
      <x:c r="L26" s="34" t="str">
        <x:v>2026-06-30</x:v>
      </x:c>
      <x:c r="M26" s="28" t="str"/>
    </x:row>
    <x:row r="27">
      <x:c r="A27" s="37" t="str">
        <x:v>PLN-00351</x:v>
      </x:c>
      <x:c r="B27" s="28" t="str">
        <x:v>Construction gross-margin driver bridge</x:v>
      </x:c>
      <x:c r="C27" s="28" t="str">
        <x:v>Construction worktype bridge</x:v>
      </x:c>
      <x:c r="D27" s="28" t="str">
        <x:v>Retrofit</x:v>
      </x:c>
      <x:c r="E27" s="28" t="str">
        <x:v>2026-Q2</x:v>
      </x:c>
      <x:c r="F27" s="28" t="str">
        <x:v>Approved case</x:v>
      </x:c>
      <x:c r="G27" s="28" t="str">
        <x:v>Material price effect as percent of actual revenue</x:v>
      </x:c>
      <x:c r="H27" s="31" t="n">
        <x:v>-0.013</x:v>
      </x:c>
      <x:c r="I27" s="28" t="str"/>
      <x:c r="J27" s="28" t="str">
        <x:v>decimal ratio</x:v>
      </x:c>
      <x:c r="K27" s="28" t="str">
        <x:v>Project controls margin bridge input</x:v>
      </x:c>
      <x:c r="L27" s="34" t="str">
        <x:v>2026-06-30</x:v>
      </x:c>
      <x:c r="M27" s="28" t="str"/>
    </x:row>
    <x:row r="28">
      <x:c r="A28" s="37" t="str">
        <x:v>PLN-00352</x:v>
      </x:c>
      <x:c r="B28" s="28" t="str">
        <x:v>Construction gross-margin driver bridge</x:v>
      </x:c>
      <x:c r="C28" s="28" t="str">
        <x:v>Construction worktype bridge</x:v>
      </x:c>
      <x:c r="D28" s="28" t="str">
        <x:v>Retrofit</x:v>
      </x:c>
      <x:c r="E28" s="28" t="str">
        <x:v>2026-Q2</x:v>
      </x:c>
      <x:c r="F28" s="28" t="str">
        <x:v>Approved case</x:v>
      </x:c>
      <x:c r="G28" s="28" t="str">
        <x:v>Subcontractor effect as percent of actual revenue</x:v>
      </x:c>
      <x:c r="H28" s="31" t="n">
        <x:v>-0.007</x:v>
      </x:c>
      <x:c r="I28" s="28" t="str"/>
      <x:c r="J28" s="28" t="str">
        <x:v>decimal ratio</x:v>
      </x:c>
      <x:c r="K28" s="28" t="str">
        <x:v>Project controls margin bridge input</x:v>
      </x:c>
      <x:c r="L28" s="34" t="str">
        <x:v>2026-06-30</x:v>
      </x:c>
      <x:c r="M28" s="28" t="str"/>
    </x:row>
    <x:row r="29">
      <x:c r="A29" s="37" t="str">
        <x:v>PLN-00353</x:v>
      </x:c>
      <x:c r="B29" s="28" t="str">
        <x:v>Construction gross-margin driver bridge</x:v>
      </x:c>
      <x:c r="C29" s="28" t="str">
        <x:v>Construction worktype bridge</x:v>
      </x:c>
      <x:c r="D29" s="28" t="str">
        <x:v>Special projects</x:v>
      </x:c>
      <x:c r="E29" s="28" t="str">
        <x:v>2026-Q2</x:v>
      </x:c>
      <x:c r="F29" s="28" t="str">
        <x:v>Approved case</x:v>
      </x:c>
      <x:c r="G29" s="28" t="str">
        <x:v>Budget revenue</x:v>
      </x:c>
      <x:c r="H29" s="31" t="n">
        <x:v>2300000</x:v>
      </x:c>
      <x:c r="I29" s="28" t="str"/>
      <x:c r="J29" s="28" t="str">
        <x:v>USD</x:v>
      </x:c>
      <x:c r="K29" s="28" t="str">
        <x:v>Project controls margin bridge input</x:v>
      </x:c>
      <x:c r="L29" s="34" t="str">
        <x:v>2026-06-30</x:v>
      </x:c>
      <x:c r="M29" s="28" t="str"/>
    </x:row>
    <x:row r="30">
      <x:c r="A30" s="37" t="str">
        <x:v>PLN-00354</x:v>
      </x:c>
      <x:c r="B30" s="28" t="str">
        <x:v>Construction gross-margin driver bridge</x:v>
      </x:c>
      <x:c r="C30" s="28" t="str">
        <x:v>Construction worktype bridge</x:v>
      </x:c>
      <x:c r="D30" s="28" t="str">
        <x:v>Special projects</x:v>
      </x:c>
      <x:c r="E30" s="28" t="str">
        <x:v>2026-Q2</x:v>
      </x:c>
      <x:c r="F30" s="28" t="str">
        <x:v>Approved case</x:v>
      </x:c>
      <x:c r="G30" s="28" t="str">
        <x:v>Budget gross margin</x:v>
      </x:c>
      <x:c r="H30" s="31" t="n">
        <x:v>0.42</x:v>
      </x:c>
      <x:c r="I30" s="28" t="str"/>
      <x:c r="J30" s="28" t="str">
        <x:v>decimal ratio</x:v>
      </x:c>
      <x:c r="K30" s="28" t="str">
        <x:v>Project controls margin bridge input</x:v>
      </x:c>
      <x:c r="L30" s="34" t="str">
        <x:v>2026-06-30</x:v>
      </x:c>
      <x:c r="M30" s="28" t="str"/>
    </x:row>
    <x:row r="31">
      <x:c r="A31" s="37" t="str">
        <x:v>PLN-00355</x:v>
      </x:c>
      <x:c r="B31" s="28" t="str">
        <x:v>Construction gross-margin driver bridge</x:v>
      </x:c>
      <x:c r="C31" s="28" t="str">
        <x:v>Construction worktype bridge</x:v>
      </x:c>
      <x:c r="D31" s="28" t="str">
        <x:v>Special projects</x:v>
      </x:c>
      <x:c r="E31" s="28" t="str">
        <x:v>2026-Q2</x:v>
      </x:c>
      <x:c r="F31" s="28" t="str">
        <x:v>Approved case</x:v>
      </x:c>
      <x:c r="G31" s="28" t="str">
        <x:v>Revenue volume change</x:v>
      </x:c>
      <x:c r="H31" s="31" t="n">
        <x:v>0.12</x:v>
      </x:c>
      <x:c r="I31" s="28" t="str"/>
      <x:c r="J31" s="28" t="str">
        <x:v>decimal ratio</x:v>
      </x:c>
      <x:c r="K31" s="28" t="str">
        <x:v>Project controls margin bridge input</x:v>
      </x:c>
      <x:c r="L31" s="34" t="str">
        <x:v>2026-06-30</x:v>
      </x:c>
      <x:c r="M31" s="28" t="str"/>
    </x:row>
    <x:row r="32">
      <x:c r="A32" s="37" t="str">
        <x:v>PLN-00356</x:v>
      </x:c>
      <x:c r="B32" s="28" t="str">
        <x:v>Construction gross-margin driver bridge</x:v>
      </x:c>
      <x:c r="C32" s="28" t="str">
        <x:v>Construction worktype bridge</x:v>
      </x:c>
      <x:c r="D32" s="28" t="str">
        <x:v>Special projects</x:v>
      </x:c>
      <x:c r="E32" s="28" t="str">
        <x:v>2026-Q2</x:v>
      </x:c>
      <x:c r="F32" s="28" t="str">
        <x:v>Approved case</x:v>
      </x:c>
      <x:c r="G32" s="28" t="str">
        <x:v>Contract price change</x:v>
      </x:c>
      <x:c r="H32" s="31" t="n">
        <x:v>0.04</x:v>
      </x:c>
      <x:c r="I32" s="28" t="str"/>
      <x:c r="J32" s="28" t="str">
        <x:v>decimal ratio</x:v>
      </x:c>
      <x:c r="K32" s="28" t="str">
        <x:v>Project controls margin bridge input</x:v>
      </x:c>
      <x:c r="L32" s="34" t="str">
        <x:v>2026-06-30</x:v>
      </x:c>
      <x:c r="M32" s="28" t="str"/>
    </x:row>
    <x:row r="33">
      <x:c r="A33" s="37" t="str">
        <x:v>PLN-00357</x:v>
      </x:c>
      <x:c r="B33" s="28" t="str">
        <x:v>Construction gross-margin driver bridge</x:v>
      </x:c>
      <x:c r="C33" s="28" t="str">
        <x:v>Construction worktype bridge</x:v>
      </x:c>
      <x:c r="D33" s="28" t="str">
        <x:v>Special projects</x:v>
      </x:c>
      <x:c r="E33" s="28" t="str">
        <x:v>2026-Q2</x:v>
      </x:c>
      <x:c r="F33" s="28" t="str">
        <x:v>Approved case</x:v>
      </x:c>
      <x:c r="G33" s="28" t="str">
        <x:v>Labor rate effect as percent of actual revenue</x:v>
      </x:c>
      <x:c r="H33" s="31" t="n">
        <x:v>-0.01</x:v>
      </x:c>
      <x:c r="I33" s="28" t="str"/>
      <x:c r="J33" s="28" t="str">
        <x:v>decimal ratio</x:v>
      </x:c>
      <x:c r="K33" s="28" t="str">
        <x:v>Project controls margin bridge input</x:v>
      </x:c>
      <x:c r="L33" s="34" t="str">
        <x:v>2026-06-30</x:v>
      </x:c>
      <x:c r="M33" s="28" t="str"/>
    </x:row>
    <x:row r="34">
      <x:c r="A34" s="37" t="str">
        <x:v>PLN-00358</x:v>
      </x:c>
      <x:c r="B34" s="28" t="str">
        <x:v>Construction gross-margin driver bridge</x:v>
      </x:c>
      <x:c r="C34" s="28" t="str">
        <x:v>Construction worktype bridge</x:v>
      </x:c>
      <x:c r="D34" s="28" t="str">
        <x:v>Special projects</x:v>
      </x:c>
      <x:c r="E34" s="28" t="str">
        <x:v>2026-Q2</x:v>
      </x:c>
      <x:c r="F34" s="28" t="str">
        <x:v>Approved case</x:v>
      </x:c>
      <x:c r="G34" s="28" t="str">
        <x:v>Labor productivity effect as percent of actual revenue</x:v>
      </x:c>
      <x:c r="H34" s="31" t="n">
        <x:v>-0.022</x:v>
      </x:c>
      <x:c r="I34" s="28" t="str"/>
      <x:c r="J34" s="28" t="str">
        <x:v>decimal ratio</x:v>
      </x:c>
      <x:c r="K34" s="28" t="str">
        <x:v>Project controls margin bridge input</x:v>
      </x:c>
      <x:c r="L34" s="34" t="str">
        <x:v>2026-06-30</x:v>
      </x:c>
      <x:c r="M34" s="28" t="str"/>
    </x:row>
    <x:row r="35">
      <x:c r="A35" s="37" t="str">
        <x:v>PLN-00359</x:v>
      </x:c>
      <x:c r="B35" s="28" t="str">
        <x:v>Construction gross-margin driver bridge</x:v>
      </x:c>
      <x:c r="C35" s="28" t="str">
        <x:v>Construction worktype bridge</x:v>
      </x:c>
      <x:c r="D35" s="28" t="str">
        <x:v>Special projects</x:v>
      </x:c>
      <x:c r="E35" s="28" t="str">
        <x:v>2026-Q2</x:v>
      </x:c>
      <x:c r="F35" s="28" t="str">
        <x:v>Approved case</x:v>
      </x:c>
      <x:c r="G35" s="28" t="str">
        <x:v>Material price effect as percent of actual revenue</x:v>
      </x:c>
      <x:c r="H35" s="31" t="n">
        <x:v>-0.006</x:v>
      </x:c>
      <x:c r="I35" s="28" t="str"/>
      <x:c r="J35" s="28" t="str">
        <x:v>decimal ratio</x:v>
      </x:c>
      <x:c r="K35" s="28" t="str">
        <x:v>Project controls margin bridge input</x:v>
      </x:c>
      <x:c r="L35" s="34" t="str">
        <x:v>2026-06-30</x:v>
      </x:c>
      <x:c r="M35" s="28" t="str"/>
    </x:row>
    <x:row r="36">
      <x:c r="A36" s="37" t="str">
        <x:v>PLN-00360</x:v>
      </x:c>
      <x:c r="B36" s="28" t="str">
        <x:v>Construction gross-margin driver bridge</x:v>
      </x:c>
      <x:c r="C36" s="28" t="str">
        <x:v>Construction worktype bridge</x:v>
      </x:c>
      <x:c r="D36" s="28" t="str">
        <x:v>Special projects</x:v>
      </x:c>
      <x:c r="E36" s="28" t="str">
        <x:v>2026-Q2</x:v>
      </x:c>
      <x:c r="F36" s="28" t="str">
        <x:v>Approved case</x:v>
      </x:c>
      <x:c r="G36" s="28" t="str">
        <x:v>Subcontractor effect as percent of actual revenue</x:v>
      </x:c>
      <x:c r="H36" s="31" t="n">
        <x:v>-0.005</x:v>
      </x:c>
      <x:c r="I36" s="28" t="str"/>
      <x:c r="J36" s="28" t="str">
        <x:v>decimal ratio</x:v>
      </x:c>
      <x:c r="K36" s="28" t="str">
        <x:v>Project controls margin bridge input</x:v>
      </x:c>
      <x:c r="L36" s="34" t="str">
        <x:v>2026-06-30</x:v>
      </x:c>
      <x:c r="M36" s="28" t="str"/>
    </x:row>
    <x:row r="37">
      <x:c r="A37" s="37" t="str">
        <x:v>PLN-030X01</x:v>
      </x:c>
      <x:c r="B37" s="28" t="str">
        <x:v>Construction gross-margin driver bridge</x:v>
      </x:c>
      <x:c r="C37" s="28" t="str">
        <x:v>Construction margin recovery action register</x:v>
      </x:c>
      <x:c r="D37" s="28" t="str">
        <x:v>Large-project crew rebalance</x:v>
      </x:c>
      <x:c r="E37" s="28" t="str">
        <x:v>Management review</x:v>
      </x:c>
      <x:c r="F37" s="28" t="str">
        <x:v>Approved case</x:v>
      </x:c>
      <x:c r="G37" s="28" t="str">
        <x:v>Cash cost</x:v>
      </x:c>
      <x:c r="H37" s="31" t="n">
        <x:v>190000</x:v>
      </x:c>
      <x:c r="I37" s="28" t="str"/>
      <x:c r="J37" s="28" t="str">
        <x:v>USD</x:v>
      </x:c>
      <x:c r="K37" s="28" t="str">
        <x:v>Finance operating schedule</x:v>
      </x:c>
      <x:c r="L37" s="34" t="str">
        <x:v>2026-06-30</x:v>
      </x:c>
      <x:c r="M37" s="28" t="str"/>
    </x:row>
    <x:row r="38">
      <x:c r="A38" s="37" t="str">
        <x:v>PLN-030X02</x:v>
      </x:c>
      <x:c r="B38" s="28" t="str">
        <x:v>Construction gross-margin driver bridge</x:v>
      </x:c>
      <x:c r="C38" s="28" t="str">
        <x:v>Construction margin recovery action register</x:v>
      </x:c>
      <x:c r="D38" s="28" t="str">
        <x:v>Large-project crew rebalance</x:v>
      </x:c>
      <x:c r="E38" s="28" t="str">
        <x:v>Management review</x:v>
      </x:c>
      <x:c r="F38" s="28" t="str">
        <x:v>Approved case</x:v>
      </x:c>
      <x:c r="G38" s="28" t="str">
        <x:v>Gross financial effect</x:v>
      </x:c>
      <x:c r="H38" s="31" t="n">
        <x:v>610000</x:v>
      </x:c>
      <x:c r="I38" s="28" t="str"/>
      <x:c r="J38" s="28" t="str">
        <x:v>USD</x:v>
      </x:c>
      <x:c r="K38" s="28" t="str">
        <x:v>Finance operating schedule</x:v>
      </x:c>
      <x:c r="L38" s="34" t="str">
        <x:v>2026-06-30</x:v>
      </x:c>
      <x:c r="M38" s="28" t="str"/>
    </x:row>
    <x:row r="39">
      <x:c r="A39" s="37" t="str">
        <x:v>PLN-030X03</x:v>
      </x:c>
      <x:c r="B39" s="28" t="str">
        <x:v>Construction gross-margin driver bridge</x:v>
      </x:c>
      <x:c r="C39" s="28" t="str">
        <x:v>Construction margin recovery action register</x:v>
      </x:c>
      <x:c r="D39" s="28" t="str">
        <x:v>Large-project crew rebalance</x:v>
      </x:c>
      <x:c r="E39" s="28" t="str">
        <x:v>Management review</x:v>
      </x:c>
      <x:c r="F39" s="28" t="str">
        <x:v>Approved case</x:v>
      </x:c>
      <x:c r="G39" s="28" t="str">
        <x:v>Realization probability</x:v>
      </x:c>
      <x:c r="H39" s="31" t="n">
        <x:v>0.8</x:v>
      </x:c>
      <x:c r="I39" s="28" t="str"/>
      <x:c r="J39" s="28" t="str">
        <x:v>decimal ratio</x:v>
      </x:c>
      <x:c r="K39" s="28" t="str">
        <x:v>Finance operating schedule</x:v>
      </x:c>
      <x:c r="L39" s="34" t="str">
        <x:v>2026-06-30</x:v>
      </x:c>
      <x:c r="M39" s="28" t="str"/>
    </x:row>
    <x:row r="40">
      <x:c r="A40" s="37" t="str">
        <x:v>PLN-030X04</x:v>
      </x:c>
      <x:c r="B40" s="28" t="str">
        <x:v>Construction gross-margin driver bridge</x:v>
      </x:c>
      <x:c r="C40" s="28" t="str">
        <x:v>Construction margin recovery action register</x:v>
      </x:c>
      <x:c r="D40" s="28" t="str">
        <x:v>Large-project crew rebalance</x:v>
      </x:c>
      <x:c r="E40" s="28" t="str">
        <x:v>Management review</x:v>
      </x:c>
      <x:c r="F40" s="28" t="str">
        <x:v>Approved case</x:v>
      </x:c>
      <x:c r="G40" s="28" t="str">
        <x:v>Capacity units</x:v>
      </x:c>
      <x:c r="H40" s="31" t="n">
        <x:v>360</x:v>
      </x:c>
      <x:c r="I40" s="28" t="str"/>
      <x:c r="J40" s="28" t="str">
        <x:v>project-management hours</x:v>
      </x:c>
      <x:c r="K40" s="28" t="str">
        <x:v>Finance operating schedule</x:v>
      </x:c>
      <x:c r="L40" s="34" t="str">
        <x:v>2026-06-30</x:v>
      </x:c>
      <x:c r="M40" s="28" t="str"/>
    </x:row>
    <x:row r="41">
      <x:c r="A41" s="37" t="str">
        <x:v>PLN-030X05</x:v>
      </x:c>
      <x:c r="B41" s="28" t="str">
        <x:v>Construction gross-margin driver bridge</x:v>
      </x:c>
      <x:c r="C41" s="28" t="str">
        <x:v>Construction margin recovery action register</x:v>
      </x:c>
      <x:c r="D41" s="28" t="str">
        <x:v>Large-project crew rebalance</x:v>
      </x:c>
      <x:c r="E41" s="28" t="str">
        <x:v>Management review</x:v>
      </x:c>
      <x:c r="F41" s="28" t="str">
        <x:v>Approved case</x:v>
      </x:c>
      <x:c r="G41" s="28" t="str">
        <x:v>Status</x:v>
      </x:c>
      <x:c r="H41" s="31" t="str"/>
      <x:c r="I41" s="28" t="str">
        <x:v>Approved</x:v>
      </x:c>
      <x:c r="J41" s="28" t="str">
        <x:v>classification</x:v>
      </x:c>
      <x:c r="K41" s="28" t="str">
        <x:v>Finance operating schedule</x:v>
      </x:c>
      <x:c r="L41" s="34" t="str">
        <x:v>2026-06-30</x:v>
      </x:c>
      <x:c r="M41" s="28" t="str"/>
    </x:row>
    <x:row r="42">
      <x:c r="A42" s="37" t="str">
        <x:v>PLN-030X06</x:v>
      </x:c>
      <x:c r="B42" s="28" t="str">
        <x:v>Construction gross-margin driver bridge</x:v>
      </x:c>
      <x:c r="C42" s="28" t="str">
        <x:v>Construction margin recovery action register</x:v>
      </x:c>
      <x:c r="D42" s="28" t="str">
        <x:v>Large-project crew rebalance</x:v>
      </x:c>
      <x:c r="E42" s="28" t="str">
        <x:v>Management review</x:v>
      </x:c>
      <x:c r="F42" s="28" t="str">
        <x:v>Approved case</x:v>
      </x:c>
      <x:c r="G42" s="28" t="str">
        <x:v>Dependency</x:v>
      </x:c>
      <x:c r="H42" s="31" t="str"/>
      <x:c r="I42" s="28" t="str"/>
      <x:c r="J42" s="28" t="str">
        <x:v>classification</x:v>
      </x:c>
      <x:c r="K42" s="28" t="str">
        <x:v>Finance operating schedule</x:v>
      </x:c>
      <x:c r="L42" s="34" t="str">
        <x:v>2026-06-30</x:v>
      </x:c>
      <x:c r="M42" s="28" t="str"/>
    </x:row>
    <x:row r="43">
      <x:c r="A43" s="37" t="str">
        <x:v>PLN-030X07</x:v>
      </x:c>
      <x:c r="B43" s="28" t="str">
        <x:v>Construction gross-margin driver bridge</x:v>
      </x:c>
      <x:c r="C43" s="28" t="str">
        <x:v>Construction margin recovery action register</x:v>
      </x:c>
      <x:c r="D43" s="28" t="str">
        <x:v>Subcontractor buyout renegotiation</x:v>
      </x:c>
      <x:c r="E43" s="28" t="str">
        <x:v>Management review</x:v>
      </x:c>
      <x:c r="F43" s="28" t="str">
        <x:v>Approved case</x:v>
      </x:c>
      <x:c r="G43" s="28" t="str">
        <x:v>Cash cost</x:v>
      </x:c>
      <x:c r="H43" s="31" t="n">
        <x:v>160000</x:v>
      </x:c>
      <x:c r="I43" s="28" t="str"/>
      <x:c r="J43" s="28" t="str">
        <x:v>USD</x:v>
      </x:c>
      <x:c r="K43" s="28" t="str">
        <x:v>Finance operating schedule</x:v>
      </x:c>
      <x:c r="L43" s="34" t="str">
        <x:v>2026-06-30</x:v>
      </x:c>
      <x:c r="M43" s="28" t="str"/>
    </x:row>
    <x:row r="44">
      <x:c r="A44" s="37" t="str">
        <x:v>PLN-030X08</x:v>
      </x:c>
      <x:c r="B44" s="28" t="str">
        <x:v>Construction gross-margin driver bridge</x:v>
      </x:c>
      <x:c r="C44" s="28" t="str">
        <x:v>Construction margin recovery action register</x:v>
      </x:c>
      <x:c r="D44" s="28" t="str">
        <x:v>Subcontractor buyout renegotiation</x:v>
      </x:c>
      <x:c r="E44" s="28" t="str">
        <x:v>Management review</x:v>
      </x:c>
      <x:c r="F44" s="28" t="str">
        <x:v>Approved case</x:v>
      </x:c>
      <x:c r="G44" s="28" t="str">
        <x:v>Gross financial effect</x:v>
      </x:c>
      <x:c r="H44" s="31" t="n">
        <x:v>430</x:v>
      </x:c>
      <x:c r="I44" s="28" t="str"/>
      <x:c r="J44" s="28" t="str">
        <x:v>USD thousands</x:v>
      </x:c>
      <x:c r="K44" s="28" t="str">
        <x:v>Finance operating schedule</x:v>
      </x:c>
      <x:c r="L44" s="34" t="str">
        <x:v>2026-06-30</x:v>
      </x:c>
      <x:c r="M44" s="28" t="str"/>
    </x:row>
    <x:row r="45">
      <x:c r="A45" s="37" t="str">
        <x:v>PLN-030X09</x:v>
      </x:c>
      <x:c r="B45" s="28" t="str">
        <x:v>Construction gross-margin driver bridge</x:v>
      </x:c>
      <x:c r="C45" s="28" t="str">
        <x:v>Construction margin recovery action register</x:v>
      </x:c>
      <x:c r="D45" s="28" t="str">
        <x:v>Subcontractor buyout renegotiation</x:v>
      </x:c>
      <x:c r="E45" s="28" t="str">
        <x:v>Management review</x:v>
      </x:c>
      <x:c r="F45" s="28" t="str">
        <x:v>Approved case</x:v>
      </x:c>
      <x:c r="G45" s="28" t="str">
        <x:v>Realization probability</x:v>
      </x:c>
      <x:c r="H45" s="31" t="n">
        <x:v>0.7</x:v>
      </x:c>
      <x:c r="I45" s="28" t="str"/>
      <x:c r="J45" s="28" t="str">
        <x:v>decimal ratio</x:v>
      </x:c>
      <x:c r="K45" s="28" t="str">
        <x:v>Finance operating schedule</x:v>
      </x:c>
      <x:c r="L45" s="34" t="str">
        <x:v>2026-06-30</x:v>
      </x:c>
      <x:c r="M45" s="28" t="str"/>
    </x:row>
    <x:row r="46">
      <x:c r="A46" s="37" t="str">
        <x:v>PLN-030X10</x:v>
      </x:c>
      <x:c r="B46" s="28" t="str">
        <x:v>Construction gross-margin driver bridge</x:v>
      </x:c>
      <x:c r="C46" s="28" t="str">
        <x:v>Construction margin recovery action register</x:v>
      </x:c>
      <x:c r="D46" s="28" t="str">
        <x:v>Subcontractor buyout renegotiation</x:v>
      </x:c>
      <x:c r="E46" s="28" t="str">
        <x:v>Management review</x:v>
      </x:c>
      <x:c r="F46" s="28" t="str">
        <x:v>Approved case</x:v>
      </x:c>
      <x:c r="G46" s="28" t="str">
        <x:v>Capacity units</x:v>
      </x:c>
      <x:c r="H46" s="31" t="n">
        <x:v>260</x:v>
      </x:c>
      <x:c r="I46" s="28" t="str"/>
      <x:c r="J46" s="28" t="str">
        <x:v>project-management hours</x:v>
      </x:c>
      <x:c r="K46" s="28" t="str">
        <x:v>Finance operating schedule</x:v>
      </x:c>
      <x:c r="L46" s="34" t="str">
        <x:v>2026-06-30</x:v>
      </x:c>
      <x:c r="M46" s="28" t="str"/>
    </x:row>
    <x:row r="47">
      <x:c r="A47" s="37" t="str">
        <x:v>PLN-030X11</x:v>
      </x:c>
      <x:c r="B47" s="28" t="str">
        <x:v>Construction gross-margin driver bridge</x:v>
      </x:c>
      <x:c r="C47" s="28" t="str">
        <x:v>Construction margin recovery action register</x:v>
      </x:c>
      <x:c r="D47" s="28" t="str">
        <x:v>Subcontractor buyout renegotiation</x:v>
      </x:c>
      <x:c r="E47" s="28" t="str">
        <x:v>Management review</x:v>
      </x:c>
      <x:c r="F47" s="28" t="str">
        <x:v>Approved case</x:v>
      </x:c>
      <x:c r="G47" s="28" t="str">
        <x:v>Status</x:v>
      </x:c>
      <x:c r="H47" s="31" t="str"/>
      <x:c r="I47" s="28" t="str">
        <x:v>Approved</x:v>
      </x:c>
      <x:c r="J47" s="28" t="str">
        <x:v>classification</x:v>
      </x:c>
      <x:c r="K47" s="28" t="str">
        <x:v>Finance operating schedule</x:v>
      </x:c>
      <x:c r="L47" s="34" t="str">
        <x:v>2026-06-30</x:v>
      </x:c>
      <x:c r="M47" s="28" t="str"/>
    </x:row>
    <x:row r="48">
      <x:c r="A48" s="37" t="str">
        <x:v>PLN-030X12</x:v>
      </x:c>
      <x:c r="B48" s="28" t="str">
        <x:v>Construction gross-margin driver bridge</x:v>
      </x:c>
      <x:c r="C48" s="28" t="str">
        <x:v>Construction margin recovery action register</x:v>
      </x:c>
      <x:c r="D48" s="28" t="str">
        <x:v>Subcontractor buyout renegotiation</x:v>
      </x:c>
      <x:c r="E48" s="28" t="str">
        <x:v>Management review</x:v>
      </x:c>
      <x:c r="F48" s="28" t="str">
        <x:v>Approved case</x:v>
      </x:c>
      <x:c r="G48" s="28" t="str">
        <x:v>Dependency</x:v>
      </x:c>
      <x:c r="H48" s="31" t="str"/>
      <x:c r="I48" s="28" t="str"/>
      <x:c r="J48" s="28" t="str">
        <x:v>classification</x:v>
      </x:c>
      <x:c r="K48" s="28" t="str">
        <x:v>Finance operating schedule</x:v>
      </x:c>
      <x:c r="L48" s="34" t="str">
        <x:v>2026-06-30</x:v>
      </x:c>
      <x:c r="M48" s="28" t="str"/>
    </x:row>
    <x:row r="49">
      <x:c r="A49" s="37" t="str">
        <x:v>PLN-030X13</x:v>
      </x:c>
      <x:c r="B49" s="28" t="str">
        <x:v>Construction gross-margin driver bridge</x:v>
      </x:c>
      <x:c r="C49" s="28" t="str">
        <x:v>Construction margin recovery action register</x:v>
      </x:c>
      <x:c r="D49" s="28" t="str">
        <x:v>Tenant-improvement prefabrication</x:v>
      </x:c>
      <x:c r="E49" s="28" t="str">
        <x:v>Management review</x:v>
      </x:c>
      <x:c r="F49" s="28" t="str">
        <x:v>Approved case</x:v>
      </x:c>
      <x:c r="G49" s="28" t="str">
        <x:v>Cash cost</x:v>
      </x:c>
      <x:c r="H49" s="31" t="n">
        <x:v>135000</x:v>
      </x:c>
      <x:c r="I49" s="28" t="str"/>
      <x:c r="J49" s="28" t="str">
        <x:v>USD</x:v>
      </x:c>
      <x:c r="K49" s="28" t="str">
        <x:v>Finance operating schedule</x:v>
      </x:c>
      <x:c r="L49" s="34" t="str">
        <x:v>2026-06-30</x:v>
      </x:c>
      <x:c r="M49" s="28" t="str"/>
    </x:row>
    <x:row r="50">
      <x:c r="A50" s="37" t="str">
        <x:v>PLN-030X14</x:v>
      </x:c>
      <x:c r="B50" s="28" t="str">
        <x:v>Construction gross-margin driver bridge</x:v>
      </x:c>
      <x:c r="C50" s="28" t="str">
        <x:v>Construction margin recovery action register</x:v>
      </x:c>
      <x:c r="D50" s="28" t="str">
        <x:v>Tenant-improvement prefabrication</x:v>
      </x:c>
      <x:c r="E50" s="28" t="str">
        <x:v>Management review</x:v>
      </x:c>
      <x:c r="F50" s="28" t="str">
        <x:v>Approved case</x:v>
      </x:c>
      <x:c r="G50" s="28" t="str">
        <x:v>Gross financial effect</x:v>
      </x:c>
      <x:c r="H50" s="31" t="n">
        <x:v>360000</x:v>
      </x:c>
      <x:c r="I50" s="28" t="str"/>
      <x:c r="J50" s="28" t="str">
        <x:v>USD</x:v>
      </x:c>
      <x:c r="K50" s="28" t="str">
        <x:v>Finance operating schedule</x:v>
      </x:c>
      <x:c r="L50" s="34" t="str">
        <x:v>2026-06-30</x:v>
      </x:c>
      <x:c r="M50" s="28" t="str"/>
    </x:row>
    <x:row r="51">
      <x:c r="A51" s="37" t="str">
        <x:v>PLN-030X15</x:v>
      </x:c>
      <x:c r="B51" s="28" t="str">
        <x:v>Construction gross-margin driver bridge</x:v>
      </x:c>
      <x:c r="C51" s="28" t="str">
        <x:v>Construction margin recovery action register</x:v>
      </x:c>
      <x:c r="D51" s="28" t="str">
        <x:v>Tenant-improvement prefabrication</x:v>
      </x:c>
      <x:c r="E51" s="28" t="str">
        <x:v>Management review</x:v>
      </x:c>
      <x:c r="F51" s="28" t="str">
        <x:v>Approved case</x:v>
      </x:c>
      <x:c r="G51" s="28" t="str">
        <x:v>Realization probability</x:v>
      </x:c>
      <x:c r="H51" s="31" t="n">
        <x:v>0.75</x:v>
      </x:c>
      <x:c r="I51" s="28" t="str"/>
      <x:c r="J51" s="28" t="str">
        <x:v>decimal ratio</x:v>
      </x:c>
      <x:c r="K51" s="28" t="str">
        <x:v>Finance operating schedule</x:v>
      </x:c>
      <x:c r="L51" s="34" t="str">
        <x:v>2026-06-30</x:v>
      </x:c>
      <x:c r="M51" s="28" t="str"/>
    </x:row>
    <x:row r="52">
      <x:c r="A52" s="37" t="str">
        <x:v>PLN-030X16</x:v>
      </x:c>
      <x:c r="B52" s="28" t="str">
        <x:v>Construction gross-margin driver bridge</x:v>
      </x:c>
      <x:c r="C52" s="28" t="str">
        <x:v>Construction margin recovery action register</x:v>
      </x:c>
      <x:c r="D52" s="28" t="str">
        <x:v>Tenant-improvement prefabrication</x:v>
      </x:c>
      <x:c r="E52" s="28" t="str">
        <x:v>Management review</x:v>
      </x:c>
      <x:c r="F52" s="28" t="str">
        <x:v>Approved case</x:v>
      </x:c>
      <x:c r="G52" s="28" t="str">
        <x:v>Capacity units</x:v>
      </x:c>
      <x:c r="H52" s="31" t="n">
        <x:v>240</x:v>
      </x:c>
      <x:c r="I52" s="28" t="str"/>
      <x:c r="J52" s="28" t="str">
        <x:v>project-management hours</x:v>
      </x:c>
      <x:c r="K52" s="28" t="str">
        <x:v>Finance operating schedule</x:v>
      </x:c>
      <x:c r="L52" s="34" t="str">
        <x:v>2026-06-30</x:v>
      </x:c>
      <x:c r="M52" s="28" t="str"/>
    </x:row>
    <x:row r="53">
      <x:c r="A53" s="37" t="str">
        <x:v>PLN-030X17</x:v>
      </x:c>
      <x:c r="B53" s="28" t="str">
        <x:v>Construction gross-margin driver bridge</x:v>
      </x:c>
      <x:c r="C53" s="28" t="str">
        <x:v>Construction margin recovery action register</x:v>
      </x:c>
      <x:c r="D53" s="28" t="str">
        <x:v>Tenant-improvement prefabrication</x:v>
      </x:c>
      <x:c r="E53" s="28" t="str">
        <x:v>Management review</x:v>
      </x:c>
      <x:c r="F53" s="28" t="str">
        <x:v>Approved case</x:v>
      </x:c>
      <x:c r="G53" s="28" t="str">
        <x:v>Status</x:v>
      </x:c>
      <x:c r="H53" s="31" t="str"/>
      <x:c r="I53" s="28" t="str">
        <x:v>Approved</x:v>
      </x:c>
      <x:c r="J53" s="28" t="str">
        <x:v>classification</x:v>
      </x:c>
      <x:c r="K53" s="28" t="str">
        <x:v>Finance operating schedule</x:v>
      </x:c>
      <x:c r="L53" s="34" t="str">
        <x:v>2026-06-30</x:v>
      </x:c>
      <x:c r="M53" s="28" t="str"/>
    </x:row>
    <x:row r="54">
      <x:c r="A54" s="37" t="str">
        <x:v>PLN-030X18</x:v>
      </x:c>
      <x:c r="B54" s="28" t="str">
        <x:v>Construction gross-margin driver bridge</x:v>
      </x:c>
      <x:c r="C54" s="28" t="str">
        <x:v>Construction margin recovery action register</x:v>
      </x:c>
      <x:c r="D54" s="28" t="str">
        <x:v>Tenant-improvement prefabrication</x:v>
      </x:c>
      <x:c r="E54" s="28" t="str">
        <x:v>Management review</x:v>
      </x:c>
      <x:c r="F54" s="28" t="str">
        <x:v>Approved case</x:v>
      </x:c>
      <x:c r="G54" s="28" t="str">
        <x:v>Dependency</x:v>
      </x:c>
      <x:c r="H54" s="31" t="str"/>
      <x:c r="I54" s="28" t="str"/>
      <x:c r="J54" s="28" t="str">
        <x:v>classification</x:v>
      </x:c>
      <x:c r="K54" s="28" t="str">
        <x:v>Finance operating schedule</x:v>
      </x:c>
      <x:c r="L54" s="34" t="str">
        <x:v>2026-06-30</x:v>
      </x:c>
      <x:c r="M54" s="28" t="str"/>
    </x:row>
    <x:row r="55">
      <x:c r="A55" s="37" t="str">
        <x:v>PLN-030X19</x:v>
      </x:c>
      <x:c r="B55" s="28" t="str">
        <x:v>Construction gross-margin driver bridge</x:v>
      </x:c>
      <x:c r="C55" s="28" t="str">
        <x:v>Construction margin recovery action register</x:v>
      </x:c>
      <x:c r="D55" s="28" t="str">
        <x:v>Retrofit material substitution</x:v>
      </x:c>
      <x:c r="E55" s="28" t="str">
        <x:v>Management review</x:v>
      </x:c>
      <x:c r="F55" s="28" t="str">
        <x:v>Approved case</x:v>
      </x:c>
      <x:c r="G55" s="28" t="str">
        <x:v>Cash cost</x:v>
      </x:c>
      <x:c r="H55" s="31" t="n">
        <x:v>110000</x:v>
      </x:c>
      <x:c r="I55" s="28" t="str"/>
      <x:c r="J55" s="28" t="str">
        <x:v>USD</x:v>
      </x:c>
      <x:c r="K55" s="28" t="str">
        <x:v>Finance operating schedule</x:v>
      </x:c>
      <x:c r="L55" s="34" t="str">
        <x:v>2026-06-30</x:v>
      </x:c>
      <x:c r="M55" s="28" t="str"/>
    </x:row>
    <x:row r="56">
      <x:c r="A56" s="37" t="str">
        <x:v>PLN-030X20</x:v>
      </x:c>
      <x:c r="B56" s="28" t="str">
        <x:v>Construction gross-margin driver bridge</x:v>
      </x:c>
      <x:c r="C56" s="28" t="str">
        <x:v>Construction margin recovery action register</x:v>
      </x:c>
      <x:c r="D56" s="28" t="str">
        <x:v>Retrofit material substitution</x:v>
      </x:c>
      <x:c r="E56" s="28" t="str">
        <x:v>Management review</x:v>
      </x:c>
      <x:c r="F56" s="28" t="str">
        <x:v>Approved case</x:v>
      </x:c>
      <x:c r="G56" s="28" t="str">
        <x:v>Gross financial effect</x:v>
      </x:c>
      <x:c r="H56" s="31" t="n">
        <x:v>315</x:v>
      </x:c>
      <x:c r="I56" s="28" t="str"/>
      <x:c r="J56" s="28" t="str">
        <x:v>USD thousands</x:v>
      </x:c>
      <x:c r="K56" s="28" t="str">
        <x:v>Finance operating schedule</x:v>
      </x:c>
      <x:c r="L56" s="34" t="str">
        <x:v>2026-06-30</x:v>
      </x:c>
      <x:c r="M56" s="28" t="str"/>
    </x:row>
    <x:row r="57">
      <x:c r="A57" s="37" t="str">
        <x:v>PLN-030X21</x:v>
      </x:c>
      <x:c r="B57" s="28" t="str">
        <x:v>Construction gross-margin driver bridge</x:v>
      </x:c>
      <x:c r="C57" s="28" t="str">
        <x:v>Construction margin recovery action register</x:v>
      </x:c>
      <x:c r="D57" s="28" t="str">
        <x:v>Retrofit material substitution</x:v>
      </x:c>
      <x:c r="E57" s="28" t="str">
        <x:v>Management review</x:v>
      </x:c>
      <x:c r="F57" s="28" t="str">
        <x:v>Approved case</x:v>
      </x:c>
      <x:c r="G57" s="28" t="str">
        <x:v>Realization probability</x:v>
      </x:c>
      <x:c r="H57" s="31" t="n">
        <x:v>0.65</x:v>
      </x:c>
      <x:c r="I57" s="28" t="str"/>
      <x:c r="J57" s="28" t="str">
        <x:v>decimal ratio</x:v>
      </x:c>
      <x:c r="K57" s="28" t="str">
        <x:v>Finance operating schedule</x:v>
      </x:c>
      <x:c r="L57" s="34" t="str">
        <x:v>2026-06-30</x:v>
      </x:c>
      <x:c r="M57" s="28" t="str"/>
    </x:row>
    <x:row r="58">
      <x:c r="A58" s="37" t="str">
        <x:v>PLN-030X22</x:v>
      </x:c>
      <x:c r="B58" s="28" t="str">
        <x:v>Construction gross-margin driver bridge</x:v>
      </x:c>
      <x:c r="C58" s="28" t="str">
        <x:v>Construction margin recovery action register</x:v>
      </x:c>
      <x:c r="D58" s="28" t="str">
        <x:v>Retrofit material substitution</x:v>
      </x:c>
      <x:c r="E58" s="28" t="str">
        <x:v>Management review</x:v>
      </x:c>
      <x:c r="F58" s="28" t="str">
        <x:v>Approved case</x:v>
      </x:c>
      <x:c r="G58" s="28" t="str">
        <x:v>Capacity units</x:v>
      </x:c>
      <x:c r="H58" s="31" t="n">
        <x:v>210</x:v>
      </x:c>
      <x:c r="I58" s="28" t="str"/>
      <x:c r="J58" s="28" t="str">
        <x:v>project-management hours</x:v>
      </x:c>
      <x:c r="K58" s="28" t="str">
        <x:v>Finance operating schedule</x:v>
      </x:c>
      <x:c r="L58" s="34" t="str">
        <x:v>2026-06-30</x:v>
      </x:c>
      <x:c r="M58" s="28" t="str"/>
    </x:row>
    <x:row r="59">
      <x:c r="A59" s="37" t="str">
        <x:v>PLN-030X23</x:v>
      </x:c>
      <x:c r="B59" s="28" t="str">
        <x:v>Construction gross-margin driver bridge</x:v>
      </x:c>
      <x:c r="C59" s="28" t="str">
        <x:v>Construction margin recovery action register</x:v>
      </x:c>
      <x:c r="D59" s="28" t="str">
        <x:v>Retrofit material substitution</x:v>
      </x:c>
      <x:c r="E59" s="28" t="str">
        <x:v>Management review</x:v>
      </x:c>
      <x:c r="F59" s="28" t="str">
        <x:v>Approved case</x:v>
      </x:c>
      <x:c r="G59" s="28" t="str">
        <x:v>Status</x:v>
      </x:c>
      <x:c r="H59" s="31" t="str"/>
      <x:c r="I59" s="28" t="str">
        <x:v>Conditional</x:v>
      </x:c>
      <x:c r="J59" s="28" t="str">
        <x:v>classification</x:v>
      </x:c>
      <x:c r="K59" s="28" t="str">
        <x:v>Finance operating schedule</x:v>
      </x:c>
      <x:c r="L59" s="34" t="str">
        <x:v>2026-06-30</x:v>
      </x:c>
      <x:c r="M59" s="28" t="str"/>
    </x:row>
    <x:row r="60">
      <x:c r="A60" s="37" t="str">
        <x:v>PLN-030X24</x:v>
      </x:c>
      <x:c r="B60" s="28" t="str">
        <x:v>Construction gross-margin driver bridge</x:v>
      </x:c>
      <x:c r="C60" s="28" t="str">
        <x:v>Construction margin recovery action register</x:v>
      </x:c>
      <x:c r="D60" s="28" t="str">
        <x:v>Retrofit material substitution</x:v>
      </x:c>
      <x:c r="E60" s="28" t="str">
        <x:v>Management review</x:v>
      </x:c>
      <x:c r="F60" s="28" t="str">
        <x:v>Approved case</x:v>
      </x:c>
      <x:c r="G60" s="28" t="str">
        <x:v>Dependency</x:v>
      </x:c>
      <x:c r="H60" s="31" t="str"/>
      <x:c r="I60" s="28" t="str">
        <x:v>Subcontractor buyout renegotiation</x:v>
      </x:c>
      <x:c r="J60" s="28" t="str">
        <x:v>classification</x:v>
      </x:c>
      <x:c r="K60" s="28" t="str">
        <x:v>Finance operating schedule</x:v>
      </x:c>
      <x:c r="L60" s="34" t="str">
        <x:v>2026-06-30</x:v>
      </x:c>
      <x:c r="M60" s="28" t="str"/>
    </x:row>
    <x:row r="61">
      <x:c r="A61" s="37" t="str">
        <x:v>PLN-030X25</x:v>
      </x:c>
      <x:c r="B61" s="28" t="str">
        <x:v>Construction gross-margin driver bridge</x:v>
      </x:c>
      <x:c r="C61" s="28" t="str">
        <x:v>Construction margin recovery action register</x:v>
      </x:c>
      <x:c r="D61" s="28" t="str">
        <x:v>Special-project pricing discipline</x:v>
      </x:c>
      <x:c r="E61" s="28" t="str">
        <x:v>Management review</x:v>
      </x:c>
      <x:c r="F61" s="28" t="str">
        <x:v>Approved case</x:v>
      </x:c>
      <x:c r="G61" s="28" t="str">
        <x:v>Cash cost</x:v>
      </x:c>
      <x:c r="H61" s="31" t="n">
        <x:v>95000</x:v>
      </x:c>
      <x:c r="I61" s="28" t="str"/>
      <x:c r="J61" s="28" t="str">
        <x:v>USD</x:v>
      </x:c>
      <x:c r="K61" s="28" t="str">
        <x:v>Finance operating schedule</x:v>
      </x:c>
      <x:c r="L61" s="34" t="str">
        <x:v>2026-06-30</x:v>
      </x:c>
      <x:c r="M61" s="28" t="str"/>
    </x:row>
    <x:row r="62">
      <x:c r="A62" s="37" t="str">
        <x:v>PLN-030X26</x:v>
      </x:c>
      <x:c r="B62" s="28" t="str">
        <x:v>Construction gross-margin driver bridge</x:v>
      </x:c>
      <x:c r="C62" s="28" t="str">
        <x:v>Construction margin recovery action register</x:v>
      </x:c>
      <x:c r="D62" s="28" t="str">
        <x:v>Special-project pricing discipline</x:v>
      </x:c>
      <x:c r="E62" s="28" t="str">
        <x:v>Management review</x:v>
      </x:c>
      <x:c r="F62" s="28" t="str">
        <x:v>Approved case</x:v>
      </x:c>
      <x:c r="G62" s="28" t="str">
        <x:v>Gross financial effect</x:v>
      </x:c>
      <x:c r="H62" s="31" t="n">
        <x:v>250000</x:v>
      </x:c>
      <x:c r="I62" s="28" t="str"/>
      <x:c r="J62" s="28" t="str">
        <x:v>USD</x:v>
      </x:c>
      <x:c r="K62" s="28" t="str">
        <x:v>Finance operating schedule</x:v>
      </x:c>
      <x:c r="L62" s="34" t="str">
        <x:v>2026-06-30</x:v>
      </x:c>
      <x:c r="M62" s="28" t="str"/>
    </x:row>
    <x:row r="63">
      <x:c r="A63" s="37" t="str">
        <x:v>PLN-030X27</x:v>
      </x:c>
      <x:c r="B63" s="28" t="str">
        <x:v>Construction gross-margin driver bridge</x:v>
      </x:c>
      <x:c r="C63" s="28" t="str">
        <x:v>Construction margin recovery action register</x:v>
      </x:c>
      <x:c r="D63" s="28" t="str">
        <x:v>Special-project pricing discipline</x:v>
      </x:c>
      <x:c r="E63" s="28" t="str">
        <x:v>Management review</x:v>
      </x:c>
      <x:c r="F63" s="28" t="str">
        <x:v>Approved case</x:v>
      </x:c>
      <x:c r="G63" s="28" t="str">
        <x:v>Realization probability</x:v>
      </x:c>
      <x:c r="H63" s="31" t="n">
        <x:v>0.85</x:v>
      </x:c>
      <x:c r="I63" s="28" t="str"/>
      <x:c r="J63" s="28" t="str">
        <x:v>decimal ratio</x:v>
      </x:c>
      <x:c r="K63" s="28" t="str">
        <x:v>Finance operating schedule</x:v>
      </x:c>
      <x:c r="L63" s="34" t="str">
        <x:v>2026-06-30</x:v>
      </x:c>
      <x:c r="M63" s="28" t="str"/>
    </x:row>
    <x:row r="64">
      <x:c r="A64" s="37" t="str">
        <x:v>PLN-030X28</x:v>
      </x:c>
      <x:c r="B64" s="28" t="str">
        <x:v>Construction gross-margin driver bridge</x:v>
      </x:c>
      <x:c r="C64" s="28" t="str">
        <x:v>Construction margin recovery action register</x:v>
      </x:c>
      <x:c r="D64" s="28" t="str">
        <x:v>Special-project pricing discipline</x:v>
      </x:c>
      <x:c r="E64" s="28" t="str">
        <x:v>Management review</x:v>
      </x:c>
      <x:c r="F64" s="28" t="str">
        <x:v>Approved case</x:v>
      </x:c>
      <x:c r="G64" s="28" t="str">
        <x:v>Capacity units</x:v>
      </x:c>
      <x:c r="H64" s="31" t="n">
        <x:v>190</x:v>
      </x:c>
      <x:c r="I64" s="28" t="str"/>
      <x:c r="J64" s="28" t="str">
        <x:v>project-management hours</x:v>
      </x:c>
      <x:c r="K64" s="28" t="str">
        <x:v>Finance operating schedule</x:v>
      </x:c>
      <x:c r="L64" s="34" t="str">
        <x:v>2026-06-30</x:v>
      </x:c>
      <x:c r="M64" s="28" t="str"/>
    </x:row>
    <x:row r="65">
      <x:c r="A65" s="37" t="str">
        <x:v>PLN-030X29</x:v>
      </x:c>
      <x:c r="B65" s="28" t="str">
        <x:v>Construction gross-margin driver bridge</x:v>
      </x:c>
      <x:c r="C65" s="28" t="str">
        <x:v>Construction margin recovery action register</x:v>
      </x:c>
      <x:c r="D65" s="28" t="str">
        <x:v>Special-project pricing discipline</x:v>
      </x:c>
      <x:c r="E65" s="28" t="str">
        <x:v>Management review</x:v>
      </x:c>
      <x:c r="F65" s="28" t="str">
        <x:v>Approved case</x:v>
      </x:c>
      <x:c r="G65" s="28" t="str">
        <x:v>Status</x:v>
      </x:c>
      <x:c r="H65" s="31" t="str"/>
      <x:c r="I65" s="28" t="str">
        <x:v>Approved</x:v>
      </x:c>
      <x:c r="J65" s="28" t="str">
        <x:v>classification</x:v>
      </x:c>
      <x:c r="K65" s="28" t="str">
        <x:v>Finance operating schedule</x:v>
      </x:c>
      <x:c r="L65" s="34" t="str">
        <x:v>2026-06-30</x:v>
      </x:c>
      <x:c r="M65" s="28" t="str"/>
    </x:row>
    <x:row r="66">
      <x:c r="A66" s="37" t="str">
        <x:v>PLN-030X30</x:v>
      </x:c>
      <x:c r="B66" s="28" t="str">
        <x:v>Construction gross-margin driver bridge</x:v>
      </x:c>
      <x:c r="C66" s="28" t="str">
        <x:v>Construction margin recovery action register</x:v>
      </x:c>
      <x:c r="D66" s="28" t="str">
        <x:v>Special-project pricing discipline</x:v>
      </x:c>
      <x:c r="E66" s="28" t="str">
        <x:v>Management review</x:v>
      </x:c>
      <x:c r="F66" s="28" t="str">
        <x:v>Approved case</x:v>
      </x:c>
      <x:c r="G66" s="28" t="str">
        <x:v>Dependency</x:v>
      </x:c>
      <x:c r="H66" s="31" t="str"/>
      <x:c r="I66" s="28" t="str"/>
      <x:c r="J66" s="28" t="str">
        <x:v>classification</x:v>
      </x:c>
      <x:c r="K66" s="28" t="str">
        <x:v>Finance operating schedule</x:v>
      </x:c>
      <x:c r="L66" s="34" t="str">
        <x:v>2026-06-30</x:v>
      </x:c>
      <x:c r="M66" s="28" t="str"/>
    </x:row>
    <x:row r="67">
      <x:c r="A67" s="37" t="str">
        <x:v>PLN-030X31</x:v>
      </x:c>
      <x:c r="B67" s="28" t="str">
        <x:v>Construction gross-margin driver bridge</x:v>
      </x:c>
      <x:c r="C67" s="28" t="str">
        <x:v>Construction margin recovery action register</x:v>
      </x:c>
      <x:c r="D67" s="28" t="str">
        <x:v>Portfolio policy</x:v>
      </x:c>
      <x:c r="E67" s="28" t="str">
        <x:v>Management review</x:v>
      </x:c>
      <x:c r="F67" s="28" t="str">
        <x:v>Approved case</x:v>
      </x:c>
      <x:c r="G67" s="28" t="str">
        <x:v>Cash budget</x:v>
      </x:c>
      <x:c r="H67" s="31" t="n">
        <x:v>650000</x:v>
      </x:c>
      <x:c r="I67" s="28" t="str"/>
      <x:c r="J67" s="28" t="str">
        <x:v>USD</x:v>
      </x:c>
      <x:c r="K67" s="28" t="str">
        <x:v>Finance operating schedule</x:v>
      </x:c>
      <x:c r="L67" s="34" t="str">
        <x:v>2026-06-30</x:v>
      </x:c>
      <x:c r="M67" s="28" t="str"/>
    </x:row>
    <x:row r="68">
      <x:c r="A68" s="37" t="str">
        <x:v>PLN-030X32</x:v>
      </x:c>
      <x:c r="B68" s="28" t="str">
        <x:v>Construction gross-margin driver bridge</x:v>
      </x:c>
      <x:c r="C68" s="28" t="str">
        <x:v>Construction margin recovery action register</x:v>
      </x:c>
      <x:c r="D68" s="28" t="str">
        <x:v>Portfolio policy</x:v>
      </x:c>
      <x:c r="E68" s="28" t="str">
        <x:v>Management review</x:v>
      </x:c>
      <x:c r="F68" s="28" t="str">
        <x:v>Approved case</x:v>
      </x:c>
      <x:c r="G68" s="28" t="str">
        <x:v>Capacity limit</x:v>
      </x:c>
      <x:c r="H68" s="31" t="n">
        <x:v>1050</x:v>
      </x:c>
      <x:c r="I68" s="28" t="str"/>
      <x:c r="J68" s="28" t="str">
        <x:v>project-management hours</x:v>
      </x:c>
      <x:c r="K68" s="28" t="str">
        <x:v>Finance operating schedule</x:v>
      </x:c>
      <x:c r="L68" s="34" t="str">
        <x:v>2026-06-30</x:v>
      </x:c>
      <x:c r="M68" s="28" t="str"/>
    </x:row>
    <x:row r="69">
      <x:c r="A69" s="37" t="str">
        <x:v>PLN-030X33</x:v>
      </x:c>
      <x:c r="B69" s="28" t="str">
        <x:v>Construction gross-margin driver bridge</x:v>
      </x:c>
      <x:c r="C69" s="28" t="str">
        <x:v>Construction margin recovery action register</x:v>
      </x:c>
      <x:c r="D69" s="28" t="str">
        <x:v>Portfolio policy</x:v>
      </x:c>
      <x:c r="E69" s="28" t="str">
        <x:v>Management review</x:v>
      </x:c>
      <x:c r="F69" s="28" t="str">
        <x:v>Approved case</x:v>
      </x:c>
      <x:c r="G69" s="28" t="str">
        <x:v>Maximum actions</x:v>
      </x:c>
      <x:c r="H69" s="31" t="n">
        <x:v>3</x:v>
      </x:c>
      <x:c r="I69" s="28" t="str"/>
      <x:c r="J69" s="28" t="str">
        <x:v>count</x:v>
      </x:c>
      <x:c r="K69" s="28" t="str">
        <x:v>Finance operating schedule</x:v>
      </x:c>
      <x:c r="L69" s="34" t="str">
        <x:v>2026-06-30</x:v>
      </x:c>
      <x:c r="M69" s="28" t="str"/>
    </x:row>
    <x:row r="70">
      <x:c r="A70" s="37" t="str">
        <x:v>PLN-030X34</x:v>
      </x:c>
      <x:c r="B70" s="28" t="str">
        <x:v>Construction gross-margin driver bridge</x:v>
      </x:c>
      <x:c r="C70" s="28" t="str">
        <x:v>Construction margin recovery action register</x:v>
      </x:c>
      <x:c r="D70" s="28" t="str">
        <x:v>Portfolio policy</x:v>
      </x:c>
      <x:c r="E70" s="28" t="str">
        <x:v>Management review</x:v>
      </x:c>
      <x:c r="F70" s="28" t="str">
        <x:v>Approved case</x:v>
      </x:c>
      <x:c r="G70" s="28" t="str">
        <x:v>Minimum expected net effect</x:v>
      </x:c>
      <x:c r="H70" s="31" t="n">
        <x:v>420000</x:v>
      </x:c>
      <x:c r="I70" s="28" t="str"/>
      <x:c r="J70" s="28" t="str">
        <x:v>USD</x:v>
      </x:c>
      <x:c r="K70" s="28" t="str">
        <x:v>Finance operating schedule</x:v>
      </x:c>
      <x:c r="L70" s="34" t="str">
        <x:v>2026-06-30</x:v>
      </x:c>
      <x:c r="M70" s="28" t="str"/>
    </x:row>
    <x:row r="71">
      <x:c r="A71" s="37" t="str">
        <x:v>PLN-030X35</x:v>
      </x:c>
      <x:c r="B71" s="28" t="str">
        <x:v>Construction gross-margin driver bridge</x:v>
      </x:c>
      <x:c r="C71" s="28" t="str">
        <x:v>Construction margin recovery action register</x:v>
      </x:c>
      <x:c r="D71" s="28" t="str">
        <x:v>Portfolio policy</x:v>
      </x:c>
      <x:c r="E71" s="28" t="str">
        <x:v>Management review</x:v>
      </x:c>
      <x:c r="F71" s="28" t="str">
        <x:v>Approved case</x:v>
      </x:c>
      <x:c r="G71" s="28" t="str">
        <x:v>Effect basis</x:v>
      </x:c>
      <x:c r="H71" s="31" t="str"/>
      <x:c r="I71" s="28" t="str">
        <x:v>incremental construction gross profit</x:v>
      </x:c>
      <x:c r="J71" s="28" t="str">
        <x:v>classification</x:v>
      </x:c>
      <x:c r="K71" s="28" t="str">
        <x:v>Finance operating schedule</x:v>
      </x:c>
      <x:c r="L71" s="34" t="str">
        <x:v>2026-06-30</x:v>
      </x:c>
      <x:c r="M71" s="28" t="str"/>
    </x:row>
    <x:row r="72">
      <x:c r="A72" s="37" t="str">
        <x:v>PLN-030X36</x:v>
      </x:c>
      <x:c r="B72" s="28" t="str">
        <x:v>Construction gross-margin driver bridge</x:v>
      </x:c>
      <x:c r="C72" s="28" t="str">
        <x:v>Construction margin recovery action register</x:v>
      </x:c>
      <x:c r="D72" s="28" t="str">
        <x:v>Portfolio policy</x:v>
      </x:c>
      <x:c r="E72" s="28" t="str">
        <x:v>Management review</x:v>
      </x:c>
      <x:c r="F72" s="28" t="str">
        <x:v>Approved case</x:v>
      </x:c>
      <x:c r="G72" s="28" t="str">
        <x:v>Eligible statuses</x:v>
      </x:c>
      <x:c r="H72" s="31" t="str"/>
      <x:c r="I72" s="28" t="str">
        <x:v>Approved; Conditional</x:v>
      </x:c>
      <x:c r="J72" s="28" t="str">
        <x:v>classification</x:v>
      </x:c>
      <x:c r="K72" s="28" t="str">
        <x:v>Finance operating schedule</x:v>
      </x:c>
      <x:c r="L72" s="34" t="str">
        <x:v>2026-06-30</x:v>
      </x:c>
      <x:c r="M72" s="28" t="str"/>
    </x:row>
    <x:row r="73">
      <x:c r="A73" s="37" t="str">
        <x:v>PLN-030X47</x:v>
      </x:c>
      <x:c r="B73" s="28" t="str">
        <x:v>Construction gross-margin driver bridge</x:v>
      </x:c>
      <x:c r="C73" s="28" t="str">
        <x:v>Construction margin recovery action register scenario controls</x:v>
      </x:c>
      <x:c r="D73" s="28" t="str">
        <x:v>Steering base</x:v>
      </x:c>
      <x:c r="E73" s="28" t="str">
        <x:v>Management review</x:v>
      </x:c>
      <x:c r="F73" s="28" t="str">
        <x:v>Approved case</x:v>
      </x:c>
      <x:c r="G73" s="28" t="str">
        <x:v>Gross effect factor</x:v>
      </x:c>
      <x:c r="H73" s="31" t="n">
        <x:v>1</x:v>
      </x:c>
      <x:c r="I73" s="28" t="str"/>
      <x:c r="J73" s="28" t="str">
        <x:v>decimal ratio</x:v>
      </x:c>
      <x:c r="K73" s="28" t="str">
        <x:v>Finance operating schedule</x:v>
      </x:c>
      <x:c r="L73" s="34" t="str">
        <x:v>2026-06-30</x:v>
      </x:c>
      <x:c r="M73" s="28" t="str"/>
    </x:row>
    <x:row r="74">
      <x:c r="A74" s="37" t="str">
        <x:v>PLN-030X48</x:v>
      </x:c>
      <x:c r="B74" s="28" t="str">
        <x:v>Construction gross-margin driver bridge</x:v>
      </x:c>
      <x:c r="C74" s="28" t="str">
        <x:v>Construction margin recovery action register scenario controls</x:v>
      </x:c>
      <x:c r="D74" s="28" t="str">
        <x:v>Steering base</x:v>
      </x:c>
      <x:c r="E74" s="28" t="str">
        <x:v>Management review</x:v>
      </x:c>
      <x:c r="F74" s="28" t="str">
        <x:v>Approved case</x:v>
      </x:c>
      <x:c r="G74" s="28" t="str">
        <x:v>Probability factor</x:v>
      </x:c>
      <x:c r="H74" s="31" t="n">
        <x:v>1</x:v>
      </x:c>
      <x:c r="I74" s="28" t="str"/>
      <x:c r="J74" s="28" t="str">
        <x:v>decimal ratio</x:v>
      </x:c>
      <x:c r="K74" s="28" t="str">
        <x:v>Finance operating schedule</x:v>
      </x:c>
      <x:c r="L74" s="34" t="str">
        <x:v>2026-06-30</x:v>
      </x:c>
      <x:c r="M74" s="28" t="str"/>
    </x:row>
    <x:row r="75">
      <x:c r="A75" s="37" t="str">
        <x:v>PLN-030X49</x:v>
      </x:c>
      <x:c r="B75" s="28" t="str">
        <x:v>Construction gross-margin driver bridge</x:v>
      </x:c>
      <x:c r="C75" s="28" t="str">
        <x:v>Construction margin recovery action register scenario controls</x:v>
      </x:c>
      <x:c r="D75" s="28" t="str">
        <x:v>Steering base</x:v>
      </x:c>
      <x:c r="E75" s="28" t="str">
        <x:v>Management review</x:v>
      </x:c>
      <x:c r="F75" s="28" t="str">
        <x:v>Approved case</x:v>
      </x:c>
      <x:c r="G75" s="28" t="str">
        <x:v>Cash cost factor</x:v>
      </x:c>
      <x:c r="H75" s="31" t="n">
        <x:v>1</x:v>
      </x:c>
      <x:c r="I75" s="28" t="str"/>
      <x:c r="J75" s="28" t="str">
        <x:v>decimal ratio</x:v>
      </x:c>
      <x:c r="K75" s="28" t="str">
        <x:v>Finance operating schedule</x:v>
      </x:c>
      <x:c r="L75" s="34" t="str">
        <x:v>2026-06-30</x:v>
      </x:c>
      <x:c r="M75" s="28" t="str"/>
    </x:row>
    <x:row r="76">
      <x:c r="A76" s="37" t="str">
        <x:v>PLN-030X50</x:v>
      </x:c>
      <x:c r="B76" s="28" t="str">
        <x:v>Construction gross-margin driver bridge</x:v>
      </x:c>
      <x:c r="C76" s="28" t="str">
        <x:v>Construction margin recovery action register scenario controls</x:v>
      </x:c>
      <x:c r="D76" s="28" t="str">
        <x:v>Steering base</x:v>
      </x:c>
      <x:c r="E76" s="28" t="str">
        <x:v>Management review</x:v>
      </x:c>
      <x:c r="F76" s="28" t="str">
        <x:v>Approved case</x:v>
      </x:c>
      <x:c r="G76" s="28" t="str">
        <x:v>Capacity factor</x:v>
      </x:c>
      <x:c r="H76" s="31" t="n">
        <x:v>1</x:v>
      </x:c>
      <x:c r="I76" s="28" t="str"/>
      <x:c r="J76" s="28" t="str">
        <x:v>decimal ratio</x:v>
      </x:c>
      <x:c r="K76" s="28" t="str">
        <x:v>Finance operating schedule</x:v>
      </x:c>
      <x:c r="L76" s="34" t="str">
        <x:v>2026-06-30</x:v>
      </x:c>
      <x:c r="M76" s="28" t="str"/>
    </x:row>
    <x:row r="77">
      <x:c r="A77" s="37" t="str">
        <x:v>PLN-030X51</x:v>
      </x:c>
      <x:c r="B77" s="28" t="str">
        <x:v>Construction gross-margin driver bridge</x:v>
      </x:c>
      <x:c r="C77" s="28" t="str">
        <x:v>Construction margin recovery action register scenario controls</x:v>
      </x:c>
      <x:c r="D77" s="28" t="str">
        <x:v>Steering base</x:v>
      </x:c>
      <x:c r="E77" s="28" t="str">
        <x:v>Management review</x:v>
      </x:c>
      <x:c r="F77" s="28" t="str">
        <x:v>Approved case</x:v>
      </x:c>
      <x:c r="G77" s="28" t="str">
        <x:v>Cash budget factor</x:v>
      </x:c>
      <x:c r="H77" s="31" t="n">
        <x:v>1</x:v>
      </x:c>
      <x:c r="I77" s="28" t="str"/>
      <x:c r="J77" s="28" t="str">
        <x:v>decimal ratio</x:v>
      </x:c>
      <x:c r="K77" s="28" t="str">
        <x:v>Finance operating schedule</x:v>
      </x:c>
      <x:c r="L77" s="34" t="str">
        <x:v>2026-06-30</x:v>
      </x:c>
      <x:c r="M77" s="28" t="str"/>
    </x:row>
    <x:row r="78">
      <x:c r="A78" s="37" t="str">
        <x:v>PLN-030X52</x:v>
      </x:c>
      <x:c r="B78" s="28" t="str">
        <x:v>Construction gross-margin driver bridge</x:v>
      </x:c>
      <x:c r="C78" s="28" t="str">
        <x:v>Construction margin recovery action register scenario controls</x:v>
      </x:c>
      <x:c r="D78" s="28" t="str">
        <x:v>Steering base</x:v>
      </x:c>
      <x:c r="E78" s="28" t="str">
        <x:v>Management review</x:v>
      </x:c>
      <x:c r="F78" s="28" t="str">
        <x:v>Approved case</x:v>
      </x:c>
      <x:c r="G78" s="28" t="str">
        <x:v>Capacity limit factor</x:v>
      </x:c>
      <x:c r="H78" s="31" t="n">
        <x:v>1</x:v>
      </x:c>
      <x:c r="I78" s="28" t="str"/>
      <x:c r="J78" s="28" t="str">
        <x:v>decimal ratio</x:v>
      </x:c>
      <x:c r="K78" s="28" t="str">
        <x:v>Finance operating schedule</x:v>
      </x:c>
      <x:c r="L78" s="34" t="str">
        <x:v>2026-06-30</x:v>
      </x:c>
      <x:c r="M78" s="28" t="str"/>
    </x:row>
    <x:row r="79">
      <x:c r="A79" s="37" t="str">
        <x:v>PLN-030X53</x:v>
      </x:c>
      <x:c r="B79" s="28" t="str">
        <x:v>Construction gross-margin driver bridge</x:v>
      </x:c>
      <x:c r="C79" s="28" t="str">
        <x:v>Construction margin recovery action register scenario controls</x:v>
      </x:c>
      <x:c r="D79" s="28" t="str">
        <x:v>Steering base</x:v>
      </x:c>
      <x:c r="E79" s="28" t="str">
        <x:v>Management review</x:v>
      </x:c>
      <x:c r="F79" s="28" t="str">
        <x:v>Approved case</x:v>
      </x:c>
      <x:c r="G79" s="28" t="str">
        <x:v>Maximum actions</x:v>
      </x:c>
      <x:c r="H79" s="31" t="n">
        <x:v>3</x:v>
      </x:c>
      <x:c r="I79" s="28" t="str"/>
      <x:c r="J79" s="28" t="str">
        <x:v>count</x:v>
      </x:c>
      <x:c r="K79" s="28" t="str">
        <x:v>Finance operating schedule</x:v>
      </x:c>
      <x:c r="L79" s="34" t="str">
        <x:v>2026-06-30</x:v>
      </x:c>
      <x:c r="M79" s="28" t="str"/>
    </x:row>
    <x:row r="80">
      <x:c r="A80" s="37" t="str">
        <x:v>PLN-030X54</x:v>
      </x:c>
      <x:c r="B80" s="28" t="str">
        <x:v>Construction gross-margin driver bridge</x:v>
      </x:c>
      <x:c r="C80" s="28" t="str">
        <x:v>Construction margin recovery action register scenario controls</x:v>
      </x:c>
      <x:c r="D80" s="28" t="str">
        <x:v>Steering base</x:v>
      </x:c>
      <x:c r="E80" s="28" t="str">
        <x:v>Management review</x:v>
      </x:c>
      <x:c r="F80" s="28" t="str">
        <x:v>Approved case</x:v>
      </x:c>
      <x:c r="G80" s="28" t="str">
        <x:v>Conditional actions allowed</x:v>
      </x:c>
      <x:c r="H80" s="31" t="str"/>
      <x:c r="I80" s="28" t="str">
        <x:v>Yes</x:v>
      </x:c>
      <x:c r="J80" s="28" t="str">
        <x:v>classification</x:v>
      </x:c>
      <x:c r="K80" s="28" t="str">
        <x:v>Finance operating schedule</x:v>
      </x:c>
      <x:c r="L80" s="34" t="str">
        <x:v>2026-06-30</x:v>
      </x:c>
      <x:c r="M80" s="28" t="str"/>
    </x:row>
    <x:row r="81">
      <x:c r="A81" s="37" t="str">
        <x:v>PLN-030X55</x:v>
      </x:c>
      <x:c r="B81" s="28" t="str">
        <x:v>Construction gross-margin driver bridge</x:v>
      </x:c>
      <x:c r="C81" s="28" t="str">
        <x:v>Construction margin recovery action register scenario controls</x:v>
      </x:c>
      <x:c r="D81" s="28" t="str">
        <x:v>Labor disruption</x:v>
      </x:c>
      <x:c r="E81" s="28" t="str">
        <x:v>Management review</x:v>
      </x:c>
      <x:c r="F81" s="28" t="str">
        <x:v>Approved case</x:v>
      </x:c>
      <x:c r="G81" s="28" t="str">
        <x:v>Gross effect factor</x:v>
      </x:c>
      <x:c r="H81" s="31" t="n">
        <x:v>0.84</x:v>
      </x:c>
      <x:c r="I81" s="28" t="str"/>
      <x:c r="J81" s="28" t="str">
        <x:v>decimal ratio</x:v>
      </x:c>
      <x:c r="K81" s="28" t="str">
        <x:v>Finance operating schedule</x:v>
      </x:c>
      <x:c r="L81" s="34" t="str">
        <x:v>2026-06-30</x:v>
      </x:c>
      <x:c r="M81" s="28" t="str"/>
    </x:row>
    <x:row r="82">
      <x:c r="A82" s="37" t="str">
        <x:v>PLN-030X56</x:v>
      </x:c>
      <x:c r="B82" s="28" t="str">
        <x:v>Construction gross-margin driver bridge</x:v>
      </x:c>
      <x:c r="C82" s="28" t="str">
        <x:v>Construction margin recovery action register scenario controls</x:v>
      </x:c>
      <x:c r="D82" s="28" t="str">
        <x:v>Labor disruption</x:v>
      </x:c>
      <x:c r="E82" s="28" t="str">
        <x:v>Management review</x:v>
      </x:c>
      <x:c r="F82" s="28" t="str">
        <x:v>Approved case</x:v>
      </x:c>
      <x:c r="G82" s="28" t="str">
        <x:v>Probability factor</x:v>
      </x:c>
      <x:c r="H82" s="31" t="n">
        <x:v>0.8</x:v>
      </x:c>
      <x:c r="I82" s="28" t="str"/>
      <x:c r="J82" s="28" t="str">
        <x:v>decimal ratio</x:v>
      </x:c>
      <x:c r="K82" s="28" t="str">
        <x:v>Finance operating schedule</x:v>
      </x:c>
      <x:c r="L82" s="34" t="str">
        <x:v>2026-06-30</x:v>
      </x:c>
      <x:c r="M82" s="28" t="str"/>
    </x:row>
    <x:row r="83">
      <x:c r="A83" s="37" t="str">
        <x:v>PLN-030X57</x:v>
      </x:c>
      <x:c r="B83" s="28" t="str">
        <x:v>Construction gross-margin driver bridge</x:v>
      </x:c>
      <x:c r="C83" s="28" t="str">
        <x:v>Construction margin recovery action register scenario controls</x:v>
      </x:c>
      <x:c r="D83" s="28" t="str">
        <x:v>Labor disruption</x:v>
      </x:c>
      <x:c r="E83" s="28" t="str">
        <x:v>Management review</x:v>
      </x:c>
      <x:c r="F83" s="28" t="str">
        <x:v>Approved case</x:v>
      </x:c>
      <x:c r="G83" s="28" t="str">
        <x:v>Cash cost factor</x:v>
      </x:c>
      <x:c r="H83" s="31" t="n">
        <x:v>1.08</x:v>
      </x:c>
      <x:c r="I83" s="28" t="str"/>
      <x:c r="J83" s="28" t="str">
        <x:v>decimal ratio</x:v>
      </x:c>
      <x:c r="K83" s="28" t="str">
        <x:v>Finance operating schedule</x:v>
      </x:c>
      <x:c r="L83" s="34" t="str">
        <x:v>2026-06-30</x:v>
      </x:c>
      <x:c r="M83" s="28" t="str"/>
    </x:row>
    <x:row r="84">
      <x:c r="A84" s="37" t="str">
        <x:v>PLN-030X58</x:v>
      </x:c>
      <x:c r="B84" s="28" t="str">
        <x:v>Construction gross-margin driver bridge</x:v>
      </x:c>
      <x:c r="C84" s="28" t="str">
        <x:v>Construction margin recovery action register scenario controls</x:v>
      </x:c>
      <x:c r="D84" s="28" t="str">
        <x:v>Labor disruption</x:v>
      </x:c>
      <x:c r="E84" s="28" t="str">
        <x:v>Management review</x:v>
      </x:c>
      <x:c r="F84" s="28" t="str">
        <x:v>Approved case</x:v>
      </x:c>
      <x:c r="G84" s="28" t="str">
        <x:v>Capacity factor</x:v>
      </x:c>
      <x:c r="H84" s="31" t="n">
        <x:v>1.16</x:v>
      </x:c>
      <x:c r="I84" s="28" t="str"/>
      <x:c r="J84" s="28" t="str">
        <x:v>decimal ratio</x:v>
      </x:c>
      <x:c r="K84" s="28" t="str">
        <x:v>Finance operating schedule</x:v>
      </x:c>
      <x:c r="L84" s="34" t="str">
        <x:v>2026-06-30</x:v>
      </x:c>
      <x:c r="M84" s="28" t="str"/>
    </x:row>
    <x:row r="85">
      <x:c r="A85" s="37" t="str">
        <x:v>PLN-030X59</x:v>
      </x:c>
      <x:c r="B85" s="28" t="str">
        <x:v>Construction gross-margin driver bridge</x:v>
      </x:c>
      <x:c r="C85" s="28" t="str">
        <x:v>Construction margin recovery action register scenario controls</x:v>
      </x:c>
      <x:c r="D85" s="28" t="str">
        <x:v>Labor disruption</x:v>
      </x:c>
      <x:c r="E85" s="28" t="str">
        <x:v>Management review</x:v>
      </x:c>
      <x:c r="F85" s="28" t="str">
        <x:v>Approved case</x:v>
      </x:c>
      <x:c r="G85" s="28" t="str">
        <x:v>Cash budget factor</x:v>
      </x:c>
      <x:c r="H85" s="31" t="n">
        <x:v>0.94</x:v>
      </x:c>
      <x:c r="I85" s="28" t="str"/>
      <x:c r="J85" s="28" t="str">
        <x:v>decimal ratio</x:v>
      </x:c>
      <x:c r="K85" s="28" t="str">
        <x:v>Finance operating schedule</x:v>
      </x:c>
      <x:c r="L85" s="34" t="str">
        <x:v>2026-06-30</x:v>
      </x:c>
      <x:c r="M85" s="28" t="str"/>
    </x:row>
    <x:row r="86">
      <x:c r="A86" s="37" t="str">
        <x:v>PLN-030X60</x:v>
      </x:c>
      <x:c r="B86" s="28" t="str">
        <x:v>Construction gross-margin driver bridge</x:v>
      </x:c>
      <x:c r="C86" s="28" t="str">
        <x:v>Construction margin recovery action register scenario controls</x:v>
      </x:c>
      <x:c r="D86" s="28" t="str">
        <x:v>Labor disruption</x:v>
      </x:c>
      <x:c r="E86" s="28" t="str">
        <x:v>Management review</x:v>
      </x:c>
      <x:c r="F86" s="28" t="str">
        <x:v>Approved case</x:v>
      </x:c>
      <x:c r="G86" s="28" t="str">
        <x:v>Capacity limit factor</x:v>
      </x:c>
      <x:c r="H86" s="31" t="n">
        <x:v>0.82</x:v>
      </x:c>
      <x:c r="I86" s="28" t="str"/>
      <x:c r="J86" s="28" t="str">
        <x:v>decimal ratio</x:v>
      </x:c>
      <x:c r="K86" s="28" t="str">
        <x:v>Finance operating schedule</x:v>
      </x:c>
      <x:c r="L86" s="34" t="str">
        <x:v>2026-06-30</x:v>
      </x:c>
      <x:c r="M86" s="28" t="str"/>
    </x:row>
    <x:row r="87">
      <x:c r="A87" s="37" t="str">
        <x:v>PLN-030X61</x:v>
      </x:c>
      <x:c r="B87" s="28" t="str">
        <x:v>Construction gross-margin driver bridge</x:v>
      </x:c>
      <x:c r="C87" s="28" t="str">
        <x:v>Construction margin recovery action register scenario controls</x:v>
      </x:c>
      <x:c r="D87" s="28" t="str">
        <x:v>Labor disruption</x:v>
      </x:c>
      <x:c r="E87" s="28" t="str">
        <x:v>Management review</x:v>
      </x:c>
      <x:c r="F87" s="28" t="str">
        <x:v>Approved case</x:v>
      </x:c>
      <x:c r="G87" s="28" t="str">
        <x:v>Maximum actions</x:v>
      </x:c>
      <x:c r="H87" s="31" t="n">
        <x:v>3</x:v>
      </x:c>
      <x:c r="I87" s="28" t="str"/>
      <x:c r="J87" s="28" t="str">
        <x:v>count</x:v>
      </x:c>
      <x:c r="K87" s="28" t="str">
        <x:v>Finance operating schedule</x:v>
      </x:c>
      <x:c r="L87" s="34" t="str">
        <x:v>2026-06-30</x:v>
      </x:c>
      <x:c r="M87" s="28" t="str"/>
    </x:row>
    <x:row r="88">
      <x:c r="A88" s="37" t="str">
        <x:v>PLN-030X62</x:v>
      </x:c>
      <x:c r="B88" s="28" t="str">
        <x:v>Construction gross-margin driver bridge</x:v>
      </x:c>
      <x:c r="C88" s="28" t="str">
        <x:v>Construction margin recovery action register scenario controls</x:v>
      </x:c>
      <x:c r="D88" s="28" t="str">
        <x:v>Labor disruption</x:v>
      </x:c>
      <x:c r="E88" s="28" t="str">
        <x:v>Management review</x:v>
      </x:c>
      <x:c r="F88" s="28" t="str">
        <x:v>Approved case</x:v>
      </x:c>
      <x:c r="G88" s="28" t="str">
        <x:v>Conditional actions allowed</x:v>
      </x:c>
      <x:c r="H88" s="31" t="str"/>
      <x:c r="I88" s="28" t="str">
        <x:v>Yes</x:v>
      </x:c>
      <x:c r="J88" s="28" t="str">
        <x:v>classification</x:v>
      </x:c>
      <x:c r="K88" s="28" t="str">
        <x:v>Finance operating schedule</x:v>
      </x:c>
      <x:c r="L88" s="34" t="str">
        <x:v>2026-06-30</x:v>
      </x:c>
      <x:c r="M88" s="28" t="str"/>
    </x:row>
    <x:row r="89">
      <x:c r="A89" s="37" t="str">
        <x:v>PLN-030X63</x:v>
      </x:c>
      <x:c r="B89" s="28" t="str">
        <x:v>Construction gross-margin driver bridge</x:v>
      </x:c>
      <x:c r="C89" s="28" t="str">
        <x:v>Construction margin recovery action register scenario controls</x:v>
      </x:c>
      <x:c r="D89" s="28" t="str">
        <x:v>Buyout and material squeeze</x:v>
      </x:c>
      <x:c r="E89" s="28" t="str">
        <x:v>Management review</x:v>
      </x:c>
      <x:c r="F89" s="28" t="str">
        <x:v>Approved case</x:v>
      </x:c>
      <x:c r="G89" s="28" t="str">
        <x:v>Gross effect factor</x:v>
      </x:c>
      <x:c r="H89" s="31" t="n">
        <x:v>0.9</x:v>
      </x:c>
      <x:c r="I89" s="28" t="str"/>
      <x:c r="J89" s="28" t="str">
        <x:v>decimal ratio</x:v>
      </x:c>
      <x:c r="K89" s="28" t="str">
        <x:v>Finance operating schedule</x:v>
      </x:c>
      <x:c r="L89" s="34" t="str">
        <x:v>2026-06-30</x:v>
      </x:c>
      <x:c r="M89" s="28" t="str"/>
    </x:row>
    <x:row r="90">
      <x:c r="A90" s="37" t="str">
        <x:v>PLN-030X64</x:v>
      </x:c>
      <x:c r="B90" s="28" t="str">
        <x:v>Construction gross-margin driver bridge</x:v>
      </x:c>
      <x:c r="C90" s="28" t="str">
        <x:v>Construction margin recovery action register scenario controls</x:v>
      </x:c>
      <x:c r="D90" s="28" t="str">
        <x:v>Buyout and material squeeze</x:v>
      </x:c>
      <x:c r="E90" s="28" t="str">
        <x:v>Management review</x:v>
      </x:c>
      <x:c r="F90" s="28" t="str">
        <x:v>Approved case</x:v>
      </x:c>
      <x:c r="G90" s="28" t="str">
        <x:v>Probability factor</x:v>
      </x:c>
      <x:c r="H90" s="31" t="n">
        <x:v>0.86</x:v>
      </x:c>
      <x:c r="I90" s="28" t="str"/>
      <x:c r="J90" s="28" t="str">
        <x:v>decimal ratio</x:v>
      </x:c>
      <x:c r="K90" s="28" t="str">
        <x:v>Finance operating schedule</x:v>
      </x:c>
      <x:c r="L90" s="34" t="str">
        <x:v>2026-06-30</x:v>
      </x:c>
      <x:c r="M90" s="28" t="str"/>
    </x:row>
    <x:row r="91">
      <x:c r="A91" s="37" t="str">
        <x:v>PLN-030X65</x:v>
      </x:c>
      <x:c r="B91" s="28" t="str">
        <x:v>Construction gross-margin driver bridge</x:v>
      </x:c>
      <x:c r="C91" s="28" t="str">
        <x:v>Construction margin recovery action register scenario controls</x:v>
      </x:c>
      <x:c r="D91" s="28" t="str">
        <x:v>Buyout and material squeeze</x:v>
      </x:c>
      <x:c r="E91" s="28" t="str">
        <x:v>Management review</x:v>
      </x:c>
      <x:c r="F91" s="28" t="str">
        <x:v>Approved case</x:v>
      </x:c>
      <x:c r="G91" s="28" t="str">
        <x:v>Cash cost factor</x:v>
      </x:c>
      <x:c r="H91" s="31" t="n">
        <x:v>1.14</x:v>
      </x:c>
      <x:c r="I91" s="28" t="str"/>
      <x:c r="J91" s="28" t="str">
        <x:v>decimal ratio</x:v>
      </x:c>
      <x:c r="K91" s="28" t="str">
        <x:v>Finance operating schedule</x:v>
      </x:c>
      <x:c r="L91" s="34" t="str">
        <x:v>2026-06-30</x:v>
      </x:c>
      <x:c r="M91" s="28" t="str"/>
    </x:row>
    <x:row r="92">
      <x:c r="A92" s="37" t="str">
        <x:v>PLN-030X66</x:v>
      </x:c>
      <x:c r="B92" s="28" t="str">
        <x:v>Construction gross-margin driver bridge</x:v>
      </x:c>
      <x:c r="C92" s="28" t="str">
        <x:v>Construction margin recovery action register scenario controls</x:v>
      </x:c>
      <x:c r="D92" s="28" t="str">
        <x:v>Buyout and material squeeze</x:v>
      </x:c>
      <x:c r="E92" s="28" t="str">
        <x:v>Management review</x:v>
      </x:c>
      <x:c r="F92" s="28" t="str">
        <x:v>Approved case</x:v>
      </x:c>
      <x:c r="G92" s="28" t="str">
        <x:v>Capacity factor</x:v>
      </x:c>
      <x:c r="H92" s="31" t="n">
        <x:v>1.08</x:v>
      </x:c>
      <x:c r="I92" s="28" t="str"/>
      <x:c r="J92" s="28" t="str">
        <x:v>decimal ratio</x:v>
      </x:c>
      <x:c r="K92" s="28" t="str">
        <x:v>Finance operating schedule</x:v>
      </x:c>
      <x:c r="L92" s="34" t="str">
        <x:v>2026-06-30</x:v>
      </x:c>
      <x:c r="M92" s="28" t="str"/>
    </x:row>
    <x:row r="93">
      <x:c r="A93" s="37" t="str">
        <x:v>PLN-030X67</x:v>
      </x:c>
      <x:c r="B93" s="28" t="str">
        <x:v>Construction gross-margin driver bridge</x:v>
      </x:c>
      <x:c r="C93" s="28" t="str">
        <x:v>Construction margin recovery action register scenario controls</x:v>
      </x:c>
      <x:c r="D93" s="28" t="str">
        <x:v>Buyout and material squeeze</x:v>
      </x:c>
      <x:c r="E93" s="28" t="str">
        <x:v>Management review</x:v>
      </x:c>
      <x:c r="F93" s="28" t="str">
        <x:v>Approved case</x:v>
      </x:c>
      <x:c r="G93" s="28" t="str">
        <x:v>Cash budget factor</x:v>
      </x:c>
      <x:c r="H93" s="31" t="n">
        <x:v>0.84</x:v>
      </x:c>
      <x:c r="I93" s="28" t="str"/>
      <x:c r="J93" s="28" t="str">
        <x:v>decimal ratio</x:v>
      </x:c>
      <x:c r="K93" s="28" t="str">
        <x:v>Finance operating schedule</x:v>
      </x:c>
      <x:c r="L93" s="34" t="str">
        <x:v>2026-06-30</x:v>
      </x:c>
      <x:c r="M93" s="28" t="str"/>
    </x:row>
    <x:row r="94">
      <x:c r="A94" s="37" t="str">
        <x:v>PLN-030X68</x:v>
      </x:c>
      <x:c r="B94" s="28" t="str">
        <x:v>Construction gross-margin driver bridge</x:v>
      </x:c>
      <x:c r="C94" s="28" t="str">
        <x:v>Construction margin recovery action register scenario controls</x:v>
      </x:c>
      <x:c r="D94" s="28" t="str">
        <x:v>Buyout and material squeeze</x:v>
      </x:c>
      <x:c r="E94" s="28" t="str">
        <x:v>Management review</x:v>
      </x:c>
      <x:c r="F94" s="28" t="str">
        <x:v>Approved case</x:v>
      </x:c>
      <x:c r="G94" s="28" t="str">
        <x:v>Capacity limit factor</x:v>
      </x:c>
      <x:c r="H94" s="31" t="n">
        <x:v>0.88</x:v>
      </x:c>
      <x:c r="I94" s="28" t="str"/>
      <x:c r="J94" s="28" t="str">
        <x:v>decimal ratio</x:v>
      </x:c>
      <x:c r="K94" s="28" t="str">
        <x:v>Finance operating schedule</x:v>
      </x:c>
      <x:c r="L94" s="34" t="str">
        <x:v>2026-06-30</x:v>
      </x:c>
      <x:c r="M94" s="28" t="str"/>
    </x:row>
    <x:row r="95">
      <x:c r="A95" s="37" t="str">
        <x:v>PLN-030X69</x:v>
      </x:c>
      <x:c r="B95" s="28" t="str">
        <x:v>Construction gross-margin driver bridge</x:v>
      </x:c>
      <x:c r="C95" s="28" t="str">
        <x:v>Construction margin recovery action register scenario controls</x:v>
      </x:c>
      <x:c r="D95" s="28" t="str">
        <x:v>Buyout and material squeeze</x:v>
      </x:c>
      <x:c r="E95" s="28" t="str">
        <x:v>Management review</x:v>
      </x:c>
      <x:c r="F95" s="28" t="str">
        <x:v>Approved case</x:v>
      </x:c>
      <x:c r="G95" s="28" t="str">
        <x:v>Maximum actions</x:v>
      </x:c>
      <x:c r="H95" s="31" t="n">
        <x:v>2</x:v>
      </x:c>
      <x:c r="I95" s="28" t="str"/>
      <x:c r="J95" s="28" t="str">
        <x:v>count</x:v>
      </x:c>
      <x:c r="K95" s="28" t="str">
        <x:v>Finance operating schedule</x:v>
      </x:c>
      <x:c r="L95" s="34" t="str">
        <x:v>2026-06-30</x:v>
      </x:c>
      <x:c r="M95" s="28" t="str"/>
    </x:row>
    <x:row r="96">
      <x:c r="A96" s="37" t="str">
        <x:v>PLN-030X70</x:v>
      </x:c>
      <x:c r="B96" s="28" t="str">
        <x:v>Construction gross-margin driver bridge</x:v>
      </x:c>
      <x:c r="C96" s="28" t="str">
        <x:v>Construction margin recovery action register scenario controls</x:v>
      </x:c>
      <x:c r="D96" s="28" t="str">
        <x:v>Buyout and material squeeze</x:v>
      </x:c>
      <x:c r="E96" s="28" t="str">
        <x:v>Management review</x:v>
      </x:c>
      <x:c r="F96" s="28" t="str">
        <x:v>Approved case</x:v>
      </x:c>
      <x:c r="G96" s="28" t="str">
        <x:v>Conditional actions allowed</x:v>
      </x:c>
      <x:c r="H96" s="31" t="str"/>
      <x:c r="I96" s="28" t="str">
        <x:v>No</x:v>
      </x:c>
      <x:c r="J96" s="28" t="str">
        <x:v>classification</x:v>
      </x:c>
      <x:c r="K96" s="28" t="str">
        <x:v>Finance operating schedule</x:v>
      </x:c>
      <x:c r="L96" s="34" t="str">
        <x:v>2026-06-30</x:v>
      </x:c>
      <x:c r="M96" s="28" t="str"/>
    </x:row>
    <x:row r="97">
      <x:c r="A97" s="37" t="str">
        <x:v>PLN-030X71</x:v>
      </x:c>
      <x:c r="B97" s="28" t="str">
        <x:v>Construction gross-margin driver bridge</x:v>
      </x:c>
      <x:c r="C97" s="28" t="str">
        <x:v>Construction margin recovery action register scenario controls</x:v>
      </x:c>
      <x:c r="D97" s="28" t="str">
        <x:v>Backlog mix erosion</x:v>
      </x:c>
      <x:c r="E97" s="28" t="str">
        <x:v>Management review</x:v>
      </x:c>
      <x:c r="F97" s="28" t="str">
        <x:v>Approved case</x:v>
      </x:c>
      <x:c r="G97" s="28" t="str">
        <x:v>Gross effect factor</x:v>
      </x:c>
      <x:c r="H97" s="31" t="n">
        <x:v>0.76</x:v>
      </x:c>
      <x:c r="I97" s="28" t="str"/>
      <x:c r="J97" s="28" t="str">
        <x:v>decimal ratio</x:v>
      </x:c>
      <x:c r="K97" s="28" t="str">
        <x:v>Finance operating schedule</x:v>
      </x:c>
      <x:c r="L97" s="34" t="str">
        <x:v>2026-06-30</x:v>
      </x:c>
      <x:c r="M97" s="28" t="str"/>
    </x:row>
    <x:row r="98">
      <x:c r="A98" s="37" t="str">
        <x:v>PLN-030X72</x:v>
      </x:c>
      <x:c r="B98" s="28" t="str">
        <x:v>Construction gross-margin driver bridge</x:v>
      </x:c>
      <x:c r="C98" s="28" t="str">
        <x:v>Construction margin recovery action register scenario controls</x:v>
      </x:c>
      <x:c r="D98" s="28" t="str">
        <x:v>Backlog mix erosion</x:v>
      </x:c>
      <x:c r="E98" s="28" t="str">
        <x:v>Management review</x:v>
      </x:c>
      <x:c r="F98" s="28" t="str">
        <x:v>Approved case</x:v>
      </x:c>
      <x:c r="G98" s="28" t="str">
        <x:v>Probability factor</x:v>
      </x:c>
      <x:c r="H98" s="31" t="n">
        <x:v>0.84</x:v>
      </x:c>
      <x:c r="I98" s="28" t="str"/>
      <x:c r="J98" s="28" t="str">
        <x:v>decimal ratio</x:v>
      </x:c>
      <x:c r="K98" s="28" t="str">
        <x:v>Finance operating schedule</x:v>
      </x:c>
      <x:c r="L98" s="34" t="str">
        <x:v>2026-06-30</x:v>
      </x:c>
      <x:c r="M98" s="28" t="str"/>
    </x:row>
    <x:row r="99">
      <x:c r="A99" s="37" t="str">
        <x:v>PLN-030X73</x:v>
      </x:c>
      <x:c r="B99" s="28" t="str">
        <x:v>Construction gross-margin driver bridge</x:v>
      </x:c>
      <x:c r="C99" s="28" t="str">
        <x:v>Construction margin recovery action register scenario controls</x:v>
      </x:c>
      <x:c r="D99" s="28" t="str">
        <x:v>Backlog mix erosion</x:v>
      </x:c>
      <x:c r="E99" s="28" t="str">
        <x:v>Management review</x:v>
      </x:c>
      <x:c r="F99" s="28" t="str">
        <x:v>Approved case</x:v>
      </x:c>
      <x:c r="G99" s="28" t="str">
        <x:v>Cash cost factor</x:v>
      </x:c>
      <x:c r="H99" s="31" t="n">
        <x:v>1.1</x:v>
      </x:c>
      <x:c r="I99" s="28" t="str"/>
      <x:c r="J99" s="28" t="str">
        <x:v>decimal ratio</x:v>
      </x:c>
      <x:c r="K99" s="28" t="str">
        <x:v>Finance operating schedule</x:v>
      </x:c>
      <x:c r="L99" s="34" t="str">
        <x:v>2026-06-30</x:v>
      </x:c>
      <x:c r="M99" s="28" t="str"/>
    </x:row>
    <x:row r="100">
      <x:c r="A100" s="37" t="str">
        <x:v>PLN-030X74</x:v>
      </x:c>
      <x:c r="B100" s="28" t="str">
        <x:v>Construction gross-margin driver bridge</x:v>
      </x:c>
      <x:c r="C100" s="28" t="str">
        <x:v>Construction margin recovery action register scenario controls</x:v>
      </x:c>
      <x:c r="D100" s="28" t="str">
        <x:v>Backlog mix erosion</x:v>
      </x:c>
      <x:c r="E100" s="28" t="str">
        <x:v>Management review</x:v>
      </x:c>
      <x:c r="F100" s="28" t="str">
        <x:v>Approved case</x:v>
      </x:c>
      <x:c r="G100" s="28" t="str">
        <x:v>Capacity factor</x:v>
      </x:c>
      <x:c r="H100" s="31" t="n">
        <x:v>1.05</x:v>
      </x:c>
      <x:c r="I100" s="28" t="str"/>
      <x:c r="J100" s="28" t="str">
        <x:v>decimal ratio</x:v>
      </x:c>
      <x:c r="K100" s="28" t="str">
        <x:v>Finance operating schedule</x:v>
      </x:c>
      <x:c r="L100" s="34" t="str">
        <x:v>2026-06-30</x:v>
      </x:c>
      <x:c r="M100" s="28" t="str"/>
    </x:row>
    <x:row r="101">
      <x:c r="A101" s="37" t="str">
        <x:v>PLN-030X75</x:v>
      </x:c>
      <x:c r="B101" s="28" t="str">
        <x:v>Construction gross-margin driver bridge</x:v>
      </x:c>
      <x:c r="C101" s="28" t="str">
        <x:v>Construction margin recovery action register scenario controls</x:v>
      </x:c>
      <x:c r="D101" s="28" t="str">
        <x:v>Backlog mix erosion</x:v>
      </x:c>
      <x:c r="E101" s="28" t="str">
        <x:v>Management review</x:v>
      </x:c>
      <x:c r="F101" s="28" t="str">
        <x:v>Approved case</x:v>
      </x:c>
      <x:c r="G101" s="28" t="str">
        <x:v>Cash budget factor</x:v>
      </x:c>
      <x:c r="H101" s="31" t="n">
        <x:v>0.82</x:v>
      </x:c>
      <x:c r="I101" s="28" t="str"/>
      <x:c r="J101" s="28" t="str">
        <x:v>decimal ratio</x:v>
      </x:c>
      <x:c r="K101" s="28" t="str">
        <x:v>Finance operating schedule</x:v>
      </x:c>
      <x:c r="L101" s="34" t="str">
        <x:v>2026-06-30</x:v>
      </x:c>
      <x:c r="M101" s="28" t="str"/>
    </x:row>
    <x:row r="102">
      <x:c r="A102" s="37" t="str">
        <x:v>PLN-030X76</x:v>
      </x:c>
      <x:c r="B102" s="28" t="str">
        <x:v>Construction gross-margin driver bridge</x:v>
      </x:c>
      <x:c r="C102" s="28" t="str">
        <x:v>Construction margin recovery action register scenario controls</x:v>
      </x:c>
      <x:c r="D102" s="28" t="str">
        <x:v>Backlog mix erosion</x:v>
      </x:c>
      <x:c r="E102" s="28" t="str">
        <x:v>Management review</x:v>
      </x:c>
      <x:c r="F102" s="28" t="str">
        <x:v>Approved case</x:v>
      </x:c>
      <x:c r="G102" s="28" t="str">
        <x:v>Capacity limit factor</x:v>
      </x:c>
      <x:c r="H102" s="31" t="n">
        <x:v>0.9</x:v>
      </x:c>
      <x:c r="I102" s="28" t="str"/>
      <x:c r="J102" s="28" t="str">
        <x:v>decimal ratio</x:v>
      </x:c>
      <x:c r="K102" s="28" t="str">
        <x:v>Finance operating schedule</x:v>
      </x:c>
      <x:c r="L102" s="34" t="str">
        <x:v>2026-06-30</x:v>
      </x:c>
      <x:c r="M102" s="28" t="str"/>
    </x:row>
    <x:row r="103">
      <x:c r="A103" s="37" t="str">
        <x:v>PLN-030X77</x:v>
      </x:c>
      <x:c r="B103" s="28" t="str">
        <x:v>Construction gross-margin driver bridge</x:v>
      </x:c>
      <x:c r="C103" s="28" t="str">
        <x:v>Construction margin recovery action register scenario controls</x:v>
      </x:c>
      <x:c r="D103" s="28" t="str">
        <x:v>Backlog mix erosion</x:v>
      </x:c>
      <x:c r="E103" s="28" t="str">
        <x:v>Management review</x:v>
      </x:c>
      <x:c r="F103" s="28" t="str">
        <x:v>Approved case</x:v>
      </x:c>
      <x:c r="G103" s="28" t="str">
        <x:v>Maximum actions</x:v>
      </x:c>
      <x:c r="H103" s="31" t="n">
        <x:v>2</x:v>
      </x:c>
      <x:c r="I103" s="28" t="str"/>
      <x:c r="J103" s="28" t="str">
        <x:v>count</x:v>
      </x:c>
      <x:c r="K103" s="28" t="str">
        <x:v>Finance operating schedule</x:v>
      </x:c>
      <x:c r="L103" s="34" t="str">
        <x:v>2026-06-30</x:v>
      </x:c>
      <x:c r="M103" s="28" t="str"/>
    </x:row>
    <x:row r="104">
      <x:c r="A104" s="37" t="str">
        <x:v>PLN-030X78</x:v>
      </x:c>
      <x:c r="B104" s="28" t="str">
        <x:v>Construction gross-margin driver bridge</x:v>
      </x:c>
      <x:c r="C104" s="28" t="str">
        <x:v>Construction margin recovery action register scenario controls</x:v>
      </x:c>
      <x:c r="D104" s="28" t="str">
        <x:v>Backlog mix erosion</x:v>
      </x:c>
      <x:c r="E104" s="28" t="str">
        <x:v>Management review</x:v>
      </x:c>
      <x:c r="F104" s="28" t="str">
        <x:v>Approved case</x:v>
      </x:c>
      <x:c r="G104" s="28" t="str">
        <x:v>Conditional actions allowed</x:v>
      </x:c>
      <x:c r="H104" s="31" t="str"/>
      <x:c r="I104" s="28" t="str">
        <x:v>No</x:v>
      </x:c>
      <x:c r="J104" s="28" t="str">
        <x:v>classification</x:v>
      </x:c>
      <x:c r="K104" s="28" t="str">
        <x:v>Finance operating schedule</x:v>
      </x:c>
      <x:c r="L104" s="34" t="str">
        <x:v>2026-06-30</x:v>
      </x:c>
      <x:c r="M104" s="28" t="str"/>
    </x:row>
    <x:row r="105">
      <x:c r="A105" s="37" t="str">
        <x:v>PLN-030X79</x:v>
      </x:c>
      <x:c r="B105" s="28" t="str">
        <x:v>Construction gross-margin driver bridge</x:v>
      </x:c>
      <x:c r="C105" s="28" t="str">
        <x:v>Construction margin recovery action register scenario controls</x:v>
      </x:c>
      <x:c r="D105" s="28" t="str">
        <x:v>Subcontractor default</x:v>
      </x:c>
      <x:c r="E105" s="28" t="str">
        <x:v>Management review</x:v>
      </x:c>
      <x:c r="F105" s="28" t="str">
        <x:v>Approved case</x:v>
      </x:c>
      <x:c r="G105" s="28" t="str">
        <x:v>Gross effect factor</x:v>
      </x:c>
      <x:c r="H105" s="31" t="n">
        <x:v>0.6</x:v>
      </x:c>
      <x:c r="I105" s="28" t="str"/>
      <x:c r="J105" s="28" t="str">
        <x:v>decimal ratio</x:v>
      </x:c>
      <x:c r="K105" s="28" t="str">
        <x:v>Finance operating schedule</x:v>
      </x:c>
      <x:c r="L105" s="34" t="str">
        <x:v>2026-06-30</x:v>
      </x:c>
      <x:c r="M105" s="28" t="str"/>
    </x:row>
    <x:row r="106">
      <x:c r="A106" s="37" t="str">
        <x:v>PLN-030X80</x:v>
      </x:c>
      <x:c r="B106" s="28" t="str">
        <x:v>Construction gross-margin driver bridge</x:v>
      </x:c>
      <x:c r="C106" s="28" t="str">
        <x:v>Construction margin recovery action register scenario controls</x:v>
      </x:c>
      <x:c r="D106" s="28" t="str">
        <x:v>Subcontractor default</x:v>
      </x:c>
      <x:c r="E106" s="28" t="str">
        <x:v>Management review</x:v>
      </x:c>
      <x:c r="F106" s="28" t="str">
        <x:v>Approved case</x:v>
      </x:c>
      <x:c r="G106" s="28" t="str">
        <x:v>Probability factor</x:v>
      </x:c>
      <x:c r="H106" s="31" t="n">
        <x:v>0.66</x:v>
      </x:c>
      <x:c r="I106" s="28" t="str"/>
      <x:c r="J106" s="28" t="str">
        <x:v>decimal ratio</x:v>
      </x:c>
      <x:c r="K106" s="28" t="str">
        <x:v>Finance operating schedule</x:v>
      </x:c>
      <x:c r="L106" s="34" t="str">
        <x:v>2026-06-30</x:v>
      </x:c>
      <x:c r="M106" s="28" t="str"/>
    </x:row>
    <x:row r="107">
      <x:c r="A107" s="37" t="str">
        <x:v>PLN-030X81</x:v>
      </x:c>
      <x:c r="B107" s="28" t="str">
        <x:v>Construction gross-margin driver bridge</x:v>
      </x:c>
      <x:c r="C107" s="28" t="str">
        <x:v>Construction margin recovery action register scenario controls</x:v>
      </x:c>
      <x:c r="D107" s="28" t="str">
        <x:v>Subcontractor default</x:v>
      </x:c>
      <x:c r="E107" s="28" t="str">
        <x:v>Management review</x:v>
      </x:c>
      <x:c r="F107" s="28" t="str">
        <x:v>Approved case</x:v>
      </x:c>
      <x:c r="G107" s="28" t="str">
        <x:v>Cash cost factor</x:v>
      </x:c>
      <x:c r="H107" s="31" t="n">
        <x:v>1.22</x:v>
      </x:c>
      <x:c r="I107" s="28" t="str"/>
      <x:c r="J107" s="28" t="str">
        <x:v>decimal ratio</x:v>
      </x:c>
      <x:c r="K107" s="28" t="str">
        <x:v>Finance operating schedule</x:v>
      </x:c>
      <x:c r="L107" s="34" t="str">
        <x:v>2026-06-30</x:v>
      </x:c>
      <x:c r="M107" s="28" t="str"/>
    </x:row>
    <x:row r="108">
      <x:c r="A108" s="37" t="str">
        <x:v>PLN-030X82</x:v>
      </x:c>
      <x:c r="B108" s="28" t="str">
        <x:v>Construction gross-margin driver bridge</x:v>
      </x:c>
      <x:c r="C108" s="28" t="str">
        <x:v>Construction margin recovery action register scenario controls</x:v>
      </x:c>
      <x:c r="D108" s="28" t="str">
        <x:v>Subcontractor default</x:v>
      </x:c>
      <x:c r="E108" s="28" t="str">
        <x:v>Management review</x:v>
      </x:c>
      <x:c r="F108" s="28" t="str">
        <x:v>Approved case</x:v>
      </x:c>
      <x:c r="G108" s="28" t="str">
        <x:v>Capacity factor</x:v>
      </x:c>
      <x:c r="H108" s="31" t="n">
        <x:v>1.28</x:v>
      </x:c>
      <x:c r="I108" s="28" t="str"/>
      <x:c r="J108" s="28" t="str">
        <x:v>decimal ratio</x:v>
      </x:c>
      <x:c r="K108" s="28" t="str">
        <x:v>Finance operating schedule</x:v>
      </x:c>
      <x:c r="L108" s="34" t="str">
        <x:v>2026-06-30</x:v>
      </x:c>
      <x:c r="M108" s="28" t="str"/>
    </x:row>
    <x:row r="109">
      <x:c r="A109" s="37" t="str">
        <x:v>PLN-030X83</x:v>
      </x:c>
      <x:c r="B109" s="28" t="str">
        <x:v>Construction gross-margin driver bridge</x:v>
      </x:c>
      <x:c r="C109" s="28" t="str">
        <x:v>Construction margin recovery action register scenario controls</x:v>
      </x:c>
      <x:c r="D109" s="28" t="str">
        <x:v>Subcontractor default</x:v>
      </x:c>
      <x:c r="E109" s="28" t="str">
        <x:v>Management review</x:v>
      </x:c>
      <x:c r="F109" s="28" t="str">
        <x:v>Approved case</x:v>
      </x:c>
      <x:c r="G109" s="28" t="str">
        <x:v>Cash budget factor</x:v>
      </x:c>
      <x:c r="H109" s="31" t="n">
        <x:v>0.7</x:v>
      </x:c>
      <x:c r="I109" s="28" t="str"/>
      <x:c r="J109" s="28" t="str">
        <x:v>decimal ratio</x:v>
      </x:c>
      <x:c r="K109" s="28" t="str">
        <x:v>Finance operating schedule</x:v>
      </x:c>
      <x:c r="L109" s="34" t="str">
        <x:v>2026-06-30</x:v>
      </x:c>
      <x:c r="M109" s="28" t="str"/>
    </x:row>
    <x:row r="110">
      <x:c r="A110" s="37" t="str">
        <x:v>PLN-030X84</x:v>
      </x:c>
      <x:c r="B110" s="28" t="str">
        <x:v>Construction gross-margin driver bridge</x:v>
      </x:c>
      <x:c r="C110" s="28" t="str">
        <x:v>Construction margin recovery action register scenario controls</x:v>
      </x:c>
      <x:c r="D110" s="28" t="str">
        <x:v>Subcontractor default</x:v>
      </x:c>
      <x:c r="E110" s="28" t="str">
        <x:v>Management review</x:v>
      </x:c>
      <x:c r="F110" s="28" t="str">
        <x:v>Approved case</x:v>
      </x:c>
      <x:c r="G110" s="28" t="str">
        <x:v>Capacity limit factor</x:v>
      </x:c>
      <x:c r="H110" s="31" t="n">
        <x:v>0.62</x:v>
      </x:c>
      <x:c r="I110" s="28" t="str"/>
      <x:c r="J110" s="28" t="str">
        <x:v>decimal ratio</x:v>
      </x:c>
      <x:c r="K110" s="28" t="str">
        <x:v>Finance operating schedule</x:v>
      </x:c>
      <x:c r="L110" s="34" t="str">
        <x:v>2026-06-30</x:v>
      </x:c>
      <x:c r="M110" s="28" t="str"/>
    </x:row>
    <x:row r="111">
      <x:c r="A111" s="37" t="str">
        <x:v>PLN-030X85</x:v>
      </x:c>
      <x:c r="B111" s="28" t="str">
        <x:v>Construction gross-margin driver bridge</x:v>
      </x:c>
      <x:c r="C111" s="28" t="str">
        <x:v>Construction margin recovery action register scenario controls</x:v>
      </x:c>
      <x:c r="D111" s="28" t="str">
        <x:v>Subcontractor default</x:v>
      </x:c>
      <x:c r="E111" s="28" t="str">
        <x:v>Management review</x:v>
      </x:c>
      <x:c r="F111" s="28" t="str">
        <x:v>Approved case</x:v>
      </x:c>
      <x:c r="G111" s="28" t="str">
        <x:v>Maximum actions</x:v>
      </x:c>
      <x:c r="H111" s="31" t="n">
        <x:v>1</x:v>
      </x:c>
      <x:c r="I111" s="28" t="str"/>
      <x:c r="J111" s="28" t="str">
        <x:v>count</x:v>
      </x:c>
      <x:c r="K111" s="28" t="str">
        <x:v>Finance operating schedule</x:v>
      </x:c>
      <x:c r="L111" s="34" t="str">
        <x:v>2026-06-30</x:v>
      </x:c>
      <x:c r="M111" s="28" t="str"/>
    </x:row>
    <x:row r="112">
      <x:c r="A112" s="37" t="str">
        <x:v>PLN-030X86</x:v>
      </x:c>
      <x:c r="B112" s="28" t="str">
        <x:v>Construction gross-margin driver bridge</x:v>
      </x:c>
      <x:c r="C112" s="28" t="str">
        <x:v>Construction margin recovery action register scenario controls</x:v>
      </x:c>
      <x:c r="D112" s="28" t="str">
        <x:v>Subcontractor default</x:v>
      </x:c>
      <x:c r="E112" s="28" t="str">
        <x:v>Management review</x:v>
      </x:c>
      <x:c r="F112" s="28" t="str">
        <x:v>Approved case</x:v>
      </x:c>
      <x:c r="G112" s="28" t="str">
        <x:v>Conditional actions allowed</x:v>
      </x:c>
      <x:c r="H112" s="31" t="str"/>
      <x:c r="I112" s="28" t="str">
        <x:v>No</x:v>
      </x:c>
      <x:c r="J112" s="28" t="str">
        <x:v>classification</x:v>
      </x:c>
      <x:c r="K112" s="28" t="str">
        <x:v>Finance operating schedule</x:v>
      </x:c>
      <x:c r="L112" s="34" t="str">
        <x:v>2026-06-30</x:v>
      </x:c>
      <x:c r="M112" s="28" t="str"/>
    </x:row>
    <x:row r="113">
      <x:c r="A113" s="37" t="str">
        <x:v>PLN-030X87</x:v>
      </x:c>
      <x:c r="B113" s="28" t="str">
        <x:v>Construction gross-margin driver bridge</x:v>
      </x:c>
      <x:c r="C113" s="28" t="str">
        <x:v>Construction margin recovery action register scenario controls</x:v>
      </x:c>
      <x:c r="D113" s="28" t="str">
        <x:v>Combined construction downside</x:v>
      </x:c>
      <x:c r="E113" s="28" t="str">
        <x:v>Management review</x:v>
      </x:c>
      <x:c r="F113" s="28" t="str">
        <x:v>Approved case</x:v>
      </x:c>
      <x:c r="G113" s="28" t="str">
        <x:v>Gross effect factor</x:v>
      </x:c>
      <x:c r="H113" s="31" t="n">
        <x:v>0.68</x:v>
      </x:c>
      <x:c r="I113" s="28" t="str"/>
      <x:c r="J113" s="28" t="str">
        <x:v>decimal ratio</x:v>
      </x:c>
      <x:c r="K113" s="28" t="str">
        <x:v>Finance operating schedule</x:v>
      </x:c>
      <x:c r="L113" s="34" t="str">
        <x:v>2026-06-30</x:v>
      </x:c>
      <x:c r="M113" s="28" t="str"/>
    </x:row>
    <x:row r="114">
      <x:c r="A114" s="37" t="str">
        <x:v>PLN-030X88</x:v>
      </x:c>
      <x:c r="B114" s="28" t="str">
        <x:v>Construction gross-margin driver bridge</x:v>
      </x:c>
      <x:c r="C114" s="28" t="str">
        <x:v>Construction margin recovery action register scenario controls</x:v>
      </x:c>
      <x:c r="D114" s="28" t="str">
        <x:v>Combined construction downside</x:v>
      </x:c>
      <x:c r="E114" s="28" t="str">
        <x:v>Management review</x:v>
      </x:c>
      <x:c r="F114" s="28" t="str">
        <x:v>Approved case</x:v>
      </x:c>
      <x:c r="G114" s="28" t="str">
        <x:v>Probability factor</x:v>
      </x:c>
      <x:c r="H114" s="31" t="n">
        <x:v>0.72</x:v>
      </x:c>
      <x:c r="I114" s="28" t="str"/>
      <x:c r="J114" s="28" t="str">
        <x:v>decimal ratio</x:v>
      </x:c>
      <x:c r="K114" s="28" t="str">
        <x:v>Finance operating schedule</x:v>
      </x:c>
      <x:c r="L114" s="34" t="str">
        <x:v>2026-06-30</x:v>
      </x:c>
      <x:c r="M114" s="28" t="str"/>
    </x:row>
    <x:row r="115">
      <x:c r="A115" s="37" t="str">
        <x:v>PLN-030X89</x:v>
      </x:c>
      <x:c r="B115" s="28" t="str">
        <x:v>Construction gross-margin driver bridge</x:v>
      </x:c>
      <x:c r="C115" s="28" t="str">
        <x:v>Construction margin recovery action register scenario controls</x:v>
      </x:c>
      <x:c r="D115" s="28" t="str">
        <x:v>Combined construction downside</x:v>
      </x:c>
      <x:c r="E115" s="28" t="str">
        <x:v>Management review</x:v>
      </x:c>
      <x:c r="F115" s="28" t="str">
        <x:v>Approved case</x:v>
      </x:c>
      <x:c r="G115" s="28" t="str">
        <x:v>Cash cost factor</x:v>
      </x:c>
      <x:c r="H115" s="31" t="n">
        <x:v>1.18</x:v>
      </x:c>
      <x:c r="I115" s="28" t="str"/>
      <x:c r="J115" s="28" t="str">
        <x:v>decimal ratio</x:v>
      </x:c>
      <x:c r="K115" s="28" t="str">
        <x:v>Finance operating schedule</x:v>
      </x:c>
      <x:c r="L115" s="34" t="str">
        <x:v>2026-06-30</x:v>
      </x:c>
      <x:c r="M115" s="28" t="str"/>
    </x:row>
    <x:row r="116">
      <x:c r="A116" s="37" t="str">
        <x:v>PLN-030X90</x:v>
      </x:c>
      <x:c r="B116" s="28" t="str">
        <x:v>Construction gross-margin driver bridge</x:v>
      </x:c>
      <x:c r="C116" s="28" t="str">
        <x:v>Construction margin recovery action register scenario controls</x:v>
      </x:c>
      <x:c r="D116" s="28" t="str">
        <x:v>Combined construction downside</x:v>
      </x:c>
      <x:c r="E116" s="28" t="str">
        <x:v>Management review</x:v>
      </x:c>
      <x:c r="F116" s="28" t="str">
        <x:v>Approved case</x:v>
      </x:c>
      <x:c r="G116" s="28" t="str">
        <x:v>Capacity factor</x:v>
      </x:c>
      <x:c r="H116" s="31" t="n">
        <x:v>1.22</x:v>
      </x:c>
      <x:c r="I116" s="28" t="str"/>
      <x:c r="J116" s="28" t="str">
        <x:v>decimal ratio</x:v>
      </x:c>
      <x:c r="K116" s="28" t="str">
        <x:v>Finance operating schedule</x:v>
      </x:c>
      <x:c r="L116" s="34" t="str">
        <x:v>2026-06-30</x:v>
      </x:c>
      <x:c r="M116" s="28" t="str"/>
    </x:row>
    <x:row r="117">
      <x:c r="A117" s="37" t="str">
        <x:v>PLN-030X91</x:v>
      </x:c>
      <x:c r="B117" s="28" t="str">
        <x:v>Construction gross-margin driver bridge</x:v>
      </x:c>
      <x:c r="C117" s="28" t="str">
        <x:v>Construction margin recovery action register scenario controls</x:v>
      </x:c>
      <x:c r="D117" s="28" t="str">
        <x:v>Combined construction downside</x:v>
      </x:c>
      <x:c r="E117" s="28" t="str">
        <x:v>Management review</x:v>
      </x:c>
      <x:c r="F117" s="28" t="str">
        <x:v>Approved case</x:v>
      </x:c>
      <x:c r="G117" s="28" t="str">
        <x:v>Cash budget factor</x:v>
      </x:c>
      <x:c r="H117" s="31" t="n">
        <x:v>0.76</x:v>
      </x:c>
      <x:c r="I117" s="28" t="str"/>
      <x:c r="J117" s="28" t="str">
        <x:v>decimal ratio</x:v>
      </x:c>
      <x:c r="K117" s="28" t="str">
        <x:v>Finance operating schedule</x:v>
      </x:c>
      <x:c r="L117" s="34" t="str">
        <x:v>2026-06-30</x:v>
      </x:c>
      <x:c r="M117" s="28" t="str"/>
    </x:row>
    <x:row r="118">
      <x:c r="A118" s="37" t="str">
        <x:v>PLN-030X92</x:v>
      </x:c>
      <x:c r="B118" s="28" t="str">
        <x:v>Construction gross-margin driver bridge</x:v>
      </x:c>
      <x:c r="C118" s="28" t="str">
        <x:v>Construction margin recovery action register scenario controls</x:v>
      </x:c>
      <x:c r="D118" s="28" t="str">
        <x:v>Combined construction downside</x:v>
      </x:c>
      <x:c r="E118" s="28" t="str">
        <x:v>Management review</x:v>
      </x:c>
      <x:c r="F118" s="28" t="str">
        <x:v>Approved case</x:v>
      </x:c>
      <x:c r="G118" s="28" t="str">
        <x:v>Capacity limit factor</x:v>
      </x:c>
      <x:c r="H118" s="31" t="n">
        <x:v>0.7</x:v>
      </x:c>
      <x:c r="I118" s="28" t="str"/>
      <x:c r="J118" s="28" t="str">
        <x:v>decimal ratio</x:v>
      </x:c>
      <x:c r="K118" s="28" t="str">
        <x:v>Finance operating schedule</x:v>
      </x:c>
      <x:c r="L118" s="34" t="str">
        <x:v>2026-06-30</x:v>
      </x:c>
      <x:c r="M118" s="28" t="str"/>
    </x:row>
    <x:row r="119">
      <x:c r="A119" s="37" t="str">
        <x:v>PLN-030X93</x:v>
      </x:c>
      <x:c r="B119" s="28" t="str">
        <x:v>Construction gross-margin driver bridge</x:v>
      </x:c>
      <x:c r="C119" s="28" t="str">
        <x:v>Construction margin recovery action register scenario controls</x:v>
      </x:c>
      <x:c r="D119" s="28" t="str">
        <x:v>Combined construction downside</x:v>
      </x:c>
      <x:c r="E119" s="28" t="str">
        <x:v>Management review</x:v>
      </x:c>
      <x:c r="F119" s="28" t="str">
        <x:v>Approved case</x:v>
      </x:c>
      <x:c r="G119" s="28" t="str">
        <x:v>Maximum actions</x:v>
      </x:c>
      <x:c r="H119" s="31" t="n">
        <x:v>2</x:v>
      </x:c>
      <x:c r="I119" s="28" t="str"/>
      <x:c r="J119" s="28" t="str">
        <x:v>count</x:v>
      </x:c>
      <x:c r="K119" s="28" t="str">
        <x:v>Finance operating schedule</x:v>
      </x:c>
      <x:c r="L119" s="34" t="str">
        <x:v>2026-06-30</x:v>
      </x:c>
      <x:c r="M119" s="28" t="str"/>
    </x:row>
    <x:row r="120">
      <x:c r="A120" s="37" t="str">
        <x:v>PLN-030X94</x:v>
      </x:c>
      <x:c r="B120" s="28" t="str">
        <x:v>Construction gross-margin driver bridge</x:v>
      </x:c>
      <x:c r="C120" s="28" t="str">
        <x:v>Construction margin recovery action register scenario controls</x:v>
      </x:c>
      <x:c r="D120" s="28" t="str">
        <x:v>Combined construction downside</x:v>
      </x:c>
      <x:c r="E120" s="28" t="str">
        <x:v>Management review</x:v>
      </x:c>
      <x:c r="F120" s="28" t="str">
        <x:v>Approved case</x:v>
      </x:c>
      <x:c r="G120" s="28" t="str">
        <x:v>Conditional actions allowed</x:v>
      </x:c>
      <x:c r="H120" s="31" t="str"/>
      <x:c r="I120" s="28" t="str">
        <x:v>No</x:v>
      </x:c>
      <x:c r="J120" s="28" t="str">
        <x:v>classification</x:v>
      </x:c>
      <x:c r="K120" s="28" t="str">
        <x:v>Finance operating schedule</x:v>
      </x:c>
      <x:c r="L120" s="34" t="str">
        <x:v>2026-06-30</x:v>
      </x:c>
      <x:c r="M120" s="28" t="str"/>
    </x:row>
    <x:row r="121">
      <x:c r="A121" s="37" t="str">
        <x:v>PLN-030X103</x:v>
      </x:c>
      <x:c r="B121" s="28" t="str">
        <x:v>Construction gross-margin driver bridge</x:v>
      </x:c>
      <x:c r="C121" s="28" t="str">
        <x:v>Construction margin recovery action register execution sequencing</x:v>
      </x:c>
      <x:c r="D121" s="28" t="str">
        <x:v>Q1</x:v>
      </x:c>
      <x:c r="E121" s="28" t="str">
        <x:v>Management review</x:v>
      </x:c>
      <x:c r="F121" s="28" t="str">
        <x:v>Approved case</x:v>
      </x:c>
      <x:c r="G121" s="28" t="str">
        <x:v>Cash budget</x:v>
      </x:c>
      <x:c r="H121" s="31" t="n">
        <x:v>325000</x:v>
      </x:c>
      <x:c r="I121" s="28" t="str"/>
      <x:c r="J121" s="28" t="str">
        <x:v>USD</x:v>
      </x:c>
      <x:c r="K121" s="28" t="str">
        <x:v>Finance operating schedule</x:v>
      </x:c>
      <x:c r="L121" s="34" t="str">
        <x:v>2026-06-30</x:v>
      </x:c>
      <x:c r="M121" s="28" t="str"/>
    </x:row>
    <x:row r="122">
      <x:c r="A122" s="37" t="str">
        <x:v>PLN-030X104</x:v>
      </x:c>
      <x:c r="B122" s="28" t="str">
        <x:v>Construction gross-margin driver bridge</x:v>
      </x:c>
      <x:c r="C122" s="28" t="str">
        <x:v>Construction margin recovery action register execution sequencing</x:v>
      </x:c>
      <x:c r="D122" s="28" t="str">
        <x:v>Q1</x:v>
      </x:c>
      <x:c r="E122" s="28" t="str">
        <x:v>Management review</x:v>
      </x:c>
      <x:c r="F122" s="28" t="str">
        <x:v>Approved case</x:v>
      </x:c>
      <x:c r="G122" s="28" t="str">
        <x:v>Capacity limit</x:v>
      </x:c>
      <x:c r="H122" s="31" t="n">
        <x:v>550</x:v>
      </x:c>
      <x:c r="I122" s="28" t="str"/>
      <x:c r="J122" s="28" t="str">
        <x:v>project-management hours</x:v>
      </x:c>
      <x:c r="K122" s="28" t="str">
        <x:v>Finance operating schedule</x:v>
      </x:c>
      <x:c r="L122" s="34" t="str">
        <x:v>2026-06-30</x:v>
      </x:c>
      <x:c r="M122" s="28" t="str"/>
    </x:row>
    <x:row r="123">
      <x:c r="A123" s="37" t="str">
        <x:v>PLN-030X105</x:v>
      </x:c>
      <x:c r="B123" s="28" t="str">
        <x:v>Construction gross-margin driver bridge</x:v>
      </x:c>
      <x:c r="C123" s="28" t="str">
        <x:v>Construction margin recovery action register execution sequencing</x:v>
      </x:c>
      <x:c r="D123" s="28" t="str">
        <x:v>Q1</x:v>
      </x:c>
      <x:c r="E123" s="28" t="str">
        <x:v>Management review</x:v>
      </x:c>
      <x:c r="F123" s="28" t="str">
        <x:v>Approved case</x:v>
      </x:c>
      <x:c r="G123" s="28" t="str">
        <x:v>Maximum action starts</x:v>
      </x:c>
      <x:c r="H123" s="31" t="n">
        <x:v>2</x:v>
      </x:c>
      <x:c r="I123" s="28" t="str"/>
      <x:c r="J123" s="28" t="str">
        <x:v>count</x:v>
      </x:c>
      <x:c r="K123" s="28" t="str">
        <x:v>Finance operating schedule</x:v>
      </x:c>
      <x:c r="L123" s="34" t="str">
        <x:v>2026-06-30</x:v>
      </x:c>
      <x:c r="M123" s="28" t="str"/>
    </x:row>
    <x:row r="124">
      <x:c r="A124" s="37" t="str">
        <x:v>PLN-030X106</x:v>
      </x:c>
      <x:c r="B124" s="28" t="str">
        <x:v>Construction gross-margin driver bridge</x:v>
      </x:c>
      <x:c r="C124" s="28" t="str">
        <x:v>Construction margin recovery action register execution sequencing</x:v>
      </x:c>
      <x:c r="D124" s="28" t="str">
        <x:v>Q1</x:v>
      </x:c>
      <x:c r="E124" s="28" t="str">
        <x:v>Management review</x:v>
      </x:c>
      <x:c r="F124" s="28" t="str">
        <x:v>Approved case</x:v>
      </x:c>
      <x:c r="G124" s="28" t="str">
        <x:v>Minimum expected net effect</x:v>
      </x:c>
      <x:c r="H124" s="31" t="n">
        <x:v>275</x:v>
      </x:c>
      <x:c r="I124" s="28" t="str"/>
      <x:c r="J124" s="28" t="str">
        <x:v>USD thousands</x:v>
      </x:c>
      <x:c r="K124" s="28" t="str">
        <x:v>Finance operating schedule</x:v>
      </x:c>
      <x:c r="L124" s="34" t="str">
        <x:v>2026-06-30</x:v>
      </x:c>
      <x:c r="M124" s="28" t="str"/>
    </x:row>
    <x:row r="125">
      <x:c r="A125" s="37" t="str">
        <x:v>PLN-030X107</x:v>
      </x:c>
      <x:c r="B125" s="28" t="str">
        <x:v>Construction gross-margin driver bridge</x:v>
      </x:c>
      <x:c r="C125" s="28" t="str">
        <x:v>Construction margin recovery action register execution sequencing</x:v>
      </x:c>
      <x:c r="D125" s="28" t="str">
        <x:v>Q2</x:v>
      </x:c>
      <x:c r="E125" s="28" t="str">
        <x:v>Management review</x:v>
      </x:c>
      <x:c r="F125" s="28" t="str">
        <x:v>Approved case</x:v>
      </x:c>
      <x:c r="G125" s="28" t="str">
        <x:v>Cash budget</x:v>
      </x:c>
      <x:c r="H125" s="31" t="n">
        <x:v>400000</x:v>
      </x:c>
      <x:c r="I125" s="28" t="str"/>
      <x:c r="J125" s="28" t="str">
        <x:v>USD</x:v>
      </x:c>
      <x:c r="K125" s="28" t="str">
        <x:v>Finance operating schedule</x:v>
      </x:c>
      <x:c r="L125" s="34" t="str">
        <x:v>2026-06-30</x:v>
      </x:c>
      <x:c r="M125" s="28" t="str"/>
    </x:row>
    <x:row r="126">
      <x:c r="A126" s="37" t="str">
        <x:v>PLN-030X108</x:v>
      </x:c>
      <x:c r="B126" s="28" t="str">
        <x:v>Construction gross-margin driver bridge</x:v>
      </x:c>
      <x:c r="C126" s="28" t="str">
        <x:v>Construction margin recovery action register execution sequencing</x:v>
      </x:c>
      <x:c r="D126" s="28" t="str">
        <x:v>Q2</x:v>
      </x:c>
      <x:c r="E126" s="28" t="str">
        <x:v>Management review</x:v>
      </x:c>
      <x:c r="F126" s="28" t="str">
        <x:v>Approved case</x:v>
      </x:c>
      <x:c r="G126" s="28" t="str">
        <x:v>Capacity limit</x:v>
      </x:c>
      <x:c r="H126" s="31" t="n">
        <x:v>600</x:v>
      </x:c>
      <x:c r="I126" s="28" t="str"/>
      <x:c r="J126" s="28" t="str">
        <x:v>project-management hours</x:v>
      </x:c>
      <x:c r="K126" s="28" t="str">
        <x:v>Finance operating schedule</x:v>
      </x:c>
      <x:c r="L126" s="34" t="str">
        <x:v>2026-06-30</x:v>
      </x:c>
      <x:c r="M126" s="28" t="str"/>
    </x:row>
    <x:row r="127">
      <x:c r="A127" s="37" t="str">
        <x:v>PLN-030X109</x:v>
      </x:c>
      <x:c r="B127" s="28" t="str">
        <x:v>Construction gross-margin driver bridge</x:v>
      </x:c>
      <x:c r="C127" s="28" t="str">
        <x:v>Construction margin recovery action register execution sequencing</x:v>
      </x:c>
      <x:c r="D127" s="28" t="str">
        <x:v>Q2</x:v>
      </x:c>
      <x:c r="E127" s="28" t="str">
        <x:v>Management review</x:v>
      </x:c>
      <x:c r="F127" s="28" t="str">
        <x:v>Approved case</x:v>
      </x:c>
      <x:c r="G127" s="28" t="str">
        <x:v>Maximum action starts</x:v>
      </x:c>
      <x:c r="H127" s="31" t="n">
        <x:v>2</x:v>
      </x:c>
      <x:c r="I127" s="28" t="str"/>
      <x:c r="J127" s="28" t="str">
        <x:v>count</x:v>
      </x:c>
      <x:c r="K127" s="28" t="str">
        <x:v>Finance operating schedule</x:v>
      </x:c>
      <x:c r="L127" s="34" t="str">
        <x:v>2026-06-30</x:v>
      </x:c>
      <x:c r="M127" s="28" t="str"/>
    </x:row>
    <x:row r="128">
      <x:c r="A128" s="37" t="str">
        <x:v>PLN-030X110</x:v>
      </x:c>
      <x:c r="B128" s="28" t="str">
        <x:v>Construction gross-margin driver bridge</x:v>
      </x:c>
      <x:c r="C128" s="28" t="str">
        <x:v>Construction margin recovery action register execution sequencing</x:v>
      </x:c>
      <x:c r="D128" s="28" t="str">
        <x:v>Q2</x:v>
      </x:c>
      <x:c r="E128" s="28" t="str">
        <x:v>Management review</x:v>
      </x:c>
      <x:c r="F128" s="28" t="str">
        <x:v>Approved case</x:v>
      </x:c>
      <x:c r="G128" s="28" t="str">
        <x:v>Minimum expected net effect</x:v>
      </x:c>
      <x:c r="H128" s="31" t="n">
        <x:v>250</x:v>
      </x:c>
      <x:c r="I128" s="28" t="str"/>
      <x:c r="J128" s="28" t="str">
        <x:v>USD thousands</x:v>
      </x:c>
      <x:c r="K128" s="28" t="str">
        <x:v>Finance operating schedule</x:v>
      </x:c>
      <x:c r="L128" s="34" t="str">
        <x:v>2026-06-30</x:v>
      </x:c>
      <x:c r="M128" s="28" t="str"/>
    </x:row>
    <x:row r="129">
      <x:c r="A129" s="37" t="str">
        <x:v>PLN-00443</x:v>
      </x:c>
      <x:c r="B129" s="28" t="str">
        <x:v>Forecast accuracy and bias backtest</x:v>
      </x:c>
      <x:c r="C129" s="28" t="str">
        <x:v>Forecast policy flags</x:v>
      </x:c>
      <x:c r="D129" s="28" t="str">
        <x:v>Construction</x:v>
      </x:c>
      <x:c r="E129" s="28" t="str">
        <x:v>2025-07</x:v>
      </x:c>
      <x:c r="F129" s="28" t="str">
        <x:v>Approved case</x:v>
      </x:c>
      <x:c r="G129" s="28" t="str">
        <x:v>Acquisition month flag</x:v>
      </x:c>
      <x:c r="H129" s="31" t="n">
        <x:v>0</x:v>
      </x:c>
      <x:c r="I129" s="28" t="str"/>
      <x:c r="J129" s="28" t="str">
        <x:v>boolean</x:v>
      </x:c>
      <x:c r="K129" s="28" t="str">
        <x:v>Finance operating schedule</x:v>
      </x:c>
      <x:c r="L129" s="34" t="str">
        <x:v>2026-06-30</x:v>
      </x:c>
      <x:c r="M129" s="28" t="str"/>
    </x:row>
    <x:row r="130">
      <x:c r="A130" s="37" t="str">
        <x:v>PLN-00446</x:v>
      </x:c>
      <x:c r="B130" s="28" t="str">
        <x:v>Forecast accuracy and bias backtest</x:v>
      </x:c>
      <x:c r="C130" s="28" t="str">
        <x:v>Forecast policy flags</x:v>
      </x:c>
      <x:c r="D130" s="28" t="str">
        <x:v>Service</x:v>
      </x:c>
      <x:c r="E130" s="28" t="str">
        <x:v>2025-07</x:v>
      </x:c>
      <x:c r="F130" s="28" t="str">
        <x:v>Approved case</x:v>
      </x:c>
      <x:c r="G130" s="28" t="str">
        <x:v>Acquisition month flag</x:v>
      </x:c>
      <x:c r="H130" s="31" t="n">
        <x:v>0</x:v>
      </x:c>
      <x:c r="I130" s="28" t="str"/>
      <x:c r="J130" s="28" t="str">
        <x:v>boolean</x:v>
      </x:c>
      <x:c r="K130" s="28" t="str">
        <x:v>Finance operating schedule</x:v>
      </x:c>
      <x:c r="L130" s="34" t="str">
        <x:v>2026-06-30</x:v>
      </x:c>
      <x:c r="M130" s="28" t="str"/>
    </x:row>
    <x:row r="131">
      <x:c r="A131" s="37" t="str">
        <x:v>PLN-00449</x:v>
      </x:c>
      <x:c r="B131" s="28" t="str">
        <x:v>Forecast accuracy and bias backtest</x:v>
      </x:c>
      <x:c r="C131" s="28" t="str">
        <x:v>Forecast policy flags</x:v>
      </x:c>
      <x:c r="D131" s="28" t="str">
        <x:v>Building Controls</x:v>
      </x:c>
      <x:c r="E131" s="28" t="str">
        <x:v>2025-07</x:v>
      </x:c>
      <x:c r="F131" s="28" t="str">
        <x:v>Approved case</x:v>
      </x:c>
      <x:c r="G131" s="28" t="str">
        <x:v>Acquisition month flag</x:v>
      </x:c>
      <x:c r="H131" s="31" t="n">
        <x:v>0</x:v>
      </x:c>
      <x:c r="I131" s="28" t="str"/>
      <x:c r="J131" s="28" t="str">
        <x:v>boolean</x:v>
      </x:c>
      <x:c r="K131" s="28" t="str">
        <x:v>Finance operating schedule</x:v>
      </x:c>
      <x:c r="L131" s="34" t="str">
        <x:v>2026-06-30</x:v>
      </x:c>
      <x:c r="M131" s="28" t="str"/>
    </x:row>
    <x:row r="132">
      <x:c r="A132" s="37" t="str">
        <x:v>PLN-00452</x:v>
      </x:c>
      <x:c r="B132" s="28" t="str">
        <x:v>Forecast accuracy and bias backtest</x:v>
      </x:c>
      <x:c r="C132" s="28" t="str">
        <x:v>Forecast policy flags</x:v>
      </x:c>
      <x:c r="D132" s="28" t="str">
        <x:v>Construction</x:v>
      </x:c>
      <x:c r="E132" s="28" t="str">
        <x:v>2025-08</x:v>
      </x:c>
      <x:c r="F132" s="28" t="str">
        <x:v>Approved case</x:v>
      </x:c>
      <x:c r="G132" s="28" t="str">
        <x:v>Acquisition month flag</x:v>
      </x:c>
      <x:c r="H132" s="31" t="n">
        <x:v>0</x:v>
      </x:c>
      <x:c r="I132" s="28" t="str"/>
      <x:c r="J132" s="28" t="str">
        <x:v>boolean</x:v>
      </x:c>
      <x:c r="K132" s="28" t="str">
        <x:v>Finance operating schedule</x:v>
      </x:c>
      <x:c r="L132" s="34" t="str">
        <x:v>2026-06-30</x:v>
      </x:c>
      <x:c r="M132" s="28" t="str"/>
    </x:row>
    <x:row r="133">
      <x:c r="A133" s="37" t="str">
        <x:v>PLN-00455</x:v>
      </x:c>
      <x:c r="B133" s="28" t="str">
        <x:v>Forecast accuracy and bias backtest</x:v>
      </x:c>
      <x:c r="C133" s="28" t="str">
        <x:v>Forecast policy flags</x:v>
      </x:c>
      <x:c r="D133" s="28" t="str">
        <x:v>Service</x:v>
      </x:c>
      <x:c r="E133" s="28" t="str">
        <x:v>2025-08</x:v>
      </x:c>
      <x:c r="F133" s="28" t="str">
        <x:v>Approved case</x:v>
      </x:c>
      <x:c r="G133" s="28" t="str">
        <x:v>Acquisition month flag</x:v>
      </x:c>
      <x:c r="H133" s="31" t="n">
        <x:v>0</x:v>
      </x:c>
      <x:c r="I133" s="28" t="str"/>
      <x:c r="J133" s="28" t="str">
        <x:v>boolean</x:v>
      </x:c>
      <x:c r="K133" s="28" t="str">
        <x:v>Finance operating schedule</x:v>
      </x:c>
      <x:c r="L133" s="34" t="str">
        <x:v>2026-06-30</x:v>
      </x:c>
      <x:c r="M133" s="28" t="str"/>
    </x:row>
    <x:row r="134">
      <x:c r="A134" s="37" t="str">
        <x:v>PLN-00458</x:v>
      </x:c>
      <x:c r="B134" s="28" t="str">
        <x:v>Forecast accuracy and bias backtest</x:v>
      </x:c>
      <x:c r="C134" s="28" t="str">
        <x:v>Forecast policy flags</x:v>
      </x:c>
      <x:c r="D134" s="28" t="str">
        <x:v>Building Controls</x:v>
      </x:c>
      <x:c r="E134" s="28" t="str">
        <x:v>2025-08</x:v>
      </x:c>
      <x:c r="F134" s="28" t="str">
        <x:v>Approved case</x:v>
      </x:c>
      <x:c r="G134" s="28" t="str">
        <x:v>Acquisition month flag</x:v>
      </x:c>
      <x:c r="H134" s="31" t="n">
        <x:v>0</x:v>
      </x:c>
      <x:c r="I134" s="28" t="str"/>
      <x:c r="J134" s="28" t="str">
        <x:v>boolean</x:v>
      </x:c>
      <x:c r="K134" s="28" t="str">
        <x:v>Finance operating schedule</x:v>
      </x:c>
      <x:c r="L134" s="34" t="str">
        <x:v>2026-06-30</x:v>
      </x:c>
      <x:c r="M134" s="28" t="str"/>
    </x:row>
    <x:row r="135">
      <x:c r="A135" s="37" t="str">
        <x:v>PLN-00461</x:v>
      </x:c>
      <x:c r="B135" s="28" t="str">
        <x:v>Forecast accuracy and bias backtest</x:v>
      </x:c>
      <x:c r="C135" s="28" t="str">
        <x:v>Forecast policy flags</x:v>
      </x:c>
      <x:c r="D135" s="28" t="str">
        <x:v>Construction</x:v>
      </x:c>
      <x:c r="E135" s="28" t="str">
        <x:v>2025-09</x:v>
      </x:c>
      <x:c r="F135" s="28" t="str">
        <x:v>Approved case</x:v>
      </x:c>
      <x:c r="G135" s="28" t="str">
        <x:v>Acquisition month flag</x:v>
      </x:c>
      <x:c r="H135" s="31" t="n">
        <x:v>0</x:v>
      </x:c>
      <x:c r="I135" s="28" t="str"/>
      <x:c r="J135" s="28" t="str">
        <x:v>boolean</x:v>
      </x:c>
      <x:c r="K135" s="28" t="str">
        <x:v>Finance operating schedule</x:v>
      </x:c>
      <x:c r="L135" s="34" t="str">
        <x:v>2026-06-30</x:v>
      </x:c>
      <x:c r="M135" s="28" t="str"/>
    </x:row>
    <x:row r="136">
      <x:c r="A136" s="37" t="str">
        <x:v>PLN-00464</x:v>
      </x:c>
      <x:c r="B136" s="28" t="str">
        <x:v>Forecast accuracy and bias backtest</x:v>
      </x:c>
      <x:c r="C136" s="28" t="str">
        <x:v>Forecast policy flags</x:v>
      </x:c>
      <x:c r="D136" s="28" t="str">
        <x:v>Service</x:v>
      </x:c>
      <x:c r="E136" s="28" t="str">
        <x:v>2025-09</x:v>
      </x:c>
      <x:c r="F136" s="28" t="str">
        <x:v>Approved case</x:v>
      </x:c>
      <x:c r="G136" s="28" t="str">
        <x:v>Acquisition month flag</x:v>
      </x:c>
      <x:c r="H136" s="31" t="n">
        <x:v>0</x:v>
      </x:c>
      <x:c r="I136" s="28" t="str"/>
      <x:c r="J136" s="28" t="str">
        <x:v>boolean</x:v>
      </x:c>
      <x:c r="K136" s="28" t="str">
        <x:v>Finance operating schedule</x:v>
      </x:c>
      <x:c r="L136" s="34" t="str">
        <x:v>2026-06-30</x:v>
      </x:c>
      <x:c r="M136" s="28" t="str"/>
    </x:row>
    <x:row r="137">
      <x:c r="A137" s="37" t="str">
        <x:v>PLN-00467</x:v>
      </x:c>
      <x:c r="B137" s="28" t="str">
        <x:v>Forecast accuracy and bias backtest</x:v>
      </x:c>
      <x:c r="C137" s="28" t="str">
        <x:v>Forecast policy flags</x:v>
      </x:c>
      <x:c r="D137" s="28" t="str">
        <x:v>Building Controls</x:v>
      </x:c>
      <x:c r="E137" s="28" t="str">
        <x:v>2025-09</x:v>
      </x:c>
      <x:c r="F137" s="28" t="str">
        <x:v>Approved case</x:v>
      </x:c>
      <x:c r="G137" s="28" t="str">
        <x:v>Acquisition month flag</x:v>
      </x:c>
      <x:c r="H137" s="31" t="n">
        <x:v>0</x:v>
      </x:c>
      <x:c r="I137" s="28" t="str"/>
      <x:c r="J137" s="28" t="str">
        <x:v>boolean</x:v>
      </x:c>
      <x:c r="K137" s="28" t="str">
        <x:v>Finance operating schedule</x:v>
      </x:c>
      <x:c r="L137" s="34" t="str">
        <x:v>2026-06-30</x:v>
      </x:c>
      <x:c r="M137" s="28" t="str"/>
    </x:row>
    <x:row r="138">
      <x:c r="A138" s="37" t="str">
        <x:v>PLN-00470</x:v>
      </x:c>
      <x:c r="B138" s="28" t="str">
        <x:v>Forecast accuracy and bias backtest</x:v>
      </x:c>
      <x:c r="C138" s="28" t="str">
        <x:v>Forecast policy flags</x:v>
      </x:c>
      <x:c r="D138" s="28" t="str">
        <x:v>Construction</x:v>
      </x:c>
      <x:c r="E138" s="28" t="str">
        <x:v>2025-10</x:v>
      </x:c>
      <x:c r="F138" s="28" t="str">
        <x:v>Approved case</x:v>
      </x:c>
      <x:c r="G138" s="28" t="str">
        <x:v>Acquisition month flag</x:v>
      </x:c>
      <x:c r="H138" s="31" t="n">
        <x:v>0</x:v>
      </x:c>
      <x:c r="I138" s="28" t="str"/>
      <x:c r="J138" s="28" t="str">
        <x:v>boolean</x:v>
      </x:c>
      <x:c r="K138" s="28" t="str">
        <x:v>Finance operating schedule</x:v>
      </x:c>
      <x:c r="L138" s="34" t="str">
        <x:v>2026-06-30</x:v>
      </x:c>
      <x:c r="M138" s="28" t="str"/>
    </x:row>
    <x:row r="139">
      <x:c r="A139" s="37" t="str">
        <x:v>PLN-00473</x:v>
      </x:c>
      <x:c r="B139" s="28" t="str">
        <x:v>Forecast accuracy and bias backtest</x:v>
      </x:c>
      <x:c r="C139" s="28" t="str">
        <x:v>Forecast policy flags</x:v>
      </x:c>
      <x:c r="D139" s="28" t="str">
        <x:v>Service</x:v>
      </x:c>
      <x:c r="E139" s="28" t="str">
        <x:v>2025-10</x:v>
      </x:c>
      <x:c r="F139" s="28" t="str">
        <x:v>Approved case</x:v>
      </x:c>
      <x:c r="G139" s="28" t="str">
        <x:v>Acquisition month flag</x:v>
      </x:c>
      <x:c r="H139" s="31" t="n">
        <x:v>0</x:v>
      </x:c>
      <x:c r="I139" s="28" t="str"/>
      <x:c r="J139" s="28" t="str">
        <x:v>boolean</x:v>
      </x:c>
      <x:c r="K139" s="28" t="str">
        <x:v>Finance operating schedule</x:v>
      </x:c>
      <x:c r="L139" s="34" t="str">
        <x:v>2026-06-30</x:v>
      </x:c>
      <x:c r="M139" s="28" t="str"/>
    </x:row>
    <x:row r="140">
      <x:c r="A140" s="37" t="str">
        <x:v>PLN-00476</x:v>
      </x:c>
      <x:c r="B140" s="28" t="str">
        <x:v>Forecast accuracy and bias backtest</x:v>
      </x:c>
      <x:c r="C140" s="28" t="str">
        <x:v>Forecast policy flags</x:v>
      </x:c>
      <x:c r="D140" s="28" t="str">
        <x:v>Building Controls</x:v>
      </x:c>
      <x:c r="E140" s="28" t="str">
        <x:v>2025-10</x:v>
      </x:c>
      <x:c r="F140" s="28" t="str">
        <x:v>Approved case</x:v>
      </x:c>
      <x:c r="G140" s="28" t="str">
        <x:v>Acquisition month flag</x:v>
      </x:c>
      <x:c r="H140" s="31" t="n">
        <x:v>0</x:v>
      </x:c>
      <x:c r="I140" s="28" t="str"/>
      <x:c r="J140" s="28" t="str">
        <x:v>boolean</x:v>
      </x:c>
      <x:c r="K140" s="28" t="str">
        <x:v>Finance operating schedule</x:v>
      </x:c>
      <x:c r="L140" s="34" t="str">
        <x:v>2026-06-30</x:v>
      </x:c>
      <x:c r="M140" s="28" t="str"/>
    </x:row>
    <x:row r="141">
      <x:c r="A141" s="37" t="str">
        <x:v>PLN-00479</x:v>
      </x:c>
      <x:c r="B141" s="28" t="str">
        <x:v>Forecast accuracy and bias backtest</x:v>
      </x:c>
      <x:c r="C141" s="28" t="str">
        <x:v>Forecast policy flags</x:v>
      </x:c>
      <x:c r="D141" s="28" t="str">
        <x:v>Construction</x:v>
      </x:c>
      <x:c r="E141" s="28" t="str">
        <x:v>2025-11</x:v>
      </x:c>
      <x:c r="F141" s="28" t="str">
        <x:v>Approved case</x:v>
      </x:c>
      <x:c r="G141" s="28" t="str">
        <x:v>Acquisition month flag</x:v>
      </x:c>
      <x:c r="H141" s="31" t="n">
        <x:v>0</x:v>
      </x:c>
      <x:c r="I141" s="28" t="str"/>
      <x:c r="J141" s="28" t="str">
        <x:v>boolean</x:v>
      </x:c>
      <x:c r="K141" s="28" t="str">
        <x:v>Finance operating schedule</x:v>
      </x:c>
      <x:c r="L141" s="34" t="str">
        <x:v>2026-06-30</x:v>
      </x:c>
      <x:c r="M141" s="28" t="str"/>
    </x:row>
    <x:row r="142">
      <x:c r="A142" s="37" t="str">
        <x:v>PLN-00482</x:v>
      </x:c>
      <x:c r="B142" s="28" t="str">
        <x:v>Forecast accuracy and bias backtest</x:v>
      </x:c>
      <x:c r="C142" s="28" t="str">
        <x:v>Forecast policy flags</x:v>
      </x:c>
      <x:c r="D142" s="28" t="str">
        <x:v>Service</x:v>
      </x:c>
      <x:c r="E142" s="28" t="str">
        <x:v>2025-11</x:v>
      </x:c>
      <x:c r="F142" s="28" t="str">
        <x:v>Approved case</x:v>
      </x:c>
      <x:c r="G142" s="28" t="str">
        <x:v>Acquisition month flag</x:v>
      </x:c>
      <x:c r="H142" s="31" t="n">
        <x:v>0</x:v>
      </x:c>
      <x:c r="I142" s="28" t="str"/>
      <x:c r="J142" s="28" t="str">
        <x:v>boolean</x:v>
      </x:c>
      <x:c r="K142" s="28" t="str">
        <x:v>Finance operating schedule</x:v>
      </x:c>
      <x:c r="L142" s="34" t="str">
        <x:v>2026-06-30</x:v>
      </x:c>
      <x:c r="M142" s="28" t="str"/>
    </x:row>
    <x:row r="143">
      <x:c r="A143" s="37" t="str">
        <x:v>PLN-00485</x:v>
      </x:c>
      <x:c r="B143" s="28" t="str">
        <x:v>Forecast accuracy and bias backtest</x:v>
      </x:c>
      <x:c r="C143" s="28" t="str">
        <x:v>Forecast policy flags</x:v>
      </x:c>
      <x:c r="D143" s="28" t="str">
        <x:v>Building Controls</x:v>
      </x:c>
      <x:c r="E143" s="28" t="str">
        <x:v>2025-11</x:v>
      </x:c>
      <x:c r="F143" s="28" t="str">
        <x:v>Approved case</x:v>
      </x:c>
      <x:c r="G143" s="28" t="str">
        <x:v>Acquisition month flag</x:v>
      </x:c>
      <x:c r="H143" s="31" t="n">
        <x:v>0</x:v>
      </x:c>
      <x:c r="I143" s="28" t="str"/>
      <x:c r="J143" s="28" t="str">
        <x:v>boolean</x:v>
      </x:c>
      <x:c r="K143" s="28" t="str">
        <x:v>Finance operating schedule</x:v>
      </x:c>
      <x:c r="L143" s="34" t="str">
        <x:v>2026-06-30</x:v>
      </x:c>
      <x:c r="M143" s="28" t="str"/>
    </x:row>
    <x:row r="144">
      <x:c r="A144" s="37" t="str">
        <x:v>PLN-00488</x:v>
      </x:c>
      <x:c r="B144" s="28" t="str">
        <x:v>Forecast accuracy and bias backtest</x:v>
      </x:c>
      <x:c r="C144" s="28" t="str">
        <x:v>Forecast policy flags</x:v>
      </x:c>
      <x:c r="D144" s="28" t="str">
        <x:v>Construction</x:v>
      </x:c>
      <x:c r="E144" s="28" t="str">
        <x:v>2025-12</x:v>
      </x:c>
      <x:c r="F144" s="28" t="str">
        <x:v>Approved case</x:v>
      </x:c>
      <x:c r="G144" s="28" t="str">
        <x:v>Acquisition month flag</x:v>
      </x:c>
      <x:c r="H144" s="31" t="n">
        <x:v>0</x:v>
      </x:c>
      <x:c r="I144" s="28" t="str"/>
      <x:c r="J144" s="28" t="str">
        <x:v>boolean</x:v>
      </x:c>
      <x:c r="K144" s="28" t="str">
        <x:v>Finance operating schedule</x:v>
      </x:c>
      <x:c r="L144" s="34" t="str">
        <x:v>2026-06-30</x:v>
      </x:c>
      <x:c r="M144" s="28" t="str"/>
    </x:row>
    <x:row r="145">
      <x:c r="A145" s="37" t="str">
        <x:v>PLN-00491</x:v>
      </x:c>
      <x:c r="B145" s="28" t="str">
        <x:v>Forecast accuracy and bias backtest</x:v>
      </x:c>
      <x:c r="C145" s="28" t="str">
        <x:v>Forecast policy flags</x:v>
      </x:c>
      <x:c r="D145" s="28" t="str">
        <x:v>Service</x:v>
      </x:c>
      <x:c r="E145" s="28" t="str">
        <x:v>2025-12</x:v>
      </x:c>
      <x:c r="F145" s="28" t="str">
        <x:v>Approved case</x:v>
      </x:c>
      <x:c r="G145" s="28" t="str">
        <x:v>Acquisition month flag</x:v>
      </x:c>
      <x:c r="H145" s="31" t="n">
        <x:v>0</x:v>
      </x:c>
      <x:c r="I145" s="28" t="str"/>
      <x:c r="J145" s="28" t="str">
        <x:v>boolean</x:v>
      </x:c>
      <x:c r="K145" s="28" t="str">
        <x:v>Finance operating schedule</x:v>
      </x:c>
      <x:c r="L145" s="34" t="str">
        <x:v>2026-06-30</x:v>
      </x:c>
      <x:c r="M145" s="28" t="str"/>
    </x:row>
    <x:row r="146">
      <x:c r="A146" s="37" t="str">
        <x:v>PLN-00494</x:v>
      </x:c>
      <x:c r="B146" s="28" t="str">
        <x:v>Forecast accuracy and bias backtest</x:v>
      </x:c>
      <x:c r="C146" s="28" t="str">
        <x:v>Forecast policy flags</x:v>
      </x:c>
      <x:c r="D146" s="28" t="str">
        <x:v>Building Controls</x:v>
      </x:c>
      <x:c r="E146" s="28" t="str">
        <x:v>2025-12</x:v>
      </x:c>
      <x:c r="F146" s="28" t="str">
        <x:v>Approved case</x:v>
      </x:c>
      <x:c r="G146" s="28" t="str">
        <x:v>Acquisition month flag</x:v>
      </x:c>
      <x:c r="H146" s="31" t="n">
        <x:v>0</x:v>
      </x:c>
      <x:c r="I146" s="28" t="str"/>
      <x:c r="J146" s="28" t="str">
        <x:v>boolean</x:v>
      </x:c>
      <x:c r="K146" s="28" t="str">
        <x:v>Finance operating schedule</x:v>
      </x:c>
      <x:c r="L146" s="34" t="str">
        <x:v>2026-06-30</x:v>
      </x:c>
      <x:c r="M146" s="28" t="str"/>
    </x:row>
    <x:row r="147">
      <x:c r="A147" s="37" t="str">
        <x:v>PLN-00497</x:v>
      </x:c>
      <x:c r="B147" s="28" t="str">
        <x:v>Forecast accuracy and bias backtest</x:v>
      </x:c>
      <x:c r="C147" s="28" t="str">
        <x:v>Forecast policy flags</x:v>
      </x:c>
      <x:c r="D147" s="28" t="str">
        <x:v>Construction</x:v>
      </x:c>
      <x:c r="E147" s="28" t="str">
        <x:v>2026-01</x:v>
      </x:c>
      <x:c r="F147" s="28" t="str">
        <x:v>Approved case</x:v>
      </x:c>
      <x:c r="G147" s="28" t="str">
        <x:v>Acquisition month flag</x:v>
      </x:c>
      <x:c r="H147" s="31" t="n">
        <x:v>0</x:v>
      </x:c>
      <x:c r="I147" s="28" t="str"/>
      <x:c r="J147" s="28" t="str">
        <x:v>boolean</x:v>
      </x:c>
      <x:c r="K147" s="28" t="str">
        <x:v>Finance operating schedule</x:v>
      </x:c>
      <x:c r="L147" s="34" t="str">
        <x:v>2026-06-30</x:v>
      </x:c>
      <x:c r="M147" s="28" t="str"/>
    </x:row>
    <x:row r="148">
      <x:c r="A148" s="37" t="str">
        <x:v>PLN-00500</x:v>
      </x:c>
      <x:c r="B148" s="28" t="str">
        <x:v>Forecast accuracy and bias backtest</x:v>
      </x:c>
      <x:c r="C148" s="28" t="str">
        <x:v>Forecast policy flags</x:v>
      </x:c>
      <x:c r="D148" s="28" t="str">
        <x:v>Service</x:v>
      </x:c>
      <x:c r="E148" s="28" t="str">
        <x:v>2026-01</x:v>
      </x:c>
      <x:c r="F148" s="28" t="str">
        <x:v>Approved case</x:v>
      </x:c>
      <x:c r="G148" s="28" t="str">
        <x:v>Acquisition month flag</x:v>
      </x:c>
      <x:c r="H148" s="31" t="n">
        <x:v>0</x:v>
      </x:c>
      <x:c r="I148" s="28" t="str"/>
      <x:c r="J148" s="28" t="str">
        <x:v>boolean</x:v>
      </x:c>
      <x:c r="K148" s="28" t="str">
        <x:v>Finance operating schedule</x:v>
      </x:c>
      <x:c r="L148" s="34" t="str">
        <x:v>2026-06-30</x:v>
      </x:c>
      <x:c r="M148" s="28" t="str"/>
    </x:row>
    <x:row r="149">
      <x:c r="A149" s="37" t="str">
        <x:v>PLN-00503</x:v>
      </x:c>
      <x:c r="B149" s="28" t="str">
        <x:v>Forecast accuracy and bias backtest</x:v>
      </x:c>
      <x:c r="C149" s="28" t="str">
        <x:v>Forecast policy flags</x:v>
      </x:c>
      <x:c r="D149" s="28" t="str">
        <x:v>Building Controls</x:v>
      </x:c>
      <x:c r="E149" s="28" t="str">
        <x:v>2026-01</x:v>
      </x:c>
      <x:c r="F149" s="28" t="str">
        <x:v>Approved case</x:v>
      </x:c>
      <x:c r="G149" s="28" t="str">
        <x:v>Acquisition month flag</x:v>
      </x:c>
      <x:c r="H149" s="31" t="n">
        <x:v>0</x:v>
      </x:c>
      <x:c r="I149" s="28" t="str"/>
      <x:c r="J149" s="28" t="str">
        <x:v>boolean</x:v>
      </x:c>
      <x:c r="K149" s="28" t="str">
        <x:v>Finance operating schedule</x:v>
      </x:c>
      <x:c r="L149" s="34" t="str">
        <x:v>2026-06-30</x:v>
      </x:c>
      <x:c r="M149" s="28" t="str"/>
    </x:row>
    <x:row r="150">
      <x:c r="A150" s="37" t="str">
        <x:v>PLN-00506</x:v>
      </x:c>
      <x:c r="B150" s="28" t="str">
        <x:v>Forecast accuracy and bias backtest</x:v>
      </x:c>
      <x:c r="C150" s="28" t="str">
        <x:v>Forecast policy flags</x:v>
      </x:c>
      <x:c r="D150" s="28" t="str">
        <x:v>Construction</x:v>
      </x:c>
      <x:c r="E150" s="28" t="str">
        <x:v>2026-02</x:v>
      </x:c>
      <x:c r="F150" s="28" t="str">
        <x:v>Approved case</x:v>
      </x:c>
      <x:c r="G150" s="28" t="str">
        <x:v>Acquisition month flag</x:v>
      </x:c>
      <x:c r="H150" s="31" t="n">
        <x:v>1</x:v>
      </x:c>
      <x:c r="I150" s="28" t="str"/>
      <x:c r="J150" s="28" t="str">
        <x:v>boolean</x:v>
      </x:c>
      <x:c r="K150" s="28" t="str">
        <x:v>Finance operating schedule</x:v>
      </x:c>
      <x:c r="L150" s="34" t="str">
        <x:v>2026-06-30</x:v>
      </x:c>
      <x:c r="M150" s="28" t="str"/>
    </x:row>
    <x:row r="151">
      <x:c r="A151" s="37" t="str">
        <x:v>PLN-00509</x:v>
      </x:c>
      <x:c r="B151" s="28" t="str">
        <x:v>Forecast accuracy and bias backtest</x:v>
      </x:c>
      <x:c r="C151" s="28" t="str">
        <x:v>Forecast policy flags</x:v>
      </x:c>
      <x:c r="D151" s="28" t="str">
        <x:v>Service</x:v>
      </x:c>
      <x:c r="E151" s="28" t="str">
        <x:v>2026-02</x:v>
      </x:c>
      <x:c r="F151" s="28" t="str">
        <x:v>Approved case</x:v>
      </x:c>
      <x:c r="G151" s="28" t="str">
        <x:v>Acquisition month flag</x:v>
      </x:c>
      <x:c r="H151" s="31" t="n">
        <x:v>1</x:v>
      </x:c>
      <x:c r="I151" s="28" t="str"/>
      <x:c r="J151" s="28" t="str">
        <x:v>boolean</x:v>
      </x:c>
      <x:c r="K151" s="28" t="str">
        <x:v>Finance operating schedule</x:v>
      </x:c>
      <x:c r="L151" s="34" t="str">
        <x:v>2026-06-30</x:v>
      </x:c>
      <x:c r="M151" s="28" t="str"/>
    </x:row>
    <x:row r="152">
      <x:c r="A152" s="37" t="str">
        <x:v>PLN-00512</x:v>
      </x:c>
      <x:c r="B152" s="28" t="str">
        <x:v>Forecast accuracy and bias backtest</x:v>
      </x:c>
      <x:c r="C152" s="28" t="str">
        <x:v>Forecast policy flags</x:v>
      </x:c>
      <x:c r="D152" s="28" t="str">
        <x:v>Building Controls</x:v>
      </x:c>
      <x:c r="E152" s="28" t="str">
        <x:v>2026-02</x:v>
      </x:c>
      <x:c r="F152" s="28" t="str">
        <x:v>Approved case</x:v>
      </x:c>
      <x:c r="G152" s="28" t="str">
        <x:v>Acquisition month flag</x:v>
      </x:c>
      <x:c r="H152" s="31" t="n">
        <x:v>1</x:v>
      </x:c>
      <x:c r="I152" s="28" t="str"/>
      <x:c r="J152" s="28" t="str">
        <x:v>boolean</x:v>
      </x:c>
      <x:c r="K152" s="28" t="str">
        <x:v>Finance operating schedule</x:v>
      </x:c>
      <x:c r="L152" s="34" t="str">
        <x:v>2026-06-30</x:v>
      </x:c>
      <x:c r="M152" s="28" t="str"/>
    </x:row>
    <x:row r="153">
      <x:c r="A153" s="37" t="str">
        <x:v>PLN-00515</x:v>
      </x:c>
      <x:c r="B153" s="28" t="str">
        <x:v>Forecast accuracy and bias backtest</x:v>
      </x:c>
      <x:c r="C153" s="28" t="str">
        <x:v>Forecast policy flags</x:v>
      </x:c>
      <x:c r="D153" s="28" t="str">
        <x:v>Construction</x:v>
      </x:c>
      <x:c r="E153" s="28" t="str">
        <x:v>2026-03</x:v>
      </x:c>
      <x:c r="F153" s="28" t="str">
        <x:v>Approved case</x:v>
      </x:c>
      <x:c r="G153" s="28" t="str">
        <x:v>Acquisition month flag</x:v>
      </x:c>
      <x:c r="H153" s="31" t="n">
        <x:v>0</x:v>
      </x:c>
      <x:c r="I153" s="28" t="str"/>
      <x:c r="J153" s="28" t="str">
        <x:v>boolean</x:v>
      </x:c>
      <x:c r="K153" s="28" t="str">
        <x:v>Finance operating schedule</x:v>
      </x:c>
      <x:c r="L153" s="34" t="str">
        <x:v>2026-06-30</x:v>
      </x:c>
      <x:c r="M153" s="28" t="str"/>
    </x:row>
    <x:row r="154">
      <x:c r="A154" s="37" t="str">
        <x:v>PLN-00518</x:v>
      </x:c>
      <x:c r="B154" s="28" t="str">
        <x:v>Forecast accuracy and bias backtest</x:v>
      </x:c>
      <x:c r="C154" s="28" t="str">
        <x:v>Forecast policy flags</x:v>
      </x:c>
      <x:c r="D154" s="28" t="str">
        <x:v>Service</x:v>
      </x:c>
      <x:c r="E154" s="28" t="str">
        <x:v>2026-03</x:v>
      </x:c>
      <x:c r="F154" s="28" t="str">
        <x:v>Approved case</x:v>
      </x:c>
      <x:c r="G154" s="28" t="str">
        <x:v>Acquisition month flag</x:v>
      </x:c>
      <x:c r="H154" s="31" t="n">
        <x:v>0</x:v>
      </x:c>
      <x:c r="I154" s="28" t="str"/>
      <x:c r="J154" s="28" t="str">
        <x:v>boolean</x:v>
      </x:c>
      <x:c r="K154" s="28" t="str">
        <x:v>Finance operating schedule</x:v>
      </x:c>
      <x:c r="L154" s="34" t="str">
        <x:v>2026-06-30</x:v>
      </x:c>
      <x:c r="M154" s="28" t="str"/>
    </x:row>
    <x:row r="155">
      <x:c r="A155" s="37" t="str">
        <x:v>PLN-00521</x:v>
      </x:c>
      <x:c r="B155" s="28" t="str">
        <x:v>Forecast accuracy and bias backtest</x:v>
      </x:c>
      <x:c r="C155" s="28" t="str">
        <x:v>Forecast policy flags</x:v>
      </x:c>
      <x:c r="D155" s="28" t="str">
        <x:v>Building Controls</x:v>
      </x:c>
      <x:c r="E155" s="28" t="str">
        <x:v>2026-03</x:v>
      </x:c>
      <x:c r="F155" s="28" t="str">
        <x:v>Approved case</x:v>
      </x:c>
      <x:c r="G155" s="28" t="str">
        <x:v>Acquisition month flag</x:v>
      </x:c>
      <x:c r="H155" s="31" t="n">
        <x:v>0</x:v>
      </x:c>
      <x:c r="I155" s="28" t="str"/>
      <x:c r="J155" s="28" t="str">
        <x:v>boolean</x:v>
      </x:c>
      <x:c r="K155" s="28" t="str">
        <x:v>Finance operating schedule</x:v>
      </x:c>
      <x:c r="L155" s="34" t="str">
        <x:v>2026-06-30</x:v>
      </x:c>
      <x:c r="M155" s="28" t="str"/>
    </x:row>
    <x:row r="156">
      <x:c r="A156" s="37" t="str">
        <x:v>PLN-00524</x:v>
      </x:c>
      <x:c r="B156" s="28" t="str">
        <x:v>Forecast accuracy and bias backtest</x:v>
      </x:c>
      <x:c r="C156" s="28" t="str">
        <x:v>Forecast policy flags</x:v>
      </x:c>
      <x:c r="D156" s="28" t="str">
        <x:v>Construction</x:v>
      </x:c>
      <x:c r="E156" s="28" t="str">
        <x:v>2026-04</x:v>
      </x:c>
      <x:c r="F156" s="28" t="str">
        <x:v>Approved case</x:v>
      </x:c>
      <x:c r="G156" s="28" t="str">
        <x:v>Acquisition month flag</x:v>
      </x:c>
      <x:c r="H156" s="31" t="n">
        <x:v>0</x:v>
      </x:c>
      <x:c r="I156" s="28" t="str"/>
      <x:c r="J156" s="28" t="str">
        <x:v>boolean</x:v>
      </x:c>
      <x:c r="K156" s="28" t="str">
        <x:v>Finance operating schedule</x:v>
      </x:c>
      <x:c r="L156" s="34" t="str">
        <x:v>2026-06-30</x:v>
      </x:c>
      <x:c r="M156" s="28" t="str"/>
    </x:row>
    <x:row r="157">
      <x:c r="A157" s="37" t="str">
        <x:v>PLN-00527</x:v>
      </x:c>
      <x:c r="B157" s="28" t="str">
        <x:v>Forecast accuracy and bias backtest</x:v>
      </x:c>
      <x:c r="C157" s="28" t="str">
        <x:v>Forecast policy flags</x:v>
      </x:c>
      <x:c r="D157" s="28" t="str">
        <x:v>Service</x:v>
      </x:c>
      <x:c r="E157" s="28" t="str">
        <x:v>2026-04</x:v>
      </x:c>
      <x:c r="F157" s="28" t="str">
        <x:v>Approved case</x:v>
      </x:c>
      <x:c r="G157" s="28" t="str">
        <x:v>Acquisition month flag</x:v>
      </x:c>
      <x:c r="H157" s="31" t="n">
        <x:v>0</x:v>
      </x:c>
      <x:c r="I157" s="28" t="str"/>
      <x:c r="J157" s="28" t="str">
        <x:v>boolean</x:v>
      </x:c>
      <x:c r="K157" s="28" t="str">
        <x:v>Finance operating schedule</x:v>
      </x:c>
      <x:c r="L157" s="34" t="str">
        <x:v>2026-06-30</x:v>
      </x:c>
      <x:c r="M157" s="28" t="str"/>
    </x:row>
    <x:row r="158">
      <x:c r="A158" s="37" t="str">
        <x:v>PLN-00530</x:v>
      </x:c>
      <x:c r="B158" s="28" t="str">
        <x:v>Forecast accuracy and bias backtest</x:v>
      </x:c>
      <x:c r="C158" s="28" t="str">
        <x:v>Forecast policy flags</x:v>
      </x:c>
      <x:c r="D158" s="28" t="str">
        <x:v>Building Controls</x:v>
      </x:c>
      <x:c r="E158" s="28" t="str">
        <x:v>2026-04</x:v>
      </x:c>
      <x:c r="F158" s="28" t="str">
        <x:v>Approved case</x:v>
      </x:c>
      <x:c r="G158" s="28" t="str">
        <x:v>Acquisition month flag</x:v>
      </x:c>
      <x:c r="H158" s="31" t="n">
        <x:v>0</x:v>
      </x:c>
      <x:c r="I158" s="28" t="str"/>
      <x:c r="J158" s="28" t="str">
        <x:v>boolean</x:v>
      </x:c>
      <x:c r="K158" s="28" t="str">
        <x:v>Finance operating schedule</x:v>
      </x:c>
      <x:c r="L158" s="34" t="str">
        <x:v>2026-06-30</x:v>
      </x:c>
      <x:c r="M158" s="28" t="str"/>
    </x:row>
    <x:row r="159">
      <x:c r="A159" s="37" t="str">
        <x:v>PLN-00533</x:v>
      </x:c>
      <x:c r="B159" s="28" t="str">
        <x:v>Forecast accuracy and bias backtest</x:v>
      </x:c>
      <x:c r="C159" s="28" t="str">
        <x:v>Forecast policy flags</x:v>
      </x:c>
      <x:c r="D159" s="28" t="str">
        <x:v>Construction</x:v>
      </x:c>
      <x:c r="E159" s="28" t="str">
        <x:v>2026-05</x:v>
      </x:c>
      <x:c r="F159" s="28" t="str">
        <x:v>Approved case</x:v>
      </x:c>
      <x:c r="G159" s="28" t="str">
        <x:v>Acquisition month flag</x:v>
      </x:c>
      <x:c r="H159" s="31" t="n">
        <x:v>0</x:v>
      </x:c>
      <x:c r="I159" s="28" t="str"/>
      <x:c r="J159" s="28" t="str">
        <x:v>boolean</x:v>
      </x:c>
      <x:c r="K159" s="28" t="str">
        <x:v>Finance operating schedule</x:v>
      </x:c>
      <x:c r="L159" s="34" t="str">
        <x:v>2026-06-30</x:v>
      </x:c>
      <x:c r="M159" s="28" t="str"/>
    </x:row>
    <x:row r="160">
      <x:c r="A160" s="37" t="str">
        <x:v>PLN-00536</x:v>
      </x:c>
      <x:c r="B160" s="28" t="str">
        <x:v>Forecast accuracy and bias backtest</x:v>
      </x:c>
      <x:c r="C160" s="28" t="str">
        <x:v>Forecast policy flags</x:v>
      </x:c>
      <x:c r="D160" s="28" t="str">
        <x:v>Service</x:v>
      </x:c>
      <x:c r="E160" s="28" t="str">
        <x:v>2026-05</x:v>
      </x:c>
      <x:c r="F160" s="28" t="str">
        <x:v>Approved case</x:v>
      </x:c>
      <x:c r="G160" s="28" t="str">
        <x:v>Acquisition month flag</x:v>
      </x:c>
      <x:c r="H160" s="31" t="n">
        <x:v>0</x:v>
      </x:c>
      <x:c r="I160" s="28" t="str"/>
      <x:c r="J160" s="28" t="str">
        <x:v>boolean</x:v>
      </x:c>
      <x:c r="K160" s="28" t="str">
        <x:v>Finance operating schedule</x:v>
      </x:c>
      <x:c r="L160" s="34" t="str">
        <x:v>2026-06-30</x:v>
      </x:c>
      <x:c r="M160" s="28" t="str"/>
    </x:row>
    <x:row r="161">
      <x:c r="A161" s="37" t="str">
        <x:v>PLN-00539</x:v>
      </x:c>
      <x:c r="B161" s="28" t="str">
        <x:v>Forecast accuracy and bias backtest</x:v>
      </x:c>
      <x:c r="C161" s="28" t="str">
        <x:v>Forecast policy flags</x:v>
      </x:c>
      <x:c r="D161" s="28" t="str">
        <x:v>Building Controls</x:v>
      </x:c>
      <x:c r="E161" s="28" t="str">
        <x:v>2026-05</x:v>
      </x:c>
      <x:c r="F161" s="28" t="str">
        <x:v>Approved case</x:v>
      </x:c>
      <x:c r="G161" s="28" t="str">
        <x:v>Acquisition month flag</x:v>
      </x:c>
      <x:c r="H161" s="31" t="n">
        <x:v>0</x:v>
      </x:c>
      <x:c r="I161" s="28" t="str"/>
      <x:c r="J161" s="28" t="str">
        <x:v>boolean</x:v>
      </x:c>
      <x:c r="K161" s="28" t="str">
        <x:v>Finance operating schedule</x:v>
      </x:c>
      <x:c r="L161" s="34" t="str">
        <x:v>2026-06-30</x:v>
      </x:c>
      <x:c r="M161" s="28" t="str"/>
    </x:row>
    <x:row r="162">
      <x:c r="A162" s="37" t="str">
        <x:v>PLN-00542</x:v>
      </x:c>
      <x:c r="B162" s="28" t="str">
        <x:v>Forecast accuracy and bias backtest</x:v>
      </x:c>
      <x:c r="C162" s="28" t="str">
        <x:v>Forecast policy flags</x:v>
      </x:c>
      <x:c r="D162" s="28" t="str">
        <x:v>Construction</x:v>
      </x:c>
      <x:c r="E162" s="28" t="str">
        <x:v>2026-06</x:v>
      </x:c>
      <x:c r="F162" s="28" t="str">
        <x:v>Approved case</x:v>
      </x:c>
      <x:c r="G162" s="28" t="str">
        <x:v>Acquisition month flag</x:v>
      </x:c>
      <x:c r="H162" s="31" t="n">
        <x:v>0</x:v>
      </x:c>
      <x:c r="I162" s="28" t="str"/>
      <x:c r="J162" s="28" t="str">
        <x:v>boolean</x:v>
      </x:c>
      <x:c r="K162" s="28" t="str">
        <x:v>Finance operating schedule</x:v>
      </x:c>
      <x:c r="L162" s="34" t="str">
        <x:v>2026-06-30</x:v>
      </x:c>
      <x:c r="M162" s="28" t="str"/>
    </x:row>
    <x:row r="163">
      <x:c r="A163" s="37" t="str">
        <x:v>PLN-00545</x:v>
      </x:c>
      <x:c r="B163" s="28" t="str">
        <x:v>Forecast accuracy and bias backtest</x:v>
      </x:c>
      <x:c r="C163" s="28" t="str">
        <x:v>Forecast policy flags</x:v>
      </x:c>
      <x:c r="D163" s="28" t="str">
        <x:v>Service</x:v>
      </x:c>
      <x:c r="E163" s="28" t="str">
        <x:v>2026-06</x:v>
      </x:c>
      <x:c r="F163" s="28" t="str">
        <x:v>Approved case</x:v>
      </x:c>
      <x:c r="G163" s="28" t="str">
        <x:v>Acquisition month flag</x:v>
      </x:c>
      <x:c r="H163" s="31" t="n">
        <x:v>0</x:v>
      </x:c>
      <x:c r="I163" s="28" t="str"/>
      <x:c r="J163" s="28" t="str">
        <x:v>boolean</x:v>
      </x:c>
      <x:c r="K163" s="28" t="str">
        <x:v>Finance operating schedule</x:v>
      </x:c>
      <x:c r="L163" s="34" t="str">
        <x:v>2026-06-30</x:v>
      </x:c>
      <x:c r="M163" s="28" t="str"/>
    </x:row>
    <x:row r="164">
      <x:c r="A164" s="37" t="str">
        <x:v>PLN-00548</x:v>
      </x:c>
      <x:c r="B164" s="28" t="str">
        <x:v>Forecast accuracy and bias backtest</x:v>
      </x:c>
      <x:c r="C164" s="28" t="str">
        <x:v>Forecast policy flags</x:v>
      </x:c>
      <x:c r="D164" s="28" t="str">
        <x:v>Building Controls</x:v>
      </x:c>
      <x:c r="E164" s="28" t="str">
        <x:v>2026-06</x:v>
      </x:c>
      <x:c r="F164" s="28" t="str">
        <x:v>Approved case</x:v>
      </x:c>
      <x:c r="G164" s="28" t="str">
        <x:v>Acquisition month flag</x:v>
      </x:c>
      <x:c r="H164" s="31" t="n">
        <x:v>0</x:v>
      </x:c>
      <x:c r="I164" s="28" t="str"/>
      <x:c r="J164" s="28" t="str">
        <x:v>boolean</x:v>
      </x:c>
      <x:c r="K164" s="28" t="str">
        <x:v>Finance operating schedule</x:v>
      </x:c>
      <x:c r="L164" s="34" t="str">
        <x:v>2026-06-30</x:v>
      </x:c>
      <x:c r="M164" s="28" t="str"/>
    </x:row>
    <x:row r="165">
      <x:c r="A165" s="37" t="str">
        <x:v>PLN-01265</x:v>
      </x:c>
      <x:c r="B165" s="28" t="str">
        <x:v>Scenario-weighted earnings and liquidity at risk</x:v>
      </x:c>
      <x:c r="C165" s="28" t="str">
        <x:v>Scenario baseline</x:v>
      </x:c>
      <x:c r="D165" s="28" t="str">
        <x:v>Alder Ridge</x:v>
      </x:c>
      <x:c r="E165" s="28" t="str">
        <x:v>FY27</x:v>
      </x:c>
      <x:c r="F165" s="28" t="str">
        <x:v>Approved case</x:v>
      </x:c>
      <x:c r="G165" s="28" t="str">
        <x:v>Revenue</x:v>
      </x:c>
      <x:c r="H165" s="31" t="n">
        <x:v>53950000</x:v>
      </x:c>
      <x:c r="I165" s="28" t="str"/>
      <x:c r="J165" s="28" t="str">
        <x:v>USD</x:v>
      </x:c>
      <x:c r="K165" s="28" t="str">
        <x:v>Finance operating schedule</x:v>
      </x:c>
      <x:c r="L165" s="34" t="str">
        <x:v>2026-06-30</x:v>
      </x:c>
      <x:c r="M165" s="28" t="str"/>
    </x:row>
    <x:row r="166">
      <x:c r="A166" s="37" t="str">
        <x:v>PLN-01266</x:v>
      </x:c>
      <x:c r="B166" s="28" t="str">
        <x:v>Scenario-weighted earnings and liquidity at risk</x:v>
      </x:c>
      <x:c r="C166" s="28" t="str">
        <x:v>Scenario baseline</x:v>
      </x:c>
      <x:c r="D166" s="28" t="str">
        <x:v>Alder Ridge</x:v>
      </x:c>
      <x:c r="E166" s="28" t="str">
        <x:v>FY27</x:v>
      </x:c>
      <x:c r="F166" s="28" t="str">
        <x:v>Approved case</x:v>
      </x:c>
      <x:c r="G166" s="28" t="str">
        <x:v>Gross margin</x:v>
      </x:c>
      <x:c r="H166" s="31" t="n">
        <x:v>0.2925</x:v>
      </x:c>
      <x:c r="I166" s="28" t="str"/>
      <x:c r="J166" s="28" t="str">
        <x:v>decimal ratio</x:v>
      </x:c>
      <x:c r="K166" s="28" t="str">
        <x:v>Finance operating schedule</x:v>
      </x:c>
      <x:c r="L166" s="34" t="str">
        <x:v>2026-06-30</x:v>
      </x:c>
      <x:c r="M166" s="28" t="str"/>
    </x:row>
    <x:row r="167">
      <x:c r="A167" s="37" t="str">
        <x:v>PLN-01267</x:v>
      </x:c>
      <x:c r="B167" s="28" t="str">
        <x:v>Scenario-weighted earnings and liquidity at risk</x:v>
      </x:c>
      <x:c r="C167" s="28" t="str">
        <x:v>Scenario baseline</x:v>
      </x:c>
      <x:c r="D167" s="28" t="str">
        <x:v>Alder Ridge</x:v>
      </x:c>
      <x:c r="E167" s="28" t="str">
        <x:v>FY27</x:v>
      </x:c>
      <x:c r="F167" s="28" t="str">
        <x:v>Approved case</x:v>
      </x:c>
      <x:c r="G167" s="28" t="str">
        <x:v>Operating expense</x:v>
      </x:c>
      <x:c r="H167" s="31" t="n">
        <x:v>11420000</x:v>
      </x:c>
      <x:c r="I167" s="28" t="str"/>
      <x:c r="J167" s="28" t="str">
        <x:v>USD</x:v>
      </x:c>
      <x:c r="K167" s="28" t="str">
        <x:v>Finance operating schedule</x:v>
      </x:c>
      <x:c r="L167" s="34" t="str">
        <x:v>2026-06-30</x:v>
      </x:c>
      <x:c r="M167" s="28" t="str"/>
    </x:row>
    <x:row r="168">
      <x:c r="A168" s="37" t="str">
        <x:v>PLN-01268</x:v>
      </x:c>
      <x:c r="B168" s="28" t="str">
        <x:v>Scenario-weighted earnings and liquidity at risk</x:v>
      </x:c>
      <x:c r="C168" s="28" t="str">
        <x:v>Scenario baseline</x:v>
      </x:c>
      <x:c r="D168" s="28" t="str">
        <x:v>Alder Ridge</x:v>
      </x:c>
      <x:c r="E168" s="28" t="str">
        <x:v>2026-06-30</x:v>
      </x:c>
      <x:c r="F168" s="28" t="str">
        <x:v>Approved case</x:v>
      </x:c>
      <x:c r="G168" s="28" t="str">
        <x:v>Opening cash</x:v>
      </x:c>
      <x:c r="H168" s="31" t="n">
        <x:v>1</x:v>
      </x:c>
      <x:c r="I168" s="28" t="str"/>
      <x:c r="J168" s="28" t="str">
        <x:v>ledger allocation factor</x:v>
      </x:c>
      <x:c r="K168" s="28" t="str">
        <x:v>Finance operating schedule</x:v>
      </x:c>
      <x:c r="L168" s="34" t="str">
        <x:v>2026-06-30</x:v>
      </x:c>
      <x:c r="M168" s="28" t="str">
        <x:v>Vista ERP cash detail as of 2026-06-30; unrestricted company cash accounts</x:v>
      </x:c>
    </x:row>
    <x:row r="169">
      <x:c r="A169" s="37" t="str">
        <x:v>PLN-01269</x:v>
      </x:c>
      <x:c r="B169" s="28" t="str">
        <x:v>Scenario-weighted earnings and liquidity at risk</x:v>
      </x:c>
      <x:c r="C169" s="28" t="str">
        <x:v>Integrated risk scenarios</x:v>
      </x:c>
      <x:c r="D169" s="28" t="str">
        <x:v>Alder Ridge</x:v>
      </x:c>
      <x:c r="E169" s="28" t="str">
        <x:v>Upside</x:v>
      </x:c>
      <x:c r="F169" s="28" t="str">
        <x:v>Approved case</x:v>
      </x:c>
      <x:c r="G169" s="28" t="str">
        <x:v>Probability</x:v>
      </x:c>
      <x:c r="H169" s="31" t="n">
        <x:v>0.15</x:v>
      </x:c>
      <x:c r="I169" s="28" t="str"/>
      <x:c r="J169" s="28" t="str">
        <x:v>decimal ratio</x:v>
      </x:c>
      <x:c r="K169" s="28" t="str">
        <x:v>Finance operating schedule</x:v>
      </x:c>
      <x:c r="L169" s="34" t="str">
        <x:v>2026-06-30</x:v>
      </x:c>
      <x:c r="M169" s="28" t="str"/>
    </x:row>
    <x:row r="170">
      <x:c r="A170" s="37" t="str">
        <x:v>PLN-01270</x:v>
      </x:c>
      <x:c r="B170" s="28" t="str">
        <x:v>Scenario-weighted earnings and liquidity at risk</x:v>
      </x:c>
      <x:c r="C170" s="28" t="str">
        <x:v>Integrated risk scenarios</x:v>
      </x:c>
      <x:c r="D170" s="28" t="str">
        <x:v>Alder Ridge</x:v>
      </x:c>
      <x:c r="E170" s="28" t="str">
        <x:v>Upside</x:v>
      </x:c>
      <x:c r="F170" s="28" t="str">
        <x:v>Approved case</x:v>
      </x:c>
      <x:c r="G170" s="28" t="str">
        <x:v>Revenue change</x:v>
      </x:c>
      <x:c r="H170" s="31" t="n">
        <x:v>0.045</x:v>
      </x:c>
      <x:c r="I170" s="28" t="str"/>
      <x:c r="J170" s="28" t="str">
        <x:v>decimal ratio</x:v>
      </x:c>
      <x:c r="K170" s="28" t="str">
        <x:v>Finance operating schedule</x:v>
      </x:c>
      <x:c r="L170" s="34" t="str">
        <x:v>2026-06-30</x:v>
      </x:c>
      <x:c r="M170" s="28" t="str"/>
    </x:row>
    <x:row r="171">
      <x:c r="A171" s="37" t="str">
        <x:v>PLN-01271</x:v>
      </x:c>
      <x:c r="B171" s="28" t="str">
        <x:v>Scenario-weighted earnings and liquidity at risk</x:v>
      </x:c>
      <x:c r="C171" s="28" t="str">
        <x:v>Integrated risk scenarios</x:v>
      </x:c>
      <x:c r="D171" s="28" t="str">
        <x:v>Alder Ridge</x:v>
      </x:c>
      <x:c r="E171" s="28" t="str">
        <x:v>Upside</x:v>
      </x:c>
      <x:c r="F171" s="28" t="str">
        <x:v>Approved case</x:v>
      </x:c>
      <x:c r="G171" s="28" t="str">
        <x:v>Gross margin change</x:v>
      </x:c>
      <x:c r="H171" s="31" t="n">
        <x:v>0.01</x:v>
      </x:c>
      <x:c r="I171" s="28" t="str"/>
      <x:c r="J171" s="28" t="str">
        <x:v>decimal ratio</x:v>
      </x:c>
      <x:c r="K171" s="28" t="str">
        <x:v>Finance operating schedule</x:v>
      </x:c>
      <x:c r="L171" s="34" t="str">
        <x:v>2026-06-30</x:v>
      </x:c>
      <x:c r="M171" s="28" t="str"/>
    </x:row>
    <x:row r="172">
      <x:c r="A172" s="37" t="str">
        <x:v>PLN-01272</x:v>
      </x:c>
      <x:c r="B172" s="28" t="str">
        <x:v>Scenario-weighted earnings and liquidity at risk</x:v>
      </x:c>
      <x:c r="C172" s="28" t="str">
        <x:v>Integrated risk scenarios</x:v>
      </x:c>
      <x:c r="D172" s="28" t="str">
        <x:v>Alder Ridge</x:v>
      </x:c>
      <x:c r="E172" s="28" t="str">
        <x:v>Upside</x:v>
      </x:c>
      <x:c r="F172" s="28" t="str">
        <x:v>Approved case</x:v>
      </x:c>
      <x:c r="G172" s="28" t="str">
        <x:v>DSO change</x:v>
      </x:c>
      <x:c r="H172" s="31" t="n">
        <x:v>-3</x:v>
      </x:c>
      <x:c r="I172" s="28" t="str"/>
      <x:c r="J172" s="28" t="str">
        <x:v>days</x:v>
      </x:c>
      <x:c r="K172" s="28" t="str">
        <x:v>Finance operating schedule</x:v>
      </x:c>
      <x:c r="L172" s="34" t="str">
        <x:v>2026-06-30</x:v>
      </x:c>
      <x:c r="M172" s="28" t="str"/>
    </x:row>
    <x:row r="173">
      <x:c r="A173" s="37" t="str">
        <x:v>PLN-01273</x:v>
      </x:c>
      <x:c r="B173" s="28" t="str">
        <x:v>Scenario-weighted earnings and liquidity at risk</x:v>
      </x:c>
      <x:c r="C173" s="28" t="str">
        <x:v>Integrated risk scenarios</x:v>
      </x:c>
      <x:c r="D173" s="28" t="str">
        <x:v>Alder Ridge</x:v>
      </x:c>
      <x:c r="E173" s="28" t="str">
        <x:v>Upside</x:v>
      </x:c>
      <x:c r="F173" s="28" t="str">
        <x:v>Approved case</x:v>
      </x:c>
      <x:c r="G173" s="28" t="str">
        <x:v>Capex deferral</x:v>
      </x:c>
      <x:c r="H173" s="31" t="n">
        <x:v>150000</x:v>
      </x:c>
      <x:c r="I173" s="28" t="str"/>
      <x:c r="J173" s="28" t="str">
        <x:v>USD</x:v>
      </x:c>
      <x:c r="K173" s="28" t="str">
        <x:v>Finance operating schedule</x:v>
      </x:c>
      <x:c r="L173" s="34" t="str">
        <x:v>2026-06-30</x:v>
      </x:c>
      <x:c r="M173" s="28" t="str"/>
    </x:row>
    <x:row r="174">
      <x:c r="A174" s="37" t="str">
        <x:v>PLN-01274</x:v>
      </x:c>
      <x:c r="B174" s="28" t="str">
        <x:v>Scenario-weighted earnings and liquidity at risk</x:v>
      </x:c>
      <x:c r="C174" s="28" t="str">
        <x:v>Integrated risk scenarios</x:v>
      </x:c>
      <x:c r="D174" s="28" t="str">
        <x:v>Alder Ridge</x:v>
      </x:c>
      <x:c r="E174" s="28" t="str">
        <x:v>Upside</x:v>
      </x:c>
      <x:c r="F174" s="28" t="str">
        <x:v>Approved case</x:v>
      </x:c>
      <x:c r="G174" s="28" t="str">
        <x:v>One-time mitigation cost</x:v>
      </x:c>
      <x:c r="H174" s="31" t="n">
        <x:v>0</x:v>
      </x:c>
      <x:c r="I174" s="28" t="str"/>
      <x:c r="J174" s="28" t="str">
        <x:v>USD</x:v>
      </x:c>
      <x:c r="K174" s="28" t="str">
        <x:v>Finance operating schedule</x:v>
      </x:c>
      <x:c r="L174" s="34" t="str">
        <x:v>2026-06-30</x:v>
      </x:c>
      <x:c r="M174" s="28" t="str"/>
    </x:row>
    <x:row r="175">
      <x:c r="A175" s="37" t="str">
        <x:v>PLN-01275</x:v>
      </x:c>
      <x:c r="B175" s="28" t="str">
        <x:v>Scenario-weighted earnings and liquidity at risk</x:v>
      </x:c>
      <x:c r="C175" s="28" t="str">
        <x:v>Integrated risk scenarios</x:v>
      </x:c>
      <x:c r="D175" s="28" t="str">
        <x:v>Alder Ridge</x:v>
      </x:c>
      <x:c r="E175" s="28" t="str">
        <x:v>Base</x:v>
      </x:c>
      <x:c r="F175" s="28" t="str">
        <x:v>Approved case</x:v>
      </x:c>
      <x:c r="G175" s="28" t="str">
        <x:v>Probability</x:v>
      </x:c>
      <x:c r="H175" s="31" t="n">
        <x:v>0.45</x:v>
      </x:c>
      <x:c r="I175" s="28" t="str"/>
      <x:c r="J175" s="28" t="str">
        <x:v>decimal ratio</x:v>
      </x:c>
      <x:c r="K175" s="28" t="str">
        <x:v>Finance operating schedule</x:v>
      </x:c>
      <x:c r="L175" s="34" t="str">
        <x:v>2026-06-30</x:v>
      </x:c>
      <x:c r="M175" s="28" t="str"/>
    </x:row>
    <x:row r="176">
      <x:c r="A176" s="37" t="str">
        <x:v>PLN-01276</x:v>
      </x:c>
      <x:c r="B176" s="28" t="str">
        <x:v>Scenario-weighted earnings and liquidity at risk</x:v>
      </x:c>
      <x:c r="C176" s="28" t="str">
        <x:v>Integrated risk scenarios</x:v>
      </x:c>
      <x:c r="D176" s="28" t="str">
        <x:v>Alder Ridge</x:v>
      </x:c>
      <x:c r="E176" s="28" t="str">
        <x:v>Base</x:v>
      </x:c>
      <x:c r="F176" s="28" t="str">
        <x:v>Approved case</x:v>
      </x:c>
      <x:c r="G176" s="28" t="str">
        <x:v>Revenue change</x:v>
      </x:c>
      <x:c r="H176" s="31" t="n">
        <x:v>0</x:v>
      </x:c>
      <x:c r="I176" s="28" t="str"/>
      <x:c r="J176" s="28" t="str">
        <x:v>decimal ratio</x:v>
      </x:c>
      <x:c r="K176" s="28" t="str">
        <x:v>Finance operating schedule</x:v>
      </x:c>
      <x:c r="L176" s="34" t="str">
        <x:v>2026-06-30</x:v>
      </x:c>
      <x:c r="M176" s="28" t="str"/>
    </x:row>
    <x:row r="177">
      <x:c r="A177" s="37" t="str">
        <x:v>PLN-01277</x:v>
      </x:c>
      <x:c r="B177" s="28" t="str">
        <x:v>Scenario-weighted earnings and liquidity at risk</x:v>
      </x:c>
      <x:c r="C177" s="28" t="str">
        <x:v>Integrated risk scenarios</x:v>
      </x:c>
      <x:c r="D177" s="28" t="str">
        <x:v>Alder Ridge</x:v>
      </x:c>
      <x:c r="E177" s="28" t="str">
        <x:v>Base</x:v>
      </x:c>
      <x:c r="F177" s="28" t="str">
        <x:v>Approved case</x:v>
      </x:c>
      <x:c r="G177" s="28" t="str">
        <x:v>Gross margin change</x:v>
      </x:c>
      <x:c r="H177" s="31" t="n">
        <x:v>0</x:v>
      </x:c>
      <x:c r="I177" s="28" t="str"/>
      <x:c r="J177" s="28" t="str">
        <x:v>decimal ratio</x:v>
      </x:c>
      <x:c r="K177" s="28" t="str">
        <x:v>Finance operating schedule</x:v>
      </x:c>
      <x:c r="L177" s="34" t="str">
        <x:v>2026-06-30</x:v>
      </x:c>
      <x:c r="M177" s="28" t="str"/>
    </x:row>
    <x:row r="178">
      <x:c r="A178" s="37" t="str">
        <x:v>PLN-01278</x:v>
      </x:c>
      <x:c r="B178" s="28" t="str">
        <x:v>Scenario-weighted earnings and liquidity at risk</x:v>
      </x:c>
      <x:c r="C178" s="28" t="str">
        <x:v>Integrated risk scenarios</x:v>
      </x:c>
      <x:c r="D178" s="28" t="str">
        <x:v>Alder Ridge</x:v>
      </x:c>
      <x:c r="E178" s="28" t="str">
        <x:v>Base</x:v>
      </x:c>
      <x:c r="F178" s="28" t="str">
        <x:v>Approved case</x:v>
      </x:c>
      <x:c r="G178" s="28" t="str">
        <x:v>DSO change</x:v>
      </x:c>
      <x:c r="H178" s="31" t="n">
        <x:v>0</x:v>
      </x:c>
      <x:c r="I178" s="28" t="str"/>
      <x:c r="J178" s="28" t="str">
        <x:v>days</x:v>
      </x:c>
      <x:c r="K178" s="28" t="str">
        <x:v>Finance operating schedule</x:v>
      </x:c>
      <x:c r="L178" s="34" t="str">
        <x:v>2026-06-30</x:v>
      </x:c>
      <x:c r="M178" s="28" t="str"/>
    </x:row>
    <x:row r="179">
      <x:c r="A179" s="37" t="str">
        <x:v>PLN-01279</x:v>
      </x:c>
      <x:c r="B179" s="28" t="str">
        <x:v>Scenario-weighted earnings and liquidity at risk</x:v>
      </x:c>
      <x:c r="C179" s="28" t="str">
        <x:v>Integrated risk scenarios</x:v>
      </x:c>
      <x:c r="D179" s="28" t="str">
        <x:v>Alder Ridge</x:v>
      </x:c>
      <x:c r="E179" s="28" t="str">
        <x:v>Base</x:v>
      </x:c>
      <x:c r="F179" s="28" t="str">
        <x:v>Approved case</x:v>
      </x:c>
      <x:c r="G179" s="28" t="str">
        <x:v>Capex deferral</x:v>
      </x:c>
      <x:c r="H179" s="31" t="n">
        <x:v>0</x:v>
      </x:c>
      <x:c r="I179" s="28" t="str"/>
      <x:c r="J179" s="28" t="str">
        <x:v>USD</x:v>
      </x:c>
      <x:c r="K179" s="28" t="str">
        <x:v>Finance operating schedule</x:v>
      </x:c>
      <x:c r="L179" s="34" t="str">
        <x:v>2026-06-30</x:v>
      </x:c>
      <x:c r="M179" s="28" t="str"/>
    </x:row>
    <x:row r="180">
      <x:c r="A180" s="37" t="str">
        <x:v>PLN-01280</x:v>
      </x:c>
      <x:c r="B180" s="28" t="str">
        <x:v>Scenario-weighted earnings and liquidity at risk</x:v>
      </x:c>
      <x:c r="C180" s="28" t="str">
        <x:v>Integrated risk scenarios</x:v>
      </x:c>
      <x:c r="D180" s="28" t="str">
        <x:v>Alder Ridge</x:v>
      </x:c>
      <x:c r="E180" s="28" t="str">
        <x:v>Base</x:v>
      </x:c>
      <x:c r="F180" s="28" t="str">
        <x:v>Approved case</x:v>
      </x:c>
      <x:c r="G180" s="28" t="str">
        <x:v>One-time mitigation cost</x:v>
      </x:c>
      <x:c r="H180" s="31" t="n">
        <x:v>0</x:v>
      </x:c>
      <x:c r="I180" s="28" t="str"/>
      <x:c r="J180" s="28" t="str">
        <x:v>USD</x:v>
      </x:c>
      <x:c r="K180" s="28" t="str">
        <x:v>Finance operating schedule</x:v>
      </x:c>
      <x:c r="L180" s="34" t="str">
        <x:v>2026-06-30</x:v>
      </x:c>
      <x:c r="M180" s="28" t="str"/>
    </x:row>
    <x:row r="181">
      <x:c r="A181" s="37" t="str">
        <x:v>PLN-01281</x:v>
      </x:c>
      <x:c r="B181" s="28" t="str">
        <x:v>Scenario-weighted earnings and liquidity at risk</x:v>
      </x:c>
      <x:c r="C181" s="28" t="str">
        <x:v>Integrated risk scenarios</x:v>
      </x:c>
      <x:c r="D181" s="28" t="str">
        <x:v>Alder Ridge</x:v>
      </x:c>
      <x:c r="E181" s="28" t="str">
        <x:v>Soft landing</x:v>
      </x:c>
      <x:c r="F181" s="28" t="str">
        <x:v>Approved case</x:v>
      </x:c>
      <x:c r="G181" s="28" t="str">
        <x:v>Probability</x:v>
      </x:c>
      <x:c r="H181" s="31" t="n">
        <x:v>0.25</x:v>
      </x:c>
      <x:c r="I181" s="28" t="str"/>
      <x:c r="J181" s="28" t="str">
        <x:v>decimal ratio</x:v>
      </x:c>
      <x:c r="K181" s="28" t="str">
        <x:v>Finance operating schedule</x:v>
      </x:c>
      <x:c r="L181" s="34" t="str">
        <x:v>2026-06-30</x:v>
      </x:c>
      <x:c r="M181" s="28" t="str"/>
    </x:row>
    <x:row r="182">
      <x:c r="A182" s="37" t="str">
        <x:v>PLN-01282</x:v>
      </x:c>
      <x:c r="B182" s="28" t="str">
        <x:v>Scenario-weighted earnings and liquidity at risk</x:v>
      </x:c>
      <x:c r="C182" s="28" t="str">
        <x:v>Integrated risk scenarios</x:v>
      </x:c>
      <x:c r="D182" s="28" t="str">
        <x:v>Alder Ridge</x:v>
      </x:c>
      <x:c r="E182" s="28" t="str">
        <x:v>Soft landing</x:v>
      </x:c>
      <x:c r="F182" s="28" t="str">
        <x:v>Approved case</x:v>
      </x:c>
      <x:c r="G182" s="28" t="str">
        <x:v>Revenue change</x:v>
      </x:c>
      <x:c r="H182" s="31" t="n">
        <x:v>-0.065</x:v>
      </x:c>
      <x:c r="I182" s="28" t="str"/>
      <x:c r="J182" s="28" t="str">
        <x:v>decimal ratio</x:v>
      </x:c>
      <x:c r="K182" s="28" t="str">
        <x:v>Finance operating schedule</x:v>
      </x:c>
      <x:c r="L182" s="34" t="str">
        <x:v>2026-06-30</x:v>
      </x:c>
      <x:c r="M182" s="28" t="str"/>
    </x:row>
    <x:row r="183">
      <x:c r="A183" s="37" t="str">
        <x:v>PLN-01283</x:v>
      </x:c>
      <x:c r="B183" s="28" t="str">
        <x:v>Scenario-weighted earnings and liquidity at risk</x:v>
      </x:c>
      <x:c r="C183" s="28" t="str">
        <x:v>Integrated risk scenarios</x:v>
      </x:c>
      <x:c r="D183" s="28" t="str">
        <x:v>Alder Ridge</x:v>
      </x:c>
      <x:c r="E183" s="28" t="str">
        <x:v>Soft landing</x:v>
      </x:c>
      <x:c r="F183" s="28" t="str">
        <x:v>Approved case</x:v>
      </x:c>
      <x:c r="G183" s="28" t="str">
        <x:v>Gross margin change</x:v>
      </x:c>
      <x:c r="H183" s="31" t="n">
        <x:v>-0.0125</x:v>
      </x:c>
      <x:c r="I183" s="28" t="str"/>
      <x:c r="J183" s="28" t="str">
        <x:v>decimal ratio</x:v>
      </x:c>
      <x:c r="K183" s="28" t="str">
        <x:v>Finance operating schedule</x:v>
      </x:c>
      <x:c r="L183" s="34" t="str">
        <x:v>2026-06-30</x:v>
      </x:c>
      <x:c r="M183" s="28" t="str"/>
    </x:row>
    <x:row r="184">
      <x:c r="A184" s="37" t="str">
        <x:v>PLN-01284</x:v>
      </x:c>
      <x:c r="B184" s="28" t="str">
        <x:v>Scenario-weighted earnings and liquidity at risk</x:v>
      </x:c>
      <x:c r="C184" s="28" t="str">
        <x:v>Integrated risk scenarios</x:v>
      </x:c>
      <x:c r="D184" s="28" t="str">
        <x:v>Alder Ridge</x:v>
      </x:c>
      <x:c r="E184" s="28" t="str">
        <x:v>Soft landing</x:v>
      </x:c>
      <x:c r="F184" s="28" t="str">
        <x:v>Approved case</x:v>
      </x:c>
      <x:c r="G184" s="28" t="str">
        <x:v>DSO change</x:v>
      </x:c>
      <x:c r="H184" s="31" t="n">
        <x:v>7</x:v>
      </x:c>
      <x:c r="I184" s="28" t="str"/>
      <x:c r="J184" s="28" t="str">
        <x:v>days</x:v>
      </x:c>
      <x:c r="K184" s="28" t="str">
        <x:v>Finance operating schedule</x:v>
      </x:c>
      <x:c r="L184" s="34" t="str">
        <x:v>2026-06-30</x:v>
      </x:c>
      <x:c r="M184" s="28" t="str"/>
    </x:row>
    <x:row r="185">
      <x:c r="A185" s="37" t="str">
        <x:v>PLN-01285</x:v>
      </x:c>
      <x:c r="B185" s="28" t="str">
        <x:v>Scenario-weighted earnings and liquidity at risk</x:v>
      </x:c>
      <x:c r="C185" s="28" t="str">
        <x:v>Integrated risk scenarios</x:v>
      </x:c>
      <x:c r="D185" s="28" t="str">
        <x:v>Alder Ridge</x:v>
      </x:c>
      <x:c r="E185" s="28" t="str">
        <x:v>Soft landing</x:v>
      </x:c>
      <x:c r="F185" s="28" t="str">
        <x:v>Approved case</x:v>
      </x:c>
      <x:c r="G185" s="28" t="str">
        <x:v>Capex deferral</x:v>
      </x:c>
      <x:c r="H185" s="31" t="n">
        <x:v>350000</x:v>
      </x:c>
      <x:c r="I185" s="28" t="str"/>
      <x:c r="J185" s="28" t="str">
        <x:v>USD</x:v>
      </x:c>
      <x:c r="K185" s="28" t="str">
        <x:v>Finance operating schedule</x:v>
      </x:c>
      <x:c r="L185" s="34" t="str">
        <x:v>2026-06-30</x:v>
      </x:c>
      <x:c r="M185" s="28" t="str"/>
    </x:row>
    <x:row r="186">
      <x:c r="A186" s="37" t="str">
        <x:v>PLN-01286</x:v>
      </x:c>
      <x:c r="B186" s="28" t="str">
        <x:v>Scenario-weighted earnings and liquidity at risk</x:v>
      </x:c>
      <x:c r="C186" s="28" t="str">
        <x:v>Integrated risk scenarios</x:v>
      </x:c>
      <x:c r="D186" s="28" t="str">
        <x:v>Alder Ridge</x:v>
      </x:c>
      <x:c r="E186" s="28" t="str">
        <x:v>Soft landing</x:v>
      </x:c>
      <x:c r="F186" s="28" t="str">
        <x:v>Approved case</x:v>
      </x:c>
      <x:c r="G186" s="28" t="str">
        <x:v>One-time mitigation cost</x:v>
      </x:c>
      <x:c r="H186" s="31" t="n">
        <x:v>220000</x:v>
      </x:c>
      <x:c r="I186" s="28" t="str"/>
      <x:c r="J186" s="28" t="str">
        <x:v>USD</x:v>
      </x:c>
      <x:c r="K186" s="28" t="str">
        <x:v>Finance operating schedule</x:v>
      </x:c>
      <x:c r="L186" s="34" t="str">
        <x:v>2026-06-30</x:v>
      </x:c>
      <x:c r="M186" s="28" t="str"/>
    </x:row>
    <x:row r="187">
      <x:c r="A187" s="37" t="str">
        <x:v>PLN-01287</x:v>
      </x:c>
      <x:c r="B187" s="28" t="str">
        <x:v>Scenario-weighted earnings and liquidity at risk</x:v>
      </x:c>
      <x:c r="C187" s="28" t="str">
        <x:v>Integrated risk scenarios</x:v>
      </x:c>
      <x:c r="D187" s="28" t="str">
        <x:v>Alder Ridge</x:v>
      </x:c>
      <x:c r="E187" s="28" t="str">
        <x:v>Severe</x:v>
      </x:c>
      <x:c r="F187" s="28" t="str">
        <x:v>Approved case</x:v>
      </x:c>
      <x:c r="G187" s="28" t="str">
        <x:v>Probability</x:v>
      </x:c>
      <x:c r="H187" s="31" t="n">
        <x:v>0.15</x:v>
      </x:c>
      <x:c r="I187" s="28" t="str"/>
      <x:c r="J187" s="28" t="str">
        <x:v>decimal ratio</x:v>
      </x:c>
      <x:c r="K187" s="28" t="str">
        <x:v>Finance operating schedule</x:v>
      </x:c>
      <x:c r="L187" s="34" t="str">
        <x:v>2026-06-30</x:v>
      </x:c>
      <x:c r="M187" s="28" t="str"/>
    </x:row>
    <x:row r="188">
      <x:c r="A188" s="37" t="str">
        <x:v>PLN-01288</x:v>
      </x:c>
      <x:c r="B188" s="28" t="str">
        <x:v>Scenario-weighted earnings and liquidity at risk</x:v>
      </x:c>
      <x:c r="C188" s="28" t="str">
        <x:v>Integrated risk scenarios</x:v>
      </x:c>
      <x:c r="D188" s="28" t="str">
        <x:v>Alder Ridge</x:v>
      </x:c>
      <x:c r="E188" s="28" t="str">
        <x:v>Severe</x:v>
      </x:c>
      <x:c r="F188" s="28" t="str">
        <x:v>Approved case</x:v>
      </x:c>
      <x:c r="G188" s="28" t="str">
        <x:v>Revenue change</x:v>
      </x:c>
      <x:c r="H188" s="31" t="n">
        <x:v>-0.145</x:v>
      </x:c>
      <x:c r="I188" s="28" t="str"/>
      <x:c r="J188" s="28" t="str">
        <x:v>decimal ratio</x:v>
      </x:c>
      <x:c r="K188" s="28" t="str">
        <x:v>Finance operating schedule</x:v>
      </x:c>
      <x:c r="L188" s="34" t="str">
        <x:v>2026-06-30</x:v>
      </x:c>
      <x:c r="M188" s="28" t="str"/>
    </x:row>
    <x:row r="189">
      <x:c r="A189" s="37" t="str">
        <x:v>PLN-01289</x:v>
      </x:c>
      <x:c r="B189" s="28" t="str">
        <x:v>Scenario-weighted earnings and liquidity at risk</x:v>
      </x:c>
      <x:c r="C189" s="28" t="str">
        <x:v>Integrated risk scenarios</x:v>
      </x:c>
      <x:c r="D189" s="28" t="str">
        <x:v>Alder Ridge</x:v>
      </x:c>
      <x:c r="E189" s="28" t="str">
        <x:v>Severe</x:v>
      </x:c>
      <x:c r="F189" s="28" t="str">
        <x:v>Approved case</x:v>
      </x:c>
      <x:c r="G189" s="28" t="str">
        <x:v>Gross margin change</x:v>
      </x:c>
      <x:c r="H189" s="31" t="n">
        <x:v>-0.0325</x:v>
      </x:c>
      <x:c r="I189" s="28" t="str"/>
      <x:c r="J189" s="28" t="str">
        <x:v>decimal ratio</x:v>
      </x:c>
      <x:c r="K189" s="28" t="str">
        <x:v>Finance operating schedule</x:v>
      </x:c>
      <x:c r="L189" s="34" t="str">
        <x:v>2026-06-30</x:v>
      </x:c>
      <x:c r="M189" s="28" t="str"/>
    </x:row>
    <x:row r="190">
      <x:c r="A190" s="37" t="str">
        <x:v>PLN-01290</x:v>
      </x:c>
      <x:c r="B190" s="28" t="str">
        <x:v>Scenario-weighted earnings and liquidity at risk</x:v>
      </x:c>
      <x:c r="C190" s="28" t="str">
        <x:v>Integrated risk scenarios</x:v>
      </x:c>
      <x:c r="D190" s="28" t="str">
        <x:v>Alder Ridge</x:v>
      </x:c>
      <x:c r="E190" s="28" t="str">
        <x:v>Severe</x:v>
      </x:c>
      <x:c r="F190" s="28" t="str">
        <x:v>Approved case</x:v>
      </x:c>
      <x:c r="G190" s="28" t="str">
        <x:v>DSO change</x:v>
      </x:c>
      <x:c r="H190" s="31" t="n">
        <x:v>18</x:v>
      </x:c>
      <x:c r="I190" s="28" t="str"/>
      <x:c r="J190" s="28" t="str">
        <x:v>days</x:v>
      </x:c>
      <x:c r="K190" s="28" t="str">
        <x:v>Finance operating schedule</x:v>
      </x:c>
      <x:c r="L190" s="34" t="str">
        <x:v>2026-06-30</x:v>
      </x:c>
      <x:c r="M190" s="28" t="str"/>
    </x:row>
    <x:row r="191">
      <x:c r="A191" s="37" t="str">
        <x:v>PLN-01291</x:v>
      </x:c>
      <x:c r="B191" s="28" t="str">
        <x:v>Scenario-weighted earnings and liquidity at risk</x:v>
      </x:c>
      <x:c r="C191" s="28" t="str">
        <x:v>Integrated risk scenarios</x:v>
      </x:c>
      <x:c r="D191" s="28" t="str">
        <x:v>Alder Ridge</x:v>
      </x:c>
      <x:c r="E191" s="28" t="str">
        <x:v>Severe</x:v>
      </x:c>
      <x:c r="F191" s="28" t="str">
        <x:v>Approved case</x:v>
      </x:c>
      <x:c r="G191" s="28" t="str">
        <x:v>Capex deferral</x:v>
      </x:c>
      <x:c r="H191" s="31" t="n">
        <x:v>725000</x:v>
      </x:c>
      <x:c r="I191" s="28" t="str"/>
      <x:c r="J191" s="28" t="str">
        <x:v>USD</x:v>
      </x:c>
      <x:c r="K191" s="28" t="str">
        <x:v>Finance operating schedule</x:v>
      </x:c>
      <x:c r="L191" s="34" t="str">
        <x:v>2026-06-30</x:v>
      </x:c>
      <x:c r="M191" s="28" t="str"/>
    </x:row>
    <x:row r="192">
      <x:c r="A192" s="37" t="str">
        <x:v>PLN-01292</x:v>
      </x:c>
      <x:c r="B192" s="28" t="str">
        <x:v>Scenario-weighted earnings and liquidity at risk</x:v>
      </x:c>
      <x:c r="C192" s="28" t="str">
        <x:v>Integrated risk scenarios</x:v>
      </x:c>
      <x:c r="D192" s="28" t="str">
        <x:v>Alder Ridge</x:v>
      </x:c>
      <x:c r="E192" s="28" t="str">
        <x:v>Severe</x:v>
      </x:c>
      <x:c r="F192" s="28" t="str">
        <x:v>Approved case</x:v>
      </x:c>
      <x:c r="G192" s="28" t="str">
        <x:v>One-time mitigation cost</x:v>
      </x:c>
      <x:c r="H192" s="31" t="n">
        <x:v>860</x:v>
      </x:c>
      <x:c r="I192" s="28" t="str"/>
      <x:c r="J192" s="28" t="str">
        <x:v>USD thousands</x:v>
      </x:c>
      <x:c r="K192" s="28" t="str">
        <x:v>Finance operating schedule</x:v>
      </x:c>
      <x:c r="L192" s="34" t="str">
        <x:v>2026-06-30</x:v>
      </x:c>
      <x:c r="M192" s="28" t="str"/>
    </x:row>
    <x:row r="193">
      <x:c r="A193" s="37" t="str">
        <x:v>PLN-01293</x:v>
      </x:c>
      <x:c r="B193" s="28" t="str">
        <x:v>Scenario-weighted earnings and liquidity at risk</x:v>
      </x:c>
      <x:c r="C193" s="28" t="str">
        <x:v>Scenario cash assumptions</x:v>
      </x:c>
      <x:c r="D193" s="28" t="str">
        <x:v>Alder Ridge</x:v>
      </x:c>
      <x:c r="E193" s="28" t="str">
        <x:v>FY27</x:v>
      </x:c>
      <x:c r="F193" s="28" t="str">
        <x:v>Approved case</x:v>
      </x:c>
      <x:c r="G193" s="28" t="str">
        <x:v>Cash taxes</x:v>
      </x:c>
      <x:c r="H193" s="31" t="n">
        <x:v>515000</x:v>
      </x:c>
      <x:c r="I193" s="28" t="str"/>
      <x:c r="J193" s="28" t="str">
        <x:v>USD</x:v>
      </x:c>
      <x:c r="K193" s="28" t="str">
        <x:v>Finance operating schedule</x:v>
      </x:c>
      <x:c r="L193" s="34" t="str">
        <x:v>2026-06-30</x:v>
      </x:c>
      <x:c r="M193" s="28" t="str"/>
    </x:row>
    <x:row r="194">
      <x:c r="A194" s="37" t="str">
        <x:v>PLN-01294</x:v>
      </x:c>
      <x:c r="B194" s="28" t="str">
        <x:v>Scenario-weighted earnings and liquidity at risk</x:v>
      </x:c>
      <x:c r="C194" s="28" t="str">
        <x:v>Scenario cash assumptions</x:v>
      </x:c>
      <x:c r="D194" s="28" t="str">
        <x:v>Alder Ridge</x:v>
      </x:c>
      <x:c r="E194" s="28" t="str">
        <x:v>FY27</x:v>
      </x:c>
      <x:c r="F194" s="28" t="str">
        <x:v>Approved case</x:v>
      </x:c>
      <x:c r="G194" s="28" t="str">
        <x:v>Base capex</x:v>
      </x:c>
      <x:c r="H194" s="31" t="n">
        <x:v>2875000</x:v>
      </x:c>
      <x:c r="I194" s="28" t="str"/>
      <x:c r="J194" s="28" t="str">
        <x:v>USD</x:v>
      </x:c>
      <x:c r="K194" s="28" t="str">
        <x:v>Finance operating schedule</x:v>
      </x:c>
      <x:c r="L194" s="34" t="str">
        <x:v>2026-06-30</x:v>
      </x:c>
      <x:c r="M194" s="28" t="str"/>
    </x:row>
    <x:row r="195">
      <x:c r="A195" s="37" t="str">
        <x:v>PLN-01295</x:v>
      </x:c>
      <x:c r="B195" s="28" t="str">
        <x:v>Scenario-weighted earnings and liquidity at risk</x:v>
      </x:c>
      <x:c r="C195" s="28" t="str">
        <x:v>Scenario cash assumptions</x:v>
      </x:c>
      <x:c r="D195" s="28" t="str">
        <x:v>Alder Ridge</x:v>
      </x:c>
      <x:c r="E195" s="28" t="str">
        <x:v>FY27</x:v>
      </x:c>
      <x:c r="F195" s="28" t="str">
        <x:v>Approved case</x:v>
      </x:c>
      <x:c r="G195" s="28" t="str">
        <x:v>Base working capital investment</x:v>
      </x:c>
      <x:c r="H195" s="31" t="n">
        <x:v>1420000</x:v>
      </x:c>
      <x:c r="I195" s="28" t="str"/>
      <x:c r="J195" s="28" t="str">
        <x:v>USD</x:v>
      </x:c>
      <x:c r="K195" s="28" t="str">
        <x:v>Finance operating schedule</x:v>
      </x:c>
      <x:c r="L195" s="34" t="str">
        <x:v>2026-06-30</x:v>
      </x:c>
      <x:c r="M195" s="28" t="str"/>
    </x:row>
    <x:row r="196">
      <x:c r="A196" s="37" t="str">
        <x:v>PLN-01296</x:v>
      </x:c>
      <x:c r="B196" s="28" t="str">
        <x:v>Scenario-weighted earnings and liquidity at risk</x:v>
      </x:c>
      <x:c r="C196" s="28" t="str">
        <x:v>Scenario cash assumptions</x:v>
      </x:c>
      <x:c r="D196" s="28" t="str">
        <x:v>Alder Ridge</x:v>
      </x:c>
      <x:c r="E196" s="28" t="str">
        <x:v>FY27</x:v>
      </x:c>
      <x:c r="F196" s="28" t="str">
        <x:v>Approved case</x:v>
      </x:c>
      <x:c r="G196" s="28" t="str">
        <x:v>Minimum cash</x:v>
      </x:c>
      <x:c r="H196" s="31" t="n">
        <x:v>2250</x:v>
      </x:c>
      <x:c r="I196" s="28" t="str"/>
      <x:c r="J196" s="28" t="str">
        <x:v>USD thousands</x:v>
      </x:c>
      <x:c r="K196" s="28" t="str">
        <x:v>Finance operating schedule</x:v>
      </x:c>
      <x:c r="L196" s="34" t="str">
        <x:v>2026-06-30</x:v>
      </x:c>
      <x:c r="M196" s="28" t="str"/>
    </x:row>
    <x:row r="197">
      <x:c r="A197" s="37" t="str">
        <x:v>PLN-01297</x:v>
      </x:c>
      <x:c r="B197" s="28" t="str">
        <x:v>Scenario-weighted earnings and liquidity at risk</x:v>
      </x:c>
      <x:c r="C197" s="28" t="str">
        <x:v>Scenario cash assumptions</x:v>
      </x:c>
      <x:c r="D197" s="28" t="str">
        <x:v>Alder Ridge</x:v>
      </x:c>
      <x:c r="E197" s="28" t="str">
        <x:v>FY27</x:v>
      </x:c>
      <x:c r="F197" s="28" t="str">
        <x:v>Approved case</x:v>
      </x:c>
      <x:c r="G197" s="28" t="str">
        <x:v>Revolver capacity</x:v>
      </x:c>
      <x:c r="H197" s="31" t="n">
        <x:v>8000000</x:v>
      </x:c>
      <x:c r="I197" s="28" t="str"/>
      <x:c r="J197" s="28" t="str">
        <x:v>USD</x:v>
      </x:c>
      <x:c r="K197" s="28" t="str">
        <x:v>Finance operating schedule</x:v>
      </x:c>
      <x:c r="L197" s="34" t="str">
        <x:v>2026-06-30</x:v>
      </x:c>
      <x:c r="M197" s="28" t="str"/>
    </x:row>
    <x:row r="198">
      <x:c r="A198" s="37" t="str">
        <x:v>PLN-01312</x:v>
      </x:c>
      <x:c r="B198" s="28" t="str">
        <x:v>Scenario-weighted earnings and liquidity at risk</x:v>
      </x:c>
      <x:c r="C198" s="28" t="str">
        <x:v>Scenario mitigation actions</x:v>
      </x:c>
      <x:c r="D198" s="28" t="str">
        <x:v>Procurement lock</x:v>
      </x:c>
      <x:c r="E198" s="28" t="str">
        <x:v>FY27</x:v>
      </x:c>
      <x:c r="F198" s="28" t="str">
        <x:v>Approved case</x:v>
      </x:c>
      <x:c r="G198" s="28" t="str">
        <x:v>Full EBITDA benefit</x:v>
      </x:c>
      <x:c r="H198" s="31" t="n">
        <x:v>740000</x:v>
      </x:c>
      <x:c r="I198" s="28" t="str"/>
      <x:c r="J198" s="28" t="str">
        <x:v>USD</x:v>
      </x:c>
      <x:c r="K198" s="28" t="str">
        <x:v>Finance operating schedule</x:v>
      </x:c>
      <x:c r="L198" s="34" t="str">
        <x:v>2026-06-30</x:v>
      </x:c>
      <x:c r="M198" s="28" t="str"/>
    </x:row>
    <x:row r="199">
      <x:c r="A199" s="37" t="str">
        <x:v>PLN-01313</x:v>
      </x:c>
      <x:c r="B199" s="28" t="str">
        <x:v>Scenario-weighted earnings and liquidity at risk</x:v>
      </x:c>
      <x:c r="C199" s="28" t="str">
        <x:v>Scenario mitigation actions</x:v>
      </x:c>
      <x:c r="D199" s="28" t="str">
        <x:v>Procurement lock</x:v>
      </x:c>
      <x:c r="E199" s="28" t="str">
        <x:v>FY27</x:v>
      </x:c>
      <x:c r="F199" s="28" t="str">
        <x:v>Approved case</x:v>
      </x:c>
      <x:c r="G199" s="28" t="str">
        <x:v>Full cash release</x:v>
      </x:c>
      <x:c r="H199" s="31" t="n">
        <x:v>0</x:v>
      </x:c>
      <x:c r="I199" s="28" t="str"/>
      <x:c r="J199" s="28" t="str">
        <x:v>USD</x:v>
      </x:c>
      <x:c r="K199" s="28" t="str">
        <x:v>Finance operating schedule</x:v>
      </x:c>
      <x:c r="L199" s="34" t="str">
        <x:v>2026-06-30</x:v>
      </x:c>
      <x:c r="M199" s="28" t="str"/>
    </x:row>
    <x:row r="200">
      <x:c r="A200" s="37" t="str">
        <x:v>PLN-01314</x:v>
      </x:c>
      <x:c r="B200" s="28" t="str">
        <x:v>Scenario-weighted earnings and liquidity at risk</x:v>
      </x:c>
      <x:c r="C200" s="28" t="str">
        <x:v>Scenario mitigation actions</x:v>
      </x:c>
      <x:c r="D200" s="28" t="str">
        <x:v>Procurement lock</x:v>
      </x:c>
      <x:c r="E200" s="28" t="str">
        <x:v>FY27</x:v>
      </x:c>
      <x:c r="F200" s="28" t="str">
        <x:v>Approved case</x:v>
      </x:c>
      <x:c r="G200" s="28" t="str">
        <x:v>Cash implementation cost</x:v>
      </x:c>
      <x:c r="H200" s="31" t="n">
        <x:v>160000</x:v>
      </x:c>
      <x:c r="I200" s="28" t="str"/>
      <x:c r="J200" s="28" t="str">
        <x:v>USD</x:v>
      </x:c>
      <x:c r="K200" s="28" t="str">
        <x:v>Finance operating schedule</x:v>
      </x:c>
      <x:c r="L200" s="34" t="str">
        <x:v>2026-06-30</x:v>
      </x:c>
      <x:c r="M200" s="28" t="str"/>
    </x:row>
    <x:row r="201">
      <x:c r="A201" s="37" t="str">
        <x:v>PLN-01315</x:v>
      </x:c>
      <x:c r="B201" s="28" t="str">
        <x:v>Scenario-weighted earnings and liquidity at risk</x:v>
      </x:c>
      <x:c r="C201" s="28" t="str">
        <x:v>Scenario mitigation actions</x:v>
      </x:c>
      <x:c r="D201" s="28" t="str">
        <x:v>Procurement lock</x:v>
      </x:c>
      <x:c r="E201" s="28" t="str">
        <x:v>FY27</x:v>
      </x:c>
      <x:c r="F201" s="28" t="str">
        <x:v>Approved case</x:v>
      </x:c>
      <x:c r="G201" s="28" t="str">
        <x:v>Soft landing factor</x:v>
      </x:c>
      <x:c r="H201" s="31" t="n">
        <x:v>1</x:v>
      </x:c>
      <x:c r="I201" s="28" t="str"/>
      <x:c r="J201" s="28" t="str">
        <x:v>decimal ratio</x:v>
      </x:c>
      <x:c r="K201" s="28" t="str">
        <x:v>Finance operating schedule</x:v>
      </x:c>
      <x:c r="L201" s="34" t="str">
        <x:v>2026-06-30</x:v>
      </x:c>
      <x:c r="M201" s="28" t="str"/>
    </x:row>
    <x:row r="202">
      <x:c r="A202" s="37" t="str">
        <x:v>PLN-01316</x:v>
      </x:c>
      <x:c r="B202" s="28" t="str">
        <x:v>Scenario-weighted earnings and liquidity at risk</x:v>
      </x:c>
      <x:c r="C202" s="28" t="str">
        <x:v>Scenario mitigation actions</x:v>
      </x:c>
      <x:c r="D202" s="28" t="str">
        <x:v>Procurement lock</x:v>
      </x:c>
      <x:c r="E202" s="28" t="str">
        <x:v>FY27</x:v>
      </x:c>
      <x:c r="F202" s="28" t="str">
        <x:v>Approved case</x:v>
      </x:c>
      <x:c r="G202" s="28" t="str">
        <x:v>Severe factor</x:v>
      </x:c>
      <x:c r="H202" s="31" t="n">
        <x:v>0.7</x:v>
      </x:c>
      <x:c r="I202" s="28" t="str"/>
      <x:c r="J202" s="28" t="str">
        <x:v>decimal ratio</x:v>
      </x:c>
      <x:c r="K202" s="28" t="str">
        <x:v>Finance operating schedule</x:v>
      </x:c>
      <x:c r="L202" s="34" t="str">
        <x:v>2026-06-30</x:v>
      </x:c>
      <x:c r="M202" s="28" t="str"/>
    </x:row>
    <x:row r="203">
      <x:c r="A203" s="37" t="str">
        <x:v>PLN-01317</x:v>
      </x:c>
      <x:c r="B203" s="28" t="str">
        <x:v>Scenario-weighted earnings and liquidity at risk</x:v>
      </x:c>
      <x:c r="C203" s="28" t="str">
        <x:v>Scenario mitigation actions</x:v>
      </x:c>
      <x:c r="D203" s="28" t="str">
        <x:v>Procurement lock</x:v>
      </x:c>
      <x:c r="E203" s="28" t="str">
        <x:v>FY27</x:v>
      </x:c>
      <x:c r="F203" s="28" t="str">
        <x:v>Approved case</x:v>
      </x:c>
      <x:c r="G203" s="28" t="str">
        <x:v>Mandatory in Severe</x:v>
      </x:c>
      <x:c r="H203" s="31" t="n">
        <x:v>0</x:v>
      </x:c>
      <x:c r="I203" s="28" t="str"/>
      <x:c r="J203" s="28" t="str">
        <x:v>boolean</x:v>
      </x:c>
      <x:c r="K203" s="28" t="str">
        <x:v>Finance operating schedule</x:v>
      </x:c>
      <x:c r="L203" s="34" t="str">
        <x:v>2026-06-30</x:v>
      </x:c>
      <x:c r="M203" s="28" t="str"/>
    </x:row>
    <x:row r="204">
      <x:c r="A204" s="37" t="str">
        <x:v>PLN-01318</x:v>
      </x:c>
      <x:c r="B204" s="28" t="str">
        <x:v>Scenario-weighted earnings and liquidity at risk</x:v>
      </x:c>
      <x:c r="C204" s="28" t="str">
        <x:v>Scenario mitigation actions</x:v>
      </x:c>
      <x:c r="D204" s="28" t="str">
        <x:v>Overtime freeze</x:v>
      </x:c>
      <x:c r="E204" s="28" t="str">
        <x:v>FY27</x:v>
      </x:c>
      <x:c r="F204" s="28" t="str">
        <x:v>Approved case</x:v>
      </x:c>
      <x:c r="G204" s="28" t="str">
        <x:v>Full EBITDA benefit</x:v>
      </x:c>
      <x:c r="H204" s="31" t="n">
        <x:v>420000</x:v>
      </x:c>
      <x:c r="I204" s="28" t="str"/>
      <x:c r="J204" s="28" t="str">
        <x:v>USD</x:v>
      </x:c>
      <x:c r="K204" s="28" t="str">
        <x:v>Finance operating schedule</x:v>
      </x:c>
      <x:c r="L204" s="34" t="str">
        <x:v>2026-06-30</x:v>
      </x:c>
      <x:c r="M204" s="28" t="str"/>
    </x:row>
    <x:row r="205">
      <x:c r="A205" s="37" t="str">
        <x:v>PLN-01319</x:v>
      </x:c>
      <x:c r="B205" s="28" t="str">
        <x:v>Scenario-weighted earnings and liquidity at risk</x:v>
      </x:c>
      <x:c r="C205" s="28" t="str">
        <x:v>Scenario mitigation actions</x:v>
      </x:c>
      <x:c r="D205" s="28" t="str">
        <x:v>Overtime freeze</x:v>
      </x:c>
      <x:c r="E205" s="28" t="str">
        <x:v>FY27</x:v>
      </x:c>
      <x:c r="F205" s="28" t="str">
        <x:v>Approved case</x:v>
      </x:c>
      <x:c r="G205" s="28" t="str">
        <x:v>Full cash release</x:v>
      </x:c>
      <x:c r="H205" s="31" t="n">
        <x:v>0</x:v>
      </x:c>
      <x:c r="I205" s="28" t="str"/>
      <x:c r="J205" s="28" t="str">
        <x:v>USD</x:v>
      </x:c>
      <x:c r="K205" s="28" t="str">
        <x:v>Finance operating schedule</x:v>
      </x:c>
      <x:c r="L205" s="34" t="str">
        <x:v>2026-06-30</x:v>
      </x:c>
      <x:c r="M205" s="28" t="str"/>
    </x:row>
    <x:row r="206">
      <x:c r="A206" s="37" t="str">
        <x:v>PLN-01320</x:v>
      </x:c>
      <x:c r="B206" s="28" t="str">
        <x:v>Scenario-weighted earnings and liquidity at risk</x:v>
      </x:c>
      <x:c r="C206" s="28" t="str">
        <x:v>Scenario mitigation actions</x:v>
      </x:c>
      <x:c r="D206" s="28" t="str">
        <x:v>Overtime freeze</x:v>
      </x:c>
      <x:c r="E206" s="28" t="str">
        <x:v>FY27</x:v>
      </x:c>
      <x:c r="F206" s="28" t="str">
        <x:v>Approved case</x:v>
      </x:c>
      <x:c r="G206" s="28" t="str">
        <x:v>Cash implementation cost</x:v>
      </x:c>
      <x:c r="H206" s="31" t="n">
        <x:v>75000</x:v>
      </x:c>
      <x:c r="I206" s="28" t="str"/>
      <x:c r="J206" s="28" t="str">
        <x:v>USD</x:v>
      </x:c>
      <x:c r="K206" s="28" t="str">
        <x:v>Finance operating schedule</x:v>
      </x:c>
      <x:c r="L206" s="34" t="str">
        <x:v>2026-06-30</x:v>
      </x:c>
      <x:c r="M206" s="28" t="str"/>
    </x:row>
    <x:row r="207">
      <x:c r="A207" s="37" t="str">
        <x:v>PLN-01321</x:v>
      </x:c>
      <x:c r="B207" s="28" t="str">
        <x:v>Scenario-weighted earnings and liquidity at risk</x:v>
      </x:c>
      <x:c r="C207" s="28" t="str">
        <x:v>Scenario mitigation actions</x:v>
      </x:c>
      <x:c r="D207" s="28" t="str">
        <x:v>Overtime freeze</x:v>
      </x:c>
      <x:c r="E207" s="28" t="str">
        <x:v>FY27</x:v>
      </x:c>
      <x:c r="F207" s="28" t="str">
        <x:v>Approved case</x:v>
      </x:c>
      <x:c r="G207" s="28" t="str">
        <x:v>Soft landing factor</x:v>
      </x:c>
      <x:c r="H207" s="31" t="n">
        <x:v>0.8</x:v>
      </x:c>
      <x:c r="I207" s="28" t="str"/>
      <x:c r="J207" s="28" t="str">
        <x:v>decimal ratio</x:v>
      </x:c>
      <x:c r="K207" s="28" t="str">
        <x:v>Finance operating schedule</x:v>
      </x:c>
      <x:c r="L207" s="34" t="str">
        <x:v>2026-06-30</x:v>
      </x:c>
      <x:c r="M207" s="28" t="str"/>
    </x:row>
    <x:row r="208">
      <x:c r="A208" s="37" t="str">
        <x:v>PLN-01322</x:v>
      </x:c>
      <x:c r="B208" s="28" t="str">
        <x:v>Scenario-weighted earnings and liquidity at risk</x:v>
      </x:c>
      <x:c r="C208" s="28" t="str">
        <x:v>Scenario mitigation actions</x:v>
      </x:c>
      <x:c r="D208" s="28" t="str">
        <x:v>Overtime freeze</x:v>
      </x:c>
      <x:c r="E208" s="28" t="str">
        <x:v>FY27</x:v>
      </x:c>
      <x:c r="F208" s="28" t="str">
        <x:v>Approved case</x:v>
      </x:c>
      <x:c r="G208" s="28" t="str">
        <x:v>Severe factor</x:v>
      </x:c>
      <x:c r="H208" s="31" t="n">
        <x:v>1</x:v>
      </x:c>
      <x:c r="I208" s="28" t="str"/>
      <x:c r="J208" s="28" t="str">
        <x:v>decimal ratio</x:v>
      </x:c>
      <x:c r="K208" s="28" t="str">
        <x:v>Finance operating schedule</x:v>
      </x:c>
      <x:c r="L208" s="34" t="str">
        <x:v>2026-06-30</x:v>
      </x:c>
      <x:c r="M208" s="28" t="str"/>
    </x:row>
    <x:row r="209">
      <x:c r="A209" s="37" t="str">
        <x:v>PLN-01323</x:v>
      </x:c>
      <x:c r="B209" s="28" t="str">
        <x:v>Scenario-weighted earnings and liquidity at risk</x:v>
      </x:c>
      <x:c r="C209" s="28" t="str">
        <x:v>Scenario mitigation actions</x:v>
      </x:c>
      <x:c r="D209" s="28" t="str">
        <x:v>Overtime freeze</x:v>
      </x:c>
      <x:c r="E209" s="28" t="str">
        <x:v>FY27</x:v>
      </x:c>
      <x:c r="F209" s="28" t="str">
        <x:v>Approved case</x:v>
      </x:c>
      <x:c r="G209" s="28" t="str">
        <x:v>Mandatory in Severe</x:v>
      </x:c>
      <x:c r="H209" s="31" t="n">
        <x:v>0</x:v>
      </x:c>
      <x:c r="I209" s="28" t="str"/>
      <x:c r="J209" s="28" t="str">
        <x:v>boolean</x:v>
      </x:c>
      <x:c r="K209" s="28" t="str">
        <x:v>Finance operating schedule</x:v>
      </x:c>
      <x:c r="L209" s="34" t="str">
        <x:v>2026-06-30</x:v>
      </x:c>
      <x:c r="M209" s="28" t="str"/>
    </x:row>
    <x:row r="210">
      <x:c r="A210" s="37" t="str">
        <x:v>PLN-01324</x:v>
      </x:c>
      <x:c r="B210" s="28" t="str">
        <x:v>Scenario-weighted earnings and liquidity at risk</x:v>
      </x:c>
      <x:c r="C210" s="28" t="str">
        <x:v>Scenario mitigation actions</x:v>
      </x:c>
      <x:c r="D210" s="28" t="str">
        <x:v>Working capital war room</x:v>
      </x:c>
      <x:c r="E210" s="28" t="str">
        <x:v>FY27</x:v>
      </x:c>
      <x:c r="F210" s="28" t="str">
        <x:v>Approved case</x:v>
      </x:c>
      <x:c r="G210" s="28" t="str">
        <x:v>Full EBITDA benefit</x:v>
      </x:c>
      <x:c r="H210" s="31" t="n">
        <x:v>0</x:v>
      </x:c>
      <x:c r="I210" s="28" t="str"/>
      <x:c r="J210" s="28" t="str">
        <x:v>USD</x:v>
      </x:c>
      <x:c r="K210" s="28" t="str">
        <x:v>Finance operating schedule</x:v>
      </x:c>
      <x:c r="L210" s="34" t="str">
        <x:v>2026-06-30</x:v>
      </x:c>
      <x:c r="M210" s="28" t="str"/>
    </x:row>
    <x:row r="211">
      <x:c r="A211" s="37" t="str">
        <x:v>PLN-01325</x:v>
      </x:c>
      <x:c r="B211" s="28" t="str">
        <x:v>Scenario-weighted earnings and liquidity at risk</x:v>
      </x:c>
      <x:c r="C211" s="28" t="str">
        <x:v>Scenario mitigation actions</x:v>
      </x:c>
      <x:c r="D211" s="28" t="str">
        <x:v>Working capital war room</x:v>
      </x:c>
      <x:c r="E211" s="28" t="str">
        <x:v>FY27</x:v>
      </x:c>
      <x:c r="F211" s="28" t="str">
        <x:v>Approved case</x:v>
      </x:c>
      <x:c r="G211" s="28" t="str">
        <x:v>Full cash release</x:v>
      </x:c>
      <x:c r="H211" s="31" t="n">
        <x:v>900000</x:v>
      </x:c>
      <x:c r="I211" s="28" t="str"/>
      <x:c r="J211" s="28" t="str">
        <x:v>USD</x:v>
      </x:c>
      <x:c r="K211" s="28" t="str">
        <x:v>Finance operating schedule</x:v>
      </x:c>
      <x:c r="L211" s="34" t="str">
        <x:v>2026-06-30</x:v>
      </x:c>
      <x:c r="M211" s="28" t="str"/>
    </x:row>
    <x:row r="212">
      <x:c r="A212" s="37" t="str">
        <x:v>PLN-01326</x:v>
      </x:c>
      <x:c r="B212" s="28" t="str">
        <x:v>Scenario-weighted earnings and liquidity at risk</x:v>
      </x:c>
      <x:c r="C212" s="28" t="str">
        <x:v>Scenario mitigation actions</x:v>
      </x:c>
      <x:c r="D212" s="28" t="str">
        <x:v>Working capital war room</x:v>
      </x:c>
      <x:c r="E212" s="28" t="str">
        <x:v>FY27</x:v>
      </x:c>
      <x:c r="F212" s="28" t="str">
        <x:v>Approved case</x:v>
      </x:c>
      <x:c r="G212" s="28" t="str">
        <x:v>Cash implementation cost</x:v>
      </x:c>
      <x:c r="H212" s="31" t="n">
        <x:v>145000</x:v>
      </x:c>
      <x:c r="I212" s="28" t="str"/>
      <x:c r="J212" s="28" t="str">
        <x:v>USD</x:v>
      </x:c>
      <x:c r="K212" s="28" t="str">
        <x:v>Finance operating schedule</x:v>
      </x:c>
      <x:c r="L212" s="34" t="str">
        <x:v>2026-06-30</x:v>
      </x:c>
      <x:c r="M212" s="28" t="str"/>
    </x:row>
    <x:row r="213">
      <x:c r="A213" s="37" t="str">
        <x:v>PLN-01327</x:v>
      </x:c>
      <x:c r="B213" s="28" t="str">
        <x:v>Scenario-weighted earnings and liquidity at risk</x:v>
      </x:c>
      <x:c r="C213" s="28" t="str">
        <x:v>Scenario mitigation actions</x:v>
      </x:c>
      <x:c r="D213" s="28" t="str">
        <x:v>Working capital war room</x:v>
      </x:c>
      <x:c r="E213" s="28" t="str">
        <x:v>FY27</x:v>
      </x:c>
      <x:c r="F213" s="28" t="str">
        <x:v>Approved case</x:v>
      </x:c>
      <x:c r="G213" s="28" t="str">
        <x:v>Soft landing factor</x:v>
      </x:c>
      <x:c r="H213" s="31" t="n">
        <x:v>0.45</x:v>
      </x:c>
      <x:c r="I213" s="28" t="str"/>
      <x:c r="J213" s="28" t="str">
        <x:v>decimal ratio</x:v>
      </x:c>
      <x:c r="K213" s="28" t="str">
        <x:v>Finance operating schedule</x:v>
      </x:c>
      <x:c r="L213" s="34" t="str">
        <x:v>2026-06-30</x:v>
      </x:c>
      <x:c r="M213" s="28" t="str"/>
    </x:row>
    <x:row r="214">
      <x:c r="A214" s="37" t="str">
        <x:v>PLN-01328</x:v>
      </x:c>
      <x:c r="B214" s="28" t="str">
        <x:v>Scenario-weighted earnings and liquidity at risk</x:v>
      </x:c>
      <x:c r="C214" s="28" t="str">
        <x:v>Scenario mitigation actions</x:v>
      </x:c>
      <x:c r="D214" s="28" t="str">
        <x:v>Working capital war room</x:v>
      </x:c>
      <x:c r="E214" s="28" t="str">
        <x:v>FY27</x:v>
      </x:c>
      <x:c r="F214" s="28" t="str">
        <x:v>Approved case</x:v>
      </x:c>
      <x:c r="G214" s="28" t="str">
        <x:v>Severe factor</x:v>
      </x:c>
      <x:c r="H214" s="31" t="n">
        <x:v>1</x:v>
      </x:c>
      <x:c r="I214" s="28" t="str"/>
      <x:c r="J214" s="28" t="str">
        <x:v>decimal ratio</x:v>
      </x:c>
      <x:c r="K214" s="28" t="str">
        <x:v>Finance operating schedule</x:v>
      </x:c>
      <x:c r="L214" s="34" t="str">
        <x:v>2026-06-30</x:v>
      </x:c>
      <x:c r="M214" s="28" t="str"/>
    </x:row>
    <x:row r="215">
      <x:c r="A215" s="37" t="str">
        <x:v>PLN-01329</x:v>
      </x:c>
      <x:c r="B215" s="28" t="str">
        <x:v>Scenario-weighted earnings and liquidity at risk</x:v>
      </x:c>
      <x:c r="C215" s="28" t="str">
        <x:v>Scenario mitigation actions</x:v>
      </x:c>
      <x:c r="D215" s="28" t="str">
        <x:v>Working capital war room</x:v>
      </x:c>
      <x:c r="E215" s="28" t="str">
        <x:v>FY27</x:v>
      </x:c>
      <x:c r="F215" s="28" t="str">
        <x:v>Approved case</x:v>
      </x:c>
      <x:c r="G215" s="28" t="str">
        <x:v>Mandatory in Severe</x:v>
      </x:c>
      <x:c r="H215" s="31" t="n">
        <x:v>1</x:v>
      </x:c>
      <x:c r="I215" s="28" t="str"/>
      <x:c r="J215" s="28" t="str">
        <x:v>boolean</x:v>
      </x:c>
      <x:c r="K215" s="28" t="str">
        <x:v>Finance operating schedule</x:v>
      </x:c>
      <x:c r="L215" s="34" t="str">
        <x:v>2026-06-30</x:v>
      </x:c>
      <x:c r="M215" s="28" t="str"/>
    </x:row>
    <x:row r="216">
      <x:c r="A216" s="37" t="str">
        <x:v>PLN-01330</x:v>
      </x:c>
      <x:c r="B216" s="28" t="str">
        <x:v>Scenario-weighted earnings and liquidity at risk</x:v>
      </x:c>
      <x:c r="C216" s="28" t="str">
        <x:v>Scenario mitigation actions</x:v>
      </x:c>
      <x:c r="D216" s="28" t="str">
        <x:v>Capex gate</x:v>
      </x:c>
      <x:c r="E216" s="28" t="str">
        <x:v>FY27</x:v>
      </x:c>
      <x:c r="F216" s="28" t="str">
        <x:v>Approved case</x:v>
      </x:c>
      <x:c r="G216" s="28" t="str">
        <x:v>Full EBITDA benefit</x:v>
      </x:c>
      <x:c r="H216" s="31" t="n">
        <x:v>0</x:v>
      </x:c>
      <x:c r="I216" s="28" t="str"/>
      <x:c r="J216" s="28" t="str">
        <x:v>USD</x:v>
      </x:c>
      <x:c r="K216" s="28" t="str">
        <x:v>Finance operating schedule</x:v>
      </x:c>
      <x:c r="L216" s="34" t="str">
        <x:v>2026-06-30</x:v>
      </x:c>
      <x:c r="M216" s="28" t="str"/>
    </x:row>
    <x:row r="217">
      <x:c r="A217" s="37" t="str">
        <x:v>PLN-01331</x:v>
      </x:c>
      <x:c r="B217" s="28" t="str">
        <x:v>Scenario-weighted earnings and liquidity at risk</x:v>
      </x:c>
      <x:c r="C217" s="28" t="str">
        <x:v>Scenario mitigation actions</x:v>
      </x:c>
      <x:c r="D217" s="28" t="str">
        <x:v>Capex gate</x:v>
      </x:c>
      <x:c r="E217" s="28" t="str">
        <x:v>FY27</x:v>
      </x:c>
      <x:c r="F217" s="28" t="str">
        <x:v>Approved case</x:v>
      </x:c>
      <x:c r="G217" s="28" t="str">
        <x:v>Full cash release</x:v>
      </x:c>
      <x:c r="H217" s="31" t="n">
        <x:v>550</x:v>
      </x:c>
      <x:c r="I217" s="28" t="str"/>
      <x:c r="J217" s="28" t="str">
        <x:v>USD thousands</x:v>
      </x:c>
      <x:c r="K217" s="28" t="str">
        <x:v>Finance operating schedule</x:v>
      </x:c>
      <x:c r="L217" s="34" t="str">
        <x:v>2026-06-30</x:v>
      </x:c>
      <x:c r="M217" s="28" t="str"/>
    </x:row>
    <x:row r="218">
      <x:c r="A218" s="37" t="str">
        <x:v>PLN-01332</x:v>
      </x:c>
      <x:c r="B218" s="28" t="str">
        <x:v>Scenario-weighted earnings and liquidity at risk</x:v>
      </x:c>
      <x:c r="C218" s="28" t="str">
        <x:v>Scenario mitigation actions</x:v>
      </x:c>
      <x:c r="D218" s="28" t="str">
        <x:v>Capex gate</x:v>
      </x:c>
      <x:c r="E218" s="28" t="str">
        <x:v>FY27</x:v>
      </x:c>
      <x:c r="F218" s="28" t="str">
        <x:v>Approved case</x:v>
      </x:c>
      <x:c r="G218" s="28" t="str">
        <x:v>Cash implementation cost</x:v>
      </x:c>
      <x:c r="H218" s="31" t="n">
        <x:v>35000</x:v>
      </x:c>
      <x:c r="I218" s="28" t="str"/>
      <x:c r="J218" s="28" t="str">
        <x:v>USD</x:v>
      </x:c>
      <x:c r="K218" s="28" t="str">
        <x:v>Finance operating schedule</x:v>
      </x:c>
      <x:c r="L218" s="34" t="str">
        <x:v>2026-06-30</x:v>
      </x:c>
      <x:c r="M218" s="28" t="str"/>
    </x:row>
    <x:row r="219">
      <x:c r="A219" s="37" t="str">
        <x:v>PLN-01333</x:v>
      </x:c>
      <x:c r="B219" s="28" t="str">
        <x:v>Scenario-weighted earnings and liquidity at risk</x:v>
      </x:c>
      <x:c r="C219" s="28" t="str">
        <x:v>Scenario mitigation actions</x:v>
      </x:c>
      <x:c r="D219" s="28" t="str">
        <x:v>Capex gate</x:v>
      </x:c>
      <x:c r="E219" s="28" t="str">
        <x:v>FY27</x:v>
      </x:c>
      <x:c r="F219" s="28" t="str">
        <x:v>Approved case</x:v>
      </x:c>
      <x:c r="G219" s="28" t="str">
        <x:v>Soft landing factor</x:v>
      </x:c>
      <x:c r="H219" s="31" t="n">
        <x:v>0.5</x:v>
      </x:c>
      <x:c r="I219" s="28" t="str"/>
      <x:c r="J219" s="28" t="str">
        <x:v>decimal ratio</x:v>
      </x:c>
      <x:c r="K219" s="28" t="str">
        <x:v>Finance operating schedule</x:v>
      </x:c>
      <x:c r="L219" s="34" t="str">
        <x:v>2026-06-30</x:v>
      </x:c>
      <x:c r="M219" s="28" t="str"/>
    </x:row>
    <x:row r="220">
      <x:c r="A220" s="37" t="str">
        <x:v>PLN-01334</x:v>
      </x:c>
      <x:c r="B220" s="28" t="str">
        <x:v>Scenario-weighted earnings and liquidity at risk</x:v>
      </x:c>
      <x:c r="C220" s="28" t="str">
        <x:v>Scenario mitigation actions</x:v>
      </x:c>
      <x:c r="D220" s="28" t="str">
        <x:v>Capex gate</x:v>
      </x:c>
      <x:c r="E220" s="28" t="str">
        <x:v>FY27</x:v>
      </x:c>
      <x:c r="F220" s="28" t="str">
        <x:v>Approved case</x:v>
      </x:c>
      <x:c r="G220" s="28" t="str">
        <x:v>Severe factor</x:v>
      </x:c>
      <x:c r="H220" s="31" t="n">
        <x:v>1</x:v>
      </x:c>
      <x:c r="I220" s="28" t="str"/>
      <x:c r="J220" s="28" t="str">
        <x:v>decimal ratio</x:v>
      </x:c>
      <x:c r="K220" s="28" t="str">
        <x:v>Finance operating schedule</x:v>
      </x:c>
      <x:c r="L220" s="34" t="str">
        <x:v>2026-06-30</x:v>
      </x:c>
      <x:c r="M220" s="28" t="str"/>
    </x:row>
    <x:row r="221">
      <x:c r="A221" s="37" t="str">
        <x:v>PLN-01335</x:v>
      </x:c>
      <x:c r="B221" s="28" t="str">
        <x:v>Scenario-weighted earnings and liquidity at risk</x:v>
      </x:c>
      <x:c r="C221" s="28" t="str">
        <x:v>Scenario mitigation actions</x:v>
      </x:c>
      <x:c r="D221" s="28" t="str">
        <x:v>Capex gate</x:v>
      </x:c>
      <x:c r="E221" s="28" t="str">
        <x:v>FY27</x:v>
      </x:c>
      <x:c r="F221" s="28" t="str">
        <x:v>Approved case</x:v>
      </x:c>
      <x:c r="G221" s="28" t="str">
        <x:v>Mandatory in Severe</x:v>
      </x:c>
      <x:c r="H221" s="31" t="n">
        <x:v>0</x:v>
      </x:c>
      <x:c r="I221" s="28" t="str"/>
      <x:c r="J221" s="28" t="str">
        <x:v>boolean</x:v>
      </x:c>
      <x:c r="K221" s="28" t="str">
        <x:v>Finance operating schedule</x:v>
      </x:c>
      <x:c r="L221" s="34" t="str">
        <x:v>2026-06-30</x:v>
      </x:c>
      <x:c r="M221" s="28" t="str"/>
    </x:row>
    <x:row r="222">
      <x:c r="A222" s="37" t="str">
        <x:v>PLN-01336</x:v>
      </x:c>
      <x:c r="B222" s="28" t="str">
        <x:v>Scenario-weighted earnings and liquidity at risk</x:v>
      </x:c>
      <x:c r="C222" s="28" t="str">
        <x:v>Scenario mitigation actions</x:v>
      </x:c>
      <x:c r="D222" s="28" t="str">
        <x:v>Vendor term extension</x:v>
      </x:c>
      <x:c r="E222" s="28" t="str">
        <x:v>FY27</x:v>
      </x:c>
      <x:c r="F222" s="28" t="str">
        <x:v>Approved case</x:v>
      </x:c>
      <x:c r="G222" s="28" t="str">
        <x:v>Full EBITDA benefit</x:v>
      </x:c>
      <x:c r="H222" s="31" t="n">
        <x:v>0</x:v>
      </x:c>
      <x:c r="I222" s="28" t="str"/>
      <x:c r="J222" s="28" t="str">
        <x:v>USD</x:v>
      </x:c>
      <x:c r="K222" s="28" t="str">
        <x:v>Finance operating schedule</x:v>
      </x:c>
      <x:c r="L222" s="34" t="str">
        <x:v>2026-06-30</x:v>
      </x:c>
      <x:c r="M222" s="28" t="str"/>
    </x:row>
    <x:row r="223">
      <x:c r="A223" s="37" t="str">
        <x:v>PLN-01337</x:v>
      </x:c>
      <x:c r="B223" s="28" t="str">
        <x:v>Scenario-weighted earnings and liquidity at risk</x:v>
      </x:c>
      <x:c r="C223" s="28" t="str">
        <x:v>Scenario mitigation actions</x:v>
      </x:c>
      <x:c r="D223" s="28" t="str">
        <x:v>Vendor term extension</x:v>
      </x:c>
      <x:c r="E223" s="28" t="str">
        <x:v>FY27</x:v>
      </x:c>
      <x:c r="F223" s="28" t="str">
        <x:v>Approved case</x:v>
      </x:c>
      <x:c r="G223" s="28" t="str">
        <x:v>Full cash release</x:v>
      </x:c>
      <x:c r="H223" s="31" t="n">
        <x:v>400000</x:v>
      </x:c>
      <x:c r="I223" s="28" t="str"/>
      <x:c r="J223" s="28" t="str">
        <x:v>USD</x:v>
      </x:c>
      <x:c r="K223" s="28" t="str">
        <x:v>Finance operating schedule</x:v>
      </x:c>
      <x:c r="L223" s="34" t="str">
        <x:v>2026-06-30</x:v>
      </x:c>
      <x:c r="M223" s="28" t="str"/>
    </x:row>
    <x:row r="224">
      <x:c r="A224" s="37" t="str">
        <x:v>PLN-01338</x:v>
      </x:c>
      <x:c r="B224" s="28" t="str">
        <x:v>Scenario-weighted earnings and liquidity at risk</x:v>
      </x:c>
      <x:c r="C224" s="28" t="str">
        <x:v>Scenario mitigation actions</x:v>
      </x:c>
      <x:c r="D224" s="28" t="str">
        <x:v>Vendor term extension</x:v>
      </x:c>
      <x:c r="E224" s="28" t="str">
        <x:v>FY27</x:v>
      </x:c>
      <x:c r="F224" s="28" t="str">
        <x:v>Approved case</x:v>
      </x:c>
      <x:c r="G224" s="28" t="str">
        <x:v>Cash implementation cost</x:v>
      </x:c>
      <x:c r="H224" s="31" t="n">
        <x:v>90000</x:v>
      </x:c>
      <x:c r="I224" s="28" t="str"/>
      <x:c r="J224" s="28" t="str">
        <x:v>USD</x:v>
      </x:c>
      <x:c r="K224" s="28" t="str">
        <x:v>Finance operating schedule</x:v>
      </x:c>
      <x:c r="L224" s="34" t="str">
        <x:v>2026-06-30</x:v>
      </x:c>
      <x:c r="M224" s="28" t="str"/>
    </x:row>
    <x:row r="225">
      <x:c r="A225" s="37" t="str">
        <x:v>PLN-01339</x:v>
      </x:c>
      <x:c r="B225" s="28" t="str">
        <x:v>Scenario-weighted earnings and liquidity at risk</x:v>
      </x:c>
      <x:c r="C225" s="28" t="str">
        <x:v>Scenario mitigation actions</x:v>
      </x:c>
      <x:c r="D225" s="28" t="str">
        <x:v>Vendor term extension</x:v>
      </x:c>
      <x:c r="E225" s="28" t="str">
        <x:v>FY27</x:v>
      </x:c>
      <x:c r="F225" s="28" t="str">
        <x:v>Approved case</x:v>
      </x:c>
      <x:c r="G225" s="28" t="str">
        <x:v>Soft landing factor</x:v>
      </x:c>
      <x:c r="H225" s="31" t="n">
        <x:v>0.65</x:v>
      </x:c>
      <x:c r="I225" s="28" t="str"/>
      <x:c r="J225" s="28" t="str">
        <x:v>decimal ratio</x:v>
      </x:c>
      <x:c r="K225" s="28" t="str">
        <x:v>Finance operating schedule</x:v>
      </x:c>
      <x:c r="L225" s="34" t="str">
        <x:v>2026-06-30</x:v>
      </x:c>
      <x:c r="M225" s="28" t="str"/>
    </x:row>
    <x:row r="226">
      <x:c r="A226" s="37" t="str">
        <x:v>PLN-01340</x:v>
      </x:c>
      <x:c r="B226" s="28" t="str">
        <x:v>Scenario-weighted earnings and liquidity at risk</x:v>
      </x:c>
      <x:c r="C226" s="28" t="str">
        <x:v>Scenario mitigation actions</x:v>
      </x:c>
      <x:c r="D226" s="28" t="str">
        <x:v>Vendor term extension</x:v>
      </x:c>
      <x:c r="E226" s="28" t="str">
        <x:v>FY27</x:v>
      </x:c>
      <x:c r="F226" s="28" t="str">
        <x:v>Approved case</x:v>
      </x:c>
      <x:c r="G226" s="28" t="str">
        <x:v>Severe factor</x:v>
      </x:c>
      <x:c r="H226" s="31" t="n">
        <x:v>0.9</x:v>
      </x:c>
      <x:c r="I226" s="28" t="str"/>
      <x:c r="J226" s="28" t="str">
        <x:v>decimal ratio</x:v>
      </x:c>
      <x:c r="K226" s="28" t="str">
        <x:v>Finance operating schedule</x:v>
      </x:c>
      <x:c r="L226" s="34" t="str">
        <x:v>2026-06-30</x:v>
      </x:c>
      <x:c r="M226" s="28" t="str"/>
    </x:row>
    <x:row r="227">
      <x:c r="A227" s="37" t="str">
        <x:v>PLN-01341</x:v>
      </x:c>
      <x:c r="B227" s="28" t="str">
        <x:v>Scenario-weighted earnings and liquidity at risk</x:v>
      </x:c>
      <x:c r="C227" s="28" t="str">
        <x:v>Scenario mitigation actions</x:v>
      </x:c>
      <x:c r="D227" s="28" t="str">
        <x:v>Vendor term extension</x:v>
      </x:c>
      <x:c r="E227" s="28" t="str">
        <x:v>FY27</x:v>
      </x:c>
      <x:c r="F227" s="28" t="str">
        <x:v>Approved case</x:v>
      </x:c>
      <x:c r="G227" s="28" t="str">
        <x:v>Mandatory in Severe</x:v>
      </x:c>
      <x:c r="H227" s="31" t="n">
        <x:v>0</x:v>
      </x:c>
      <x:c r="I227" s="28" t="str"/>
      <x:c r="J227" s="28" t="str">
        <x:v>boolean</x:v>
      </x:c>
      <x:c r="K227" s="28" t="str">
        <x:v>Finance operating schedule</x:v>
      </x:c>
      <x:c r="L227" s="34" t="str">
        <x:v>2026-06-30</x:v>
      </x:c>
      <x:c r="M227" s="28" t="str"/>
    </x:row>
    <x:row r="228">
      <x:c r="A228" s="37" t="str">
        <x:v>PLN-01342</x:v>
      </x:c>
      <x:c r="B228" s="28" t="str">
        <x:v>Scenario-weighted earnings and liquidity at risk</x:v>
      </x:c>
      <x:c r="C228" s="28" t="str">
        <x:v>Scenario mitigation policy</x:v>
      </x:c>
      <x:c r="D228" s="28" t="str">
        <x:v>Alder Ridge</x:v>
      </x:c>
      <x:c r="E228" s="28" t="str">
        <x:v>FY27</x:v>
      </x:c>
      <x:c r="F228" s="28" t="str">
        <x:v>Approved case</x:v>
      </x:c>
      <x:c r="G228" s="28" t="str">
        <x:v>Maximum mitigation cash</x:v>
      </x:c>
      <x:c r="H228" s="31" t="n">
        <x:v>330000</x:v>
      </x:c>
      <x:c r="I228" s="28" t="str"/>
      <x:c r="J228" s="28" t="str">
        <x:v>USD</x:v>
      </x:c>
      <x:c r="K228" s="28" t="str">
        <x:v>Finance operating schedule</x:v>
      </x:c>
      <x:c r="L228" s="34" t="str">
        <x:v>2026-06-30</x:v>
      </x:c>
      <x:c r="M228" s="28" t="str"/>
    </x:row>
    <x:row r="229">
      <x:c r="A229" s="37" t="str">
        <x:v>PLN-01343</x:v>
      </x:c>
      <x:c r="B229" s="28" t="str">
        <x:v>Scenario-weighted earnings and liquidity at risk</x:v>
      </x:c>
      <x:c r="C229" s="28" t="str">
        <x:v>Scenario mitigation policy</x:v>
      </x:c>
      <x:c r="D229" s="28" t="str">
        <x:v>Alder Ridge</x:v>
      </x:c>
      <x:c r="E229" s="28" t="str">
        <x:v>FY27</x:v>
      </x:c>
      <x:c r="F229" s="28" t="str">
        <x:v>Approved case</x:v>
      </x:c>
      <x:c r="G229" s="28" t="str">
        <x:v>Maximum actions</x:v>
      </x:c>
      <x:c r="H229" s="31" t="n">
        <x:v>3</x:v>
      </x:c>
      <x:c r="I229" s="28" t="str"/>
      <x:c r="J229" s="28" t="str">
        <x:v>count</x:v>
      </x:c>
      <x:c r="K229" s="28" t="str">
        <x:v>Finance operating schedule</x:v>
      </x:c>
      <x:c r="L229" s="34" t="str">
        <x:v>2026-06-30</x:v>
      </x:c>
      <x:c r="M229" s="28" t="str"/>
    </x:row>
    <x:row r="230">
      <x:c r="A230" s="37" t="str">
        <x:v>PLN-01344</x:v>
      </x:c>
      <x:c r="B230" s="28" t="str">
        <x:v>Scenario-weighted earnings and liquidity at risk</x:v>
      </x:c>
      <x:c r="C230" s="28" t="str">
        <x:v>Scenario mitigation policy</x:v>
      </x:c>
      <x:c r="D230" s="28" t="str">
        <x:v>Alder Ridge</x:v>
      </x:c>
      <x:c r="E230" s="28" t="str">
        <x:v>FY27</x:v>
      </x:c>
      <x:c r="F230" s="28" t="str">
        <x:v>Approved case</x:v>
      </x:c>
      <x:c r="G230" s="28" t="str">
        <x:v>Post-mitigation funded debt before revolver</x:v>
      </x:c>
      <x:c r="H230" s="31" t="n">
        <x:v>7400000</x:v>
      </x:c>
      <x:c r="I230" s="28" t="str"/>
      <x:c r="J230" s="28" t="str">
        <x:v>USD</x:v>
      </x:c>
      <x:c r="K230" s="28" t="str">
        <x:v>Finance operating schedule</x:v>
      </x:c>
      <x:c r="L230" s="34" t="str">
        <x:v>2026-06-30</x:v>
      </x:c>
      <x:c r="M230" s="28" t="str"/>
    </x:row>
    <x:row r="231">
      <x:c r="A231" s="38" t="str">
        <x:v>PLN-01345</x:v>
      </x:c>
      <x:c r="B231" s="29" t="str">
        <x:v>Scenario-weighted earnings and liquidity at risk</x:v>
      </x:c>
      <x:c r="C231" s="29" t="str">
        <x:v>Scenario mitigation policy</x:v>
      </x:c>
      <x:c r="D231" s="29" t="str">
        <x:v>Alder Ridge</x:v>
      </x:c>
      <x:c r="E231" s="29" t="str">
        <x:v>FY27</x:v>
      </x:c>
      <x:c r="F231" s="29" t="str">
        <x:v>Approved case</x:v>
      </x:c>
      <x:c r="G231" s="29" t="str">
        <x:v>Maximum leverage</x:v>
      </x:c>
      <x:c r="H231" s="32" t="n">
        <x:v>2.5</x:v>
      </x:c>
      <x:c r="I231" s="29" t="str"/>
      <x:c r="J231" s="29" t="str">
        <x:v>multiple</x:v>
      </x:c>
      <x:c r="K231" s="29" t="str">
        <x:v>Finance operating schedule</x:v>
      </x:c>
      <x:c r="L231" s="35" t="str">
        <x:v>2026-06-30</x:v>
      </x:c>
      <x:c r="M231" s="29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FY27 operating plan | Opex and Workforce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CURRENT WORKING SOURCE - controller tie completed 2026-07-03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>
      <x:c r="A5" s="36" t="str">
        <x:v>PLN-00031</x:v>
      </x:c>
      <x:c r="B5" s="27" t="str">
        <x:v>Complete the FY27 EBITDA scenario model</x:v>
      </x:c>
      <x:c r="C5" s="27" t="str">
        <x:v>Driver Inputs</x:v>
      </x:c>
      <x:c r="D5" s="27" t="str">
        <x:v>Construction</x:v>
      </x:c>
      <x:c r="E5" s="27" t="str">
        <x:v>LTM 2026-06-30</x:v>
      </x:c>
      <x:c r="F5" s="27" t="str">
        <x:v>Approved case</x:v>
      </x:c>
      <x:c r="G5" s="27" t="str">
        <x:v>Revenue base allocation</x:v>
      </x:c>
      <x:c r="H5" s="30" t="n">
        <x:v>0.58</x:v>
      </x:c>
      <x:c r="I5" s="27" t="str"/>
      <x:c r="J5" s="27" t="str">
        <x:v>ledger allocation factor</x:v>
      </x:c>
      <x:c r="K5" s="27" t="str">
        <x:v>Approved branch-to-GL mapping</x:v>
      </x:c>
      <x:c r="L5" s="33" t="str">
        <x:v>2026-06-30</x:v>
      </x:c>
      <x:c r="M5" s="27" t="str">
        <x:v>Vista ERP P&amp;L, 2025-07-01 through 2026-06-30; Revenue total</x:v>
      </x:c>
    </x:row>
    <x:row r="6">
      <x:c r="A6" s="37" t="str">
        <x:v>PLN-00032</x:v>
      </x:c>
      <x:c r="B6" s="28" t="str">
        <x:v>Complete the FY27 EBITDA scenario model</x:v>
      </x:c>
      <x:c r="C6" s="28" t="str">
        <x:v>Driver Inputs</x:v>
      </x:c>
      <x:c r="D6" s="28" t="str">
        <x:v>Service</x:v>
      </x:c>
      <x:c r="E6" s="28" t="str">
        <x:v>LTM 2026-06-30</x:v>
      </x:c>
      <x:c r="F6" s="28" t="str">
        <x:v>Approved case</x:v>
      </x:c>
      <x:c r="G6" s="28" t="str">
        <x:v>Revenue base allocation</x:v>
      </x:c>
      <x:c r="H6" s="31" t="n">
        <x:v>0.27</x:v>
      </x:c>
      <x:c r="I6" s="28" t="str"/>
      <x:c r="J6" s="28" t="str">
        <x:v>ledger allocation factor</x:v>
      </x:c>
      <x:c r="K6" s="28" t="str">
        <x:v>Approved branch-to-GL mapping</x:v>
      </x:c>
      <x:c r="L6" s="34" t="str">
        <x:v>2026-06-30</x:v>
      </x:c>
      <x:c r="M6" s="28" t="str">
        <x:v>Vista ERP P&amp;L, 2025-07-01 through 2026-06-30; Revenue total</x:v>
      </x:c>
    </x:row>
    <x:row r="7">
      <x:c r="A7" s="37" t="str">
        <x:v>PLN-00033</x:v>
      </x:c>
      <x:c r="B7" s="28" t="str">
        <x:v>Complete the FY27 EBITDA scenario model</x:v>
      </x:c>
      <x:c r="C7" s="28" t="str">
        <x:v>Driver Inputs</x:v>
      </x:c>
      <x:c r="D7" s="28" t="str">
        <x:v>Controls</x:v>
      </x:c>
      <x:c r="E7" s="28" t="str">
        <x:v>LTM 2026-06-30</x:v>
      </x:c>
      <x:c r="F7" s="28" t="str">
        <x:v>Approved case</x:v>
      </x:c>
      <x:c r="G7" s="28" t="str">
        <x:v>Revenue base allocation</x:v>
      </x:c>
      <x:c r="H7" s="31" t="n">
        <x:v>0.15</x:v>
      </x:c>
      <x:c r="I7" s="28" t="str"/>
      <x:c r="J7" s="28" t="str">
        <x:v>ledger allocation factor</x:v>
      </x:c>
      <x:c r="K7" s="28" t="str">
        <x:v>Approved branch-to-GL mapping</x:v>
      </x:c>
      <x:c r="L7" s="34" t="str">
        <x:v>2026-06-30</x:v>
      </x:c>
      <x:c r="M7" s="28" t="str">
        <x:v>Vista ERP P&amp;L, 2025-07-01 through 2026-06-30; Revenue total</x:v>
      </x:c>
    </x:row>
    <x:row r="8">
      <x:c r="A8" s="37" t="str">
        <x:v>PLN-00034</x:v>
      </x:c>
      <x:c r="B8" s="28" t="str">
        <x:v>Complete the FY27 EBITDA scenario model</x:v>
      </x:c>
      <x:c r="C8" s="28" t="str">
        <x:v>Driver Inputs</x:v>
      </x:c>
      <x:c r="D8" s="28" t="str">
        <x:v>Construction</x:v>
      </x:c>
      <x:c r="E8" s="28" t="str">
        <x:v>FY27</x:v>
      </x:c>
      <x:c r="F8" s="28" t="str">
        <x:v>Base</x:v>
      </x:c>
      <x:c r="G8" s="28" t="str">
        <x:v>Revenue growth</x:v>
      </x:c>
      <x:c r="H8" s="31" t="n">
        <x:v>0.055</x:v>
      </x:c>
      <x:c r="I8" s="28" t="str"/>
      <x:c r="J8" s="28" t="str">
        <x:v>decimal ratio</x:v>
      </x:c>
      <x:c r="K8" s="28" t="str">
        <x:v>Finance operating schedule</x:v>
      </x:c>
      <x:c r="L8" s="34" t="str">
        <x:v>2026-06-30</x:v>
      </x:c>
      <x:c r="M8" s="28" t="str"/>
    </x:row>
    <x:row r="9">
      <x:c r="A9" s="37" t="str">
        <x:v>PLN-00035</x:v>
      </x:c>
      <x:c r="B9" s="28" t="str">
        <x:v>Complete the FY27 EBITDA scenario model</x:v>
      </x:c>
      <x:c r="C9" s="28" t="str">
        <x:v>Driver Inputs</x:v>
      </x:c>
      <x:c r="D9" s="28" t="str">
        <x:v>Construction</x:v>
      </x:c>
      <x:c r="E9" s="28" t="str">
        <x:v>FY27</x:v>
      </x:c>
      <x:c r="F9" s="28" t="str">
        <x:v>Base</x:v>
      </x:c>
      <x:c r="G9" s="28" t="str">
        <x:v>Gross margin</x:v>
      </x:c>
      <x:c r="H9" s="31" t="n">
        <x:v>0.285</x:v>
      </x:c>
      <x:c r="I9" s="28" t="str"/>
      <x:c r="J9" s="28" t="str">
        <x:v>decimal ratio</x:v>
      </x:c>
      <x:c r="K9" s="28" t="str">
        <x:v>Finance operating schedule</x:v>
      </x:c>
      <x:c r="L9" s="34" t="str">
        <x:v>2026-06-30</x:v>
      </x:c>
      <x:c r="M9" s="28" t="str"/>
    </x:row>
    <x:row r="10">
      <x:c r="A10" s="37" t="str">
        <x:v>PLN-00036</x:v>
      </x:c>
      <x:c r="B10" s="28" t="str">
        <x:v>Complete the FY27 EBITDA scenario model</x:v>
      </x:c>
      <x:c r="C10" s="28" t="str">
        <x:v>Driver Inputs</x:v>
      </x:c>
      <x:c r="D10" s="28" t="str">
        <x:v>Service</x:v>
      </x:c>
      <x:c r="E10" s="28" t="str">
        <x:v>FY27</x:v>
      </x:c>
      <x:c r="F10" s="28" t="str">
        <x:v>Base</x:v>
      </x:c>
      <x:c r="G10" s="28" t="str">
        <x:v>Revenue growth</x:v>
      </x:c>
      <x:c r="H10" s="31" t="n">
        <x:v>0.09</x:v>
      </x:c>
      <x:c r="I10" s="28" t="str"/>
      <x:c r="J10" s="28" t="str">
        <x:v>decimal ratio</x:v>
      </x:c>
      <x:c r="K10" s="28" t="str">
        <x:v>Finance operating schedule</x:v>
      </x:c>
      <x:c r="L10" s="34" t="str">
        <x:v>2026-06-30</x:v>
      </x:c>
      <x:c r="M10" s="28" t="str"/>
    </x:row>
    <x:row r="11">
      <x:c r="A11" s="37" t="str">
        <x:v>PLN-00037</x:v>
      </x:c>
      <x:c r="B11" s="28" t="str">
        <x:v>Complete the FY27 EBITDA scenario model</x:v>
      </x:c>
      <x:c r="C11" s="28" t="str">
        <x:v>Driver Inputs</x:v>
      </x:c>
      <x:c r="D11" s="28" t="str">
        <x:v>Service</x:v>
      </x:c>
      <x:c r="E11" s="28" t="str">
        <x:v>FY27</x:v>
      </x:c>
      <x:c r="F11" s="28" t="str">
        <x:v>Base</x:v>
      </x:c>
      <x:c r="G11" s="28" t="str">
        <x:v>Gross margin</x:v>
      </x:c>
      <x:c r="H11" s="31" t="n">
        <x:v>0.41</x:v>
      </x:c>
      <x:c r="I11" s="28" t="str"/>
      <x:c r="J11" s="28" t="str">
        <x:v>decimal ratio</x:v>
      </x:c>
      <x:c r="K11" s="28" t="str">
        <x:v>Finance operating schedule</x:v>
      </x:c>
      <x:c r="L11" s="34" t="str">
        <x:v>2026-06-30</x:v>
      </x:c>
      <x:c r="M11" s="28" t="str"/>
    </x:row>
    <x:row r="12">
      <x:c r="A12" s="37" t="str">
        <x:v>PLN-00038</x:v>
      </x:c>
      <x:c r="B12" s="28" t="str">
        <x:v>Complete the FY27 EBITDA scenario model</x:v>
      </x:c>
      <x:c r="C12" s="28" t="str">
        <x:v>Driver Inputs</x:v>
      </x:c>
      <x:c r="D12" s="28" t="str">
        <x:v>Controls</x:v>
      </x:c>
      <x:c r="E12" s="28" t="str">
        <x:v>FY27</x:v>
      </x:c>
      <x:c r="F12" s="28" t="str">
        <x:v>Base</x:v>
      </x:c>
      <x:c r="G12" s="28" t="str">
        <x:v>Revenue growth</x:v>
      </x:c>
      <x:c r="H12" s="31" t="n">
        <x:v>0.115</x:v>
      </x:c>
      <x:c r="I12" s="28" t="str"/>
      <x:c r="J12" s="28" t="str">
        <x:v>decimal ratio</x:v>
      </x:c>
      <x:c r="K12" s="28" t="str">
        <x:v>Finance operating schedule</x:v>
      </x:c>
      <x:c r="L12" s="34" t="str">
        <x:v>2026-06-30</x:v>
      </x:c>
      <x:c r="M12" s="28" t="str"/>
    </x:row>
    <x:row r="13">
      <x:c r="A13" s="37" t="str">
        <x:v>PLN-00039</x:v>
      </x:c>
      <x:c r="B13" s="28" t="str">
        <x:v>Complete the FY27 EBITDA scenario model</x:v>
      </x:c>
      <x:c r="C13" s="28" t="str">
        <x:v>Driver Inputs</x:v>
      </x:c>
      <x:c r="D13" s="28" t="str">
        <x:v>Controls</x:v>
      </x:c>
      <x:c r="E13" s="28" t="str">
        <x:v>FY27</x:v>
      </x:c>
      <x:c r="F13" s="28" t="str">
        <x:v>Base</x:v>
      </x:c>
      <x:c r="G13" s="28" t="str">
        <x:v>Gross margin</x:v>
      </x:c>
      <x:c r="H13" s="31" t="n">
        <x:v>0.365</x:v>
      </x:c>
      <x:c r="I13" s="28" t="str"/>
      <x:c r="J13" s="28" t="str">
        <x:v>decimal ratio</x:v>
      </x:c>
      <x:c r="K13" s="28" t="str">
        <x:v>Finance operating schedule</x:v>
      </x:c>
      <x:c r="L13" s="34" t="str">
        <x:v>2026-06-30</x:v>
      </x:c>
      <x:c r="M13" s="28" t="str"/>
    </x:row>
    <x:row r="14">
      <x:c r="A14" s="37" t="str">
        <x:v>PLN-00040</x:v>
      </x:c>
      <x:c r="B14" s="28" t="str">
        <x:v>Complete the FY27 EBITDA scenario model</x:v>
      </x:c>
      <x:c r="C14" s="28" t="str">
        <x:v>Driver Inputs</x:v>
      </x:c>
      <x:c r="D14" s="28" t="str">
        <x:v>Consolidated</x:v>
      </x:c>
      <x:c r="E14" s="28" t="str">
        <x:v>FY27</x:v>
      </x:c>
      <x:c r="F14" s="28" t="str">
        <x:v>Base</x:v>
      </x:c>
      <x:c r="G14" s="28" t="str">
        <x:v>Fixed Opex Growth</x:v>
      </x:c>
      <x:c r="H14" s="31" t="n">
        <x:v>0.05</x:v>
      </x:c>
      <x:c r="I14" s="28" t="str"/>
      <x:c r="J14" s="28" t="str">
        <x:v>decimal ratio</x:v>
      </x:c>
      <x:c r="K14" s="28" t="str">
        <x:v>Finance operating schedule</x:v>
      </x:c>
      <x:c r="L14" s="34" t="str">
        <x:v>2026-06-30</x:v>
      </x:c>
      <x:c r="M14" s="28" t="str"/>
    </x:row>
    <x:row r="15">
      <x:c r="A15" s="37" t="str">
        <x:v>PLN-00041</x:v>
      </x:c>
      <x:c r="B15" s="28" t="str">
        <x:v>Complete the FY27 EBITDA scenario model</x:v>
      </x:c>
      <x:c r="C15" s="28" t="str">
        <x:v>Driver Inputs</x:v>
      </x:c>
      <x:c r="D15" s="28" t="str">
        <x:v>Consolidated</x:v>
      </x:c>
      <x:c r="E15" s="28" t="str">
        <x:v>FY27</x:v>
      </x:c>
      <x:c r="F15" s="28" t="str">
        <x:v>Base</x:v>
      </x:c>
      <x:c r="G15" s="28" t="str">
        <x:v>Variable Opex Rate</x:v>
      </x:c>
      <x:c r="H15" s="31" t="n">
        <x:v>0.031</x:v>
      </x:c>
      <x:c r="I15" s="28" t="str"/>
      <x:c r="J15" s="28" t="str">
        <x:v>decimal ratio</x:v>
      </x:c>
      <x:c r="K15" s="28" t="str">
        <x:v>Finance operating schedule</x:v>
      </x:c>
      <x:c r="L15" s="34" t="str">
        <x:v>2026-06-30</x:v>
      </x:c>
      <x:c r="M15" s="28" t="str"/>
    </x:row>
    <x:row r="16">
      <x:c r="A16" s="37" t="str">
        <x:v>PLN-00042</x:v>
      </x:c>
      <x:c r="B16" s="28" t="str">
        <x:v>Complete the FY27 EBITDA scenario model</x:v>
      </x:c>
      <x:c r="C16" s="28" t="str">
        <x:v>Driver Inputs</x:v>
      </x:c>
      <x:c r="D16" s="28" t="str">
        <x:v>Consolidated</x:v>
      </x:c>
      <x:c r="E16" s="28" t="str">
        <x:v>FY27</x:v>
      </x:c>
      <x:c r="F16" s="28" t="str">
        <x:v>Base</x:v>
      </x:c>
      <x:c r="G16" s="28" t="str">
        <x:v>Cash Tax Rate</x:v>
      </x:c>
      <x:c r="H16" s="31" t="n">
        <x:v>0.235</x:v>
      </x:c>
      <x:c r="I16" s="28" t="str"/>
      <x:c r="J16" s="28" t="str">
        <x:v>decimal ratio</x:v>
      </x:c>
      <x:c r="K16" s="28" t="str">
        <x:v>Finance operating schedule</x:v>
      </x:c>
      <x:c r="L16" s="34" t="str">
        <x:v>2026-06-30</x:v>
      </x:c>
      <x:c r="M16" s="28" t="str"/>
    </x:row>
    <x:row r="17">
      <x:c r="A17" s="37" t="str">
        <x:v>PLN-00043</x:v>
      </x:c>
      <x:c r="B17" s="28" t="str">
        <x:v>Complete the FY27 EBITDA scenario model</x:v>
      </x:c>
      <x:c r="C17" s="28" t="str">
        <x:v>Driver Inputs</x:v>
      </x:c>
      <x:c r="D17" s="28" t="str">
        <x:v>Consolidated</x:v>
      </x:c>
      <x:c r="E17" s="28" t="str">
        <x:v>FY27</x:v>
      </x:c>
      <x:c r="F17" s="28" t="str">
        <x:v>Base</x:v>
      </x:c>
      <x:c r="G17" s="28" t="str">
        <x:v>Capex</x:v>
      </x:c>
      <x:c r="H17" s="31" t="n">
        <x:v>3150000</x:v>
      </x:c>
      <x:c r="I17" s="28" t="str"/>
      <x:c r="J17" s="28" t="str">
        <x:v>USD</x:v>
      </x:c>
      <x:c r="K17" s="28" t="str">
        <x:v>Finance operating schedule</x:v>
      </x:c>
      <x:c r="L17" s="34" t="str">
        <x:v>2026-06-30</x:v>
      </x:c>
      <x:c r="M17" s="28" t="str"/>
    </x:row>
    <x:row r="18">
      <x:c r="A18" s="37" t="str">
        <x:v>PLN-00044</x:v>
      </x:c>
      <x:c r="B18" s="28" t="str">
        <x:v>Complete the FY27 EBITDA scenario model</x:v>
      </x:c>
      <x:c r="C18" s="28" t="str">
        <x:v>Driver Inputs</x:v>
      </x:c>
      <x:c r="D18" s="28" t="str">
        <x:v>Consolidated</x:v>
      </x:c>
      <x:c r="E18" s="28" t="str">
        <x:v>FY27</x:v>
      </x:c>
      <x:c r="F18" s="28" t="str">
        <x:v>Base</x:v>
      </x:c>
      <x:c r="G18" s="28" t="str">
        <x:v>Nwc Rate</x:v>
      </x:c>
      <x:c r="H18" s="31" t="n">
        <x:v>0.018</x:v>
      </x:c>
      <x:c r="I18" s="28" t="str"/>
      <x:c r="J18" s="28" t="str">
        <x:v>decimal ratio</x:v>
      </x:c>
      <x:c r="K18" s="28" t="str">
        <x:v>Finance operating schedule</x:v>
      </x:c>
      <x:c r="L18" s="34" t="str">
        <x:v>2026-06-30</x:v>
      </x:c>
      <x:c r="M18" s="28" t="str"/>
    </x:row>
    <x:row r="19">
      <x:c r="A19" s="37" t="str">
        <x:v>PLN-00045</x:v>
      </x:c>
      <x:c r="B19" s="28" t="str">
        <x:v>Complete the FY27 EBITDA scenario model</x:v>
      </x:c>
      <x:c r="C19" s="28" t="str">
        <x:v>Driver Inputs</x:v>
      </x:c>
      <x:c r="D19" s="28" t="str">
        <x:v>Construction</x:v>
      </x:c>
      <x:c r="E19" s="28" t="str">
        <x:v>FY27</x:v>
      </x:c>
      <x:c r="F19" s="28" t="str">
        <x:v>Downside</x:v>
      </x:c>
      <x:c r="G19" s="28" t="str">
        <x:v>Revenue growth</x:v>
      </x:c>
      <x:c r="H19" s="31" t="n">
        <x:v>-0.08</x:v>
      </x:c>
      <x:c r="I19" s="28" t="str"/>
      <x:c r="J19" s="28" t="str">
        <x:v>decimal ratio</x:v>
      </x:c>
      <x:c r="K19" s="28" t="str">
        <x:v>Finance operating schedule</x:v>
      </x:c>
      <x:c r="L19" s="34" t="str">
        <x:v>2026-06-30</x:v>
      </x:c>
      <x:c r="M19" s="28" t="str"/>
    </x:row>
    <x:row r="20">
      <x:c r="A20" s="37" t="str">
        <x:v>PLN-00046</x:v>
      </x:c>
      <x:c r="B20" s="28" t="str">
        <x:v>Complete the FY27 EBITDA scenario model</x:v>
      </x:c>
      <x:c r="C20" s="28" t="str">
        <x:v>Driver Inputs</x:v>
      </x:c>
      <x:c r="D20" s="28" t="str">
        <x:v>Construction</x:v>
      </x:c>
      <x:c r="E20" s="28" t="str">
        <x:v>FY27</x:v>
      </x:c>
      <x:c r="F20" s="28" t="str">
        <x:v>Downside</x:v>
      </x:c>
      <x:c r="G20" s="28" t="str">
        <x:v>Gross margin</x:v>
      </x:c>
      <x:c r="H20" s="31" t="n">
        <x:v>0.245</x:v>
      </x:c>
      <x:c r="I20" s="28" t="str"/>
      <x:c r="J20" s="28" t="str">
        <x:v>decimal ratio</x:v>
      </x:c>
      <x:c r="K20" s="28" t="str">
        <x:v>Finance operating schedule</x:v>
      </x:c>
      <x:c r="L20" s="34" t="str">
        <x:v>2026-06-30</x:v>
      </x:c>
      <x:c r="M20" s="28" t="str"/>
    </x:row>
    <x:row r="21">
      <x:c r="A21" s="37" t="str">
        <x:v>PLN-00047</x:v>
      </x:c>
      <x:c r="B21" s="28" t="str">
        <x:v>Complete the FY27 EBITDA scenario model</x:v>
      </x:c>
      <x:c r="C21" s="28" t="str">
        <x:v>Driver Inputs</x:v>
      </x:c>
      <x:c r="D21" s="28" t="str">
        <x:v>Service</x:v>
      </x:c>
      <x:c r="E21" s="28" t="str">
        <x:v>FY27</x:v>
      </x:c>
      <x:c r="F21" s="28" t="str">
        <x:v>Downside</x:v>
      </x:c>
      <x:c r="G21" s="28" t="str">
        <x:v>Revenue growth</x:v>
      </x:c>
      <x:c r="H21" s="31" t="n">
        <x:v>0.015</x:v>
      </x:c>
      <x:c r="I21" s="28" t="str"/>
      <x:c r="J21" s="28" t="str">
        <x:v>decimal ratio</x:v>
      </x:c>
      <x:c r="K21" s="28" t="str">
        <x:v>Finance operating schedule</x:v>
      </x:c>
      <x:c r="L21" s="34" t="str">
        <x:v>2026-06-30</x:v>
      </x:c>
      <x:c r="M21" s="28" t="str"/>
    </x:row>
    <x:row r="22">
      <x:c r="A22" s="37" t="str">
        <x:v>PLN-00048</x:v>
      </x:c>
      <x:c r="B22" s="28" t="str">
        <x:v>Complete the FY27 EBITDA scenario model</x:v>
      </x:c>
      <x:c r="C22" s="28" t="str">
        <x:v>Driver Inputs</x:v>
      </x:c>
      <x:c r="D22" s="28" t="str">
        <x:v>Service</x:v>
      </x:c>
      <x:c r="E22" s="28" t="str">
        <x:v>FY27</x:v>
      </x:c>
      <x:c r="F22" s="28" t="str">
        <x:v>Downside</x:v>
      </x:c>
      <x:c r="G22" s="28" t="str">
        <x:v>Gross margin</x:v>
      </x:c>
      <x:c r="H22" s="31" t="n">
        <x:v>0.365</x:v>
      </x:c>
      <x:c r="I22" s="28" t="str"/>
      <x:c r="J22" s="28" t="str">
        <x:v>decimal ratio</x:v>
      </x:c>
      <x:c r="K22" s="28" t="str">
        <x:v>Finance operating schedule</x:v>
      </x:c>
      <x:c r="L22" s="34" t="str">
        <x:v>2026-06-30</x:v>
      </x:c>
      <x:c r="M22" s="28" t="str"/>
    </x:row>
    <x:row r="23">
      <x:c r="A23" s="37" t="str">
        <x:v>PLN-00049</x:v>
      </x:c>
      <x:c r="B23" s="28" t="str">
        <x:v>Complete the FY27 EBITDA scenario model</x:v>
      </x:c>
      <x:c r="C23" s="28" t="str">
        <x:v>Driver Inputs</x:v>
      </x:c>
      <x:c r="D23" s="28" t="str">
        <x:v>Controls</x:v>
      </x:c>
      <x:c r="E23" s="28" t="str">
        <x:v>FY27</x:v>
      </x:c>
      <x:c r="F23" s="28" t="str">
        <x:v>Downside</x:v>
      </x:c>
      <x:c r="G23" s="28" t="str">
        <x:v>Revenue growth</x:v>
      </x:c>
      <x:c r="H23" s="31" t="n">
        <x:v>-0.03</x:v>
      </x:c>
      <x:c r="I23" s="28" t="str"/>
      <x:c r="J23" s="28" t="str">
        <x:v>decimal ratio</x:v>
      </x:c>
      <x:c r="K23" s="28" t="str">
        <x:v>Finance operating schedule</x:v>
      </x:c>
      <x:c r="L23" s="34" t="str">
        <x:v>2026-06-30</x:v>
      </x:c>
      <x:c r="M23" s="28" t="str"/>
    </x:row>
    <x:row r="24">
      <x:c r="A24" s="37" t="str">
        <x:v>PLN-00050</x:v>
      </x:c>
      <x:c r="B24" s="28" t="str">
        <x:v>Complete the FY27 EBITDA scenario model</x:v>
      </x:c>
      <x:c r="C24" s="28" t="str">
        <x:v>Driver Inputs</x:v>
      </x:c>
      <x:c r="D24" s="28" t="str">
        <x:v>Controls</x:v>
      </x:c>
      <x:c r="E24" s="28" t="str">
        <x:v>FY27</x:v>
      </x:c>
      <x:c r="F24" s="28" t="str">
        <x:v>Downside</x:v>
      </x:c>
      <x:c r="G24" s="28" t="str">
        <x:v>Gross margin</x:v>
      </x:c>
      <x:c r="H24" s="31" t="n">
        <x:v>0.315</x:v>
      </x:c>
      <x:c r="I24" s="28" t="str"/>
      <x:c r="J24" s="28" t="str">
        <x:v>decimal ratio</x:v>
      </x:c>
      <x:c r="K24" s="28" t="str">
        <x:v>Finance operating schedule</x:v>
      </x:c>
      <x:c r="L24" s="34" t="str">
        <x:v>2026-06-30</x:v>
      </x:c>
      <x:c r="M24" s="28" t="str"/>
    </x:row>
    <x:row r="25">
      <x:c r="A25" s="37" t="str">
        <x:v>PLN-00051</x:v>
      </x:c>
      <x:c r="B25" s="28" t="str">
        <x:v>Complete the FY27 EBITDA scenario model</x:v>
      </x:c>
      <x:c r="C25" s="28" t="str">
        <x:v>Driver Inputs</x:v>
      </x:c>
      <x:c r="D25" s="28" t="str">
        <x:v>Consolidated</x:v>
      </x:c>
      <x:c r="E25" s="28" t="str">
        <x:v>FY27</x:v>
      </x:c>
      <x:c r="F25" s="28" t="str">
        <x:v>Downside</x:v>
      </x:c>
      <x:c r="G25" s="28" t="str">
        <x:v>Fixed Opex Growth</x:v>
      </x:c>
      <x:c r="H25" s="31" t="n">
        <x:v>0.025</x:v>
      </x:c>
      <x:c r="I25" s="28" t="str"/>
      <x:c r="J25" s="28" t="str">
        <x:v>decimal ratio</x:v>
      </x:c>
      <x:c r="K25" s="28" t="str">
        <x:v>Finance operating schedule</x:v>
      </x:c>
      <x:c r="L25" s="34" t="str">
        <x:v>2026-06-30</x:v>
      </x:c>
      <x:c r="M25" s="28" t="str"/>
    </x:row>
    <x:row r="26">
      <x:c r="A26" s="37" t="str">
        <x:v>PLN-00052</x:v>
      </x:c>
      <x:c r="B26" s="28" t="str">
        <x:v>Complete the FY27 EBITDA scenario model</x:v>
      </x:c>
      <x:c r="C26" s="28" t="str">
        <x:v>Driver Inputs</x:v>
      </x:c>
      <x:c r="D26" s="28" t="str">
        <x:v>Consolidated</x:v>
      </x:c>
      <x:c r="E26" s="28" t="str">
        <x:v>FY27</x:v>
      </x:c>
      <x:c r="F26" s="28" t="str">
        <x:v>Downside</x:v>
      </x:c>
      <x:c r="G26" s="28" t="str">
        <x:v>Variable Opex Rate</x:v>
      </x:c>
      <x:c r="H26" s="31" t="n">
        <x:v>0.034</x:v>
      </x:c>
      <x:c r="I26" s="28" t="str"/>
      <x:c r="J26" s="28" t="str">
        <x:v>decimal ratio</x:v>
      </x:c>
      <x:c r="K26" s="28" t="str">
        <x:v>Finance operating schedule</x:v>
      </x:c>
      <x:c r="L26" s="34" t="str">
        <x:v>2026-06-30</x:v>
      </x:c>
      <x:c r="M26" s="28" t="str"/>
    </x:row>
    <x:row r="27">
      <x:c r="A27" s="37" t="str">
        <x:v>PLN-00053</x:v>
      </x:c>
      <x:c r="B27" s="28" t="str">
        <x:v>Complete the FY27 EBITDA scenario model</x:v>
      </x:c>
      <x:c r="C27" s="28" t="str">
        <x:v>Driver Inputs</x:v>
      </x:c>
      <x:c r="D27" s="28" t="str">
        <x:v>Consolidated</x:v>
      </x:c>
      <x:c r="E27" s="28" t="str">
        <x:v>FY27</x:v>
      </x:c>
      <x:c r="F27" s="28" t="str">
        <x:v>Downside</x:v>
      </x:c>
      <x:c r="G27" s="28" t="str">
        <x:v>Cash Tax Rate</x:v>
      </x:c>
      <x:c r="H27" s="31" t="n">
        <x:v>0.205</x:v>
      </x:c>
      <x:c r="I27" s="28" t="str"/>
      <x:c r="J27" s="28" t="str">
        <x:v>decimal ratio</x:v>
      </x:c>
      <x:c r="K27" s="28" t="str">
        <x:v>Finance operating schedule</x:v>
      </x:c>
      <x:c r="L27" s="34" t="str">
        <x:v>2026-06-30</x:v>
      </x:c>
      <x:c r="M27" s="28" t="str"/>
    </x:row>
    <x:row r="28">
      <x:c r="A28" s="37" t="str">
        <x:v>PLN-00054</x:v>
      </x:c>
      <x:c r="B28" s="28" t="str">
        <x:v>Complete the FY27 EBITDA scenario model</x:v>
      </x:c>
      <x:c r="C28" s="28" t="str">
        <x:v>Driver Inputs</x:v>
      </x:c>
      <x:c r="D28" s="28" t="str">
        <x:v>Consolidated</x:v>
      </x:c>
      <x:c r="E28" s="28" t="str">
        <x:v>FY27</x:v>
      </x:c>
      <x:c r="F28" s="28" t="str">
        <x:v>Downside</x:v>
      </x:c>
      <x:c r="G28" s="28" t="str">
        <x:v>Capex</x:v>
      </x:c>
      <x:c r="H28" s="31" t="n">
        <x:v>2300</x:v>
      </x:c>
      <x:c r="I28" s="28" t="str"/>
      <x:c r="J28" s="28" t="str">
        <x:v>USD thousands</x:v>
      </x:c>
      <x:c r="K28" s="28" t="str">
        <x:v>Finance operating schedule</x:v>
      </x:c>
      <x:c r="L28" s="34" t="str">
        <x:v>2026-06-30</x:v>
      </x:c>
      <x:c r="M28" s="28" t="str"/>
    </x:row>
    <x:row r="29">
      <x:c r="A29" s="37" t="str">
        <x:v>PLN-00055</x:v>
      </x:c>
      <x:c r="B29" s="28" t="str">
        <x:v>Complete the FY27 EBITDA scenario model</x:v>
      </x:c>
      <x:c r="C29" s="28" t="str">
        <x:v>Driver Inputs</x:v>
      </x:c>
      <x:c r="D29" s="28" t="str">
        <x:v>Consolidated</x:v>
      </x:c>
      <x:c r="E29" s="28" t="str">
        <x:v>FY27</x:v>
      </x:c>
      <x:c r="F29" s="28" t="str">
        <x:v>Downside</x:v>
      </x:c>
      <x:c r="G29" s="28" t="str">
        <x:v>Nwc Rate</x:v>
      </x:c>
      <x:c r="H29" s="31" t="n">
        <x:v>0.01</x:v>
      </x:c>
      <x:c r="I29" s="28" t="str"/>
      <x:c r="J29" s="28" t="str">
        <x:v>decimal ratio</x:v>
      </x:c>
      <x:c r="K29" s="28" t="str">
        <x:v>Finance operating schedule</x:v>
      </x:c>
      <x:c r="L29" s="34" t="str">
        <x:v>2026-06-30</x:v>
      </x:c>
      <x:c r="M29" s="28" t="str"/>
    </x:row>
    <x:row r="30">
      <x:c r="A30" s="37" t="str">
        <x:v>PLN-00056</x:v>
      </x:c>
      <x:c r="B30" s="28" t="str">
        <x:v>Complete the FY27 EBITDA scenario model</x:v>
      </x:c>
      <x:c r="C30" s="28" t="str">
        <x:v>Driver Inputs</x:v>
      </x:c>
      <x:c r="D30" s="28" t="str">
        <x:v>Construction</x:v>
      </x:c>
      <x:c r="E30" s="28" t="str">
        <x:v>FY27</x:v>
      </x:c>
      <x:c r="F30" s="28" t="str">
        <x:v>Upside</x:v>
      </x:c>
      <x:c r="G30" s="28" t="str">
        <x:v>Revenue growth</x:v>
      </x:c>
      <x:c r="H30" s="31" t="n">
        <x:v>0.125</x:v>
      </x:c>
      <x:c r="I30" s="28" t="str"/>
      <x:c r="J30" s="28" t="str">
        <x:v>decimal ratio</x:v>
      </x:c>
      <x:c r="K30" s="28" t="str">
        <x:v>Finance operating schedule</x:v>
      </x:c>
      <x:c r="L30" s="34" t="str">
        <x:v>2026-06-30</x:v>
      </x:c>
      <x:c r="M30" s="28" t="str"/>
    </x:row>
    <x:row r="31">
      <x:c r="A31" s="37" t="str">
        <x:v>PLN-00057</x:v>
      </x:c>
      <x:c r="B31" s="28" t="str">
        <x:v>Complete the FY27 EBITDA scenario model</x:v>
      </x:c>
      <x:c r="C31" s="28" t="str">
        <x:v>Driver Inputs</x:v>
      </x:c>
      <x:c r="D31" s="28" t="str">
        <x:v>Construction</x:v>
      </x:c>
      <x:c r="E31" s="28" t="str">
        <x:v>FY27</x:v>
      </x:c>
      <x:c r="F31" s="28" t="str">
        <x:v>Upside</x:v>
      </x:c>
      <x:c r="G31" s="28" t="str">
        <x:v>Gross margin</x:v>
      </x:c>
      <x:c r="H31" s="31" t="n">
        <x:v>0.305</x:v>
      </x:c>
      <x:c r="I31" s="28" t="str"/>
      <x:c r="J31" s="28" t="str">
        <x:v>decimal ratio</x:v>
      </x:c>
      <x:c r="K31" s="28" t="str">
        <x:v>Finance operating schedule</x:v>
      </x:c>
      <x:c r="L31" s="34" t="str">
        <x:v>2026-06-30</x:v>
      </x:c>
      <x:c r="M31" s="28" t="str"/>
    </x:row>
    <x:row r="32">
      <x:c r="A32" s="37" t="str">
        <x:v>PLN-00058</x:v>
      </x:c>
      <x:c r="B32" s="28" t="str">
        <x:v>Complete the FY27 EBITDA scenario model</x:v>
      </x:c>
      <x:c r="C32" s="28" t="str">
        <x:v>Driver Inputs</x:v>
      </x:c>
      <x:c r="D32" s="28" t="str">
        <x:v>Service</x:v>
      </x:c>
      <x:c r="E32" s="28" t="str">
        <x:v>FY27</x:v>
      </x:c>
      <x:c r="F32" s="28" t="str">
        <x:v>Upside</x:v>
      </x:c>
      <x:c r="G32" s="28" t="str">
        <x:v>Revenue growth</x:v>
      </x:c>
      <x:c r="H32" s="31" t="n">
        <x:v>0.155</x:v>
      </x:c>
      <x:c r="I32" s="28" t="str"/>
      <x:c r="J32" s="28" t="str">
        <x:v>decimal ratio</x:v>
      </x:c>
      <x:c r="K32" s="28" t="str">
        <x:v>Finance operating schedule</x:v>
      </x:c>
      <x:c r="L32" s="34" t="str">
        <x:v>2026-06-30</x:v>
      </x:c>
      <x:c r="M32" s="28" t="str"/>
    </x:row>
    <x:row r="33">
      <x:c r="A33" s="37" t="str">
        <x:v>PLN-00059</x:v>
      </x:c>
      <x:c r="B33" s="28" t="str">
        <x:v>Complete the FY27 EBITDA scenario model</x:v>
      </x:c>
      <x:c r="C33" s="28" t="str">
        <x:v>Driver Inputs</x:v>
      </x:c>
      <x:c r="D33" s="28" t="str">
        <x:v>Service</x:v>
      </x:c>
      <x:c r="E33" s="28" t="str">
        <x:v>FY27</x:v>
      </x:c>
      <x:c r="F33" s="28" t="str">
        <x:v>Upside</x:v>
      </x:c>
      <x:c r="G33" s="28" t="str">
        <x:v>Gross margin</x:v>
      </x:c>
      <x:c r="H33" s="31" t="n">
        <x:v>0.43</x:v>
      </x:c>
      <x:c r="I33" s="28" t="str"/>
      <x:c r="J33" s="28" t="str">
        <x:v>decimal ratio</x:v>
      </x:c>
      <x:c r="K33" s="28" t="str">
        <x:v>Finance operating schedule</x:v>
      </x:c>
      <x:c r="L33" s="34" t="str">
        <x:v>2026-06-30</x:v>
      </x:c>
      <x:c r="M33" s="28" t="str"/>
    </x:row>
    <x:row r="34">
      <x:c r="A34" s="37" t="str">
        <x:v>PLN-00060</x:v>
      </x:c>
      <x:c r="B34" s="28" t="str">
        <x:v>Complete the FY27 EBITDA scenario model</x:v>
      </x:c>
      <x:c r="C34" s="28" t="str">
        <x:v>Driver Inputs</x:v>
      </x:c>
      <x:c r="D34" s="28" t="str">
        <x:v>Controls</x:v>
      </x:c>
      <x:c r="E34" s="28" t="str">
        <x:v>FY27</x:v>
      </x:c>
      <x:c r="F34" s="28" t="str">
        <x:v>Upside</x:v>
      </x:c>
      <x:c r="G34" s="28" t="str">
        <x:v>Revenue growth</x:v>
      </x:c>
      <x:c r="H34" s="31" t="n">
        <x:v>0.19</x:v>
      </x:c>
      <x:c r="I34" s="28" t="str"/>
      <x:c r="J34" s="28" t="str">
        <x:v>decimal ratio</x:v>
      </x:c>
      <x:c r="K34" s="28" t="str">
        <x:v>Finance operating schedule</x:v>
      </x:c>
      <x:c r="L34" s="34" t="str">
        <x:v>2026-06-30</x:v>
      </x:c>
      <x:c r="M34" s="28" t="str"/>
    </x:row>
    <x:row r="35">
      <x:c r="A35" s="37" t="str">
        <x:v>PLN-00061</x:v>
      </x:c>
      <x:c r="B35" s="28" t="str">
        <x:v>Complete the FY27 EBITDA scenario model</x:v>
      </x:c>
      <x:c r="C35" s="28" t="str">
        <x:v>Driver Inputs</x:v>
      </x:c>
      <x:c r="D35" s="28" t="str">
        <x:v>Controls</x:v>
      </x:c>
      <x:c r="E35" s="28" t="str">
        <x:v>FY27</x:v>
      </x:c>
      <x:c r="F35" s="28" t="str">
        <x:v>Upside</x:v>
      </x:c>
      <x:c r="G35" s="28" t="str">
        <x:v>Gross margin</x:v>
      </x:c>
      <x:c r="H35" s="31" t="n">
        <x:v>0.385</x:v>
      </x:c>
      <x:c r="I35" s="28" t="str"/>
      <x:c r="J35" s="28" t="str">
        <x:v>decimal ratio</x:v>
      </x:c>
      <x:c r="K35" s="28" t="str">
        <x:v>Finance operating schedule</x:v>
      </x:c>
      <x:c r="L35" s="34" t="str">
        <x:v>2026-06-30</x:v>
      </x:c>
      <x:c r="M35" s="28" t="str"/>
    </x:row>
    <x:row r="36">
      <x:c r="A36" s="37" t="str">
        <x:v>PLN-00062</x:v>
      </x:c>
      <x:c r="B36" s="28" t="str">
        <x:v>Complete the FY27 EBITDA scenario model</x:v>
      </x:c>
      <x:c r="C36" s="28" t="str">
        <x:v>Driver Inputs</x:v>
      </x:c>
      <x:c r="D36" s="28" t="str">
        <x:v>Consolidated</x:v>
      </x:c>
      <x:c r="E36" s="28" t="str">
        <x:v>FY27</x:v>
      </x:c>
      <x:c r="F36" s="28" t="str">
        <x:v>Upside</x:v>
      </x:c>
      <x:c r="G36" s="28" t="str">
        <x:v>Fixed Opex Growth</x:v>
      </x:c>
      <x:c r="H36" s="31" t="n">
        <x:v>0.075</x:v>
      </x:c>
      <x:c r="I36" s="28" t="str"/>
      <x:c r="J36" s="28" t="str">
        <x:v>decimal ratio</x:v>
      </x:c>
      <x:c r="K36" s="28" t="str">
        <x:v>Finance operating schedule</x:v>
      </x:c>
      <x:c r="L36" s="34" t="str">
        <x:v>2026-06-30</x:v>
      </x:c>
      <x:c r="M36" s="28" t="str"/>
    </x:row>
    <x:row r="37">
      <x:c r="A37" s="37" t="str">
        <x:v>PLN-00063</x:v>
      </x:c>
      <x:c r="B37" s="28" t="str">
        <x:v>Complete the FY27 EBITDA scenario model</x:v>
      </x:c>
      <x:c r="C37" s="28" t="str">
        <x:v>Driver Inputs</x:v>
      </x:c>
      <x:c r="D37" s="28" t="str">
        <x:v>Consolidated</x:v>
      </x:c>
      <x:c r="E37" s="28" t="str">
        <x:v>FY27</x:v>
      </x:c>
      <x:c r="F37" s="28" t="str">
        <x:v>Upside</x:v>
      </x:c>
      <x:c r="G37" s="28" t="str">
        <x:v>Variable Opex Rate</x:v>
      </x:c>
      <x:c r="H37" s="31" t="n">
        <x:v>0.03</x:v>
      </x:c>
      <x:c r="I37" s="28" t="str"/>
      <x:c r="J37" s="28" t="str">
        <x:v>decimal ratio</x:v>
      </x:c>
      <x:c r="K37" s="28" t="str">
        <x:v>Finance operating schedule</x:v>
      </x:c>
      <x:c r="L37" s="34" t="str">
        <x:v>2026-06-30</x:v>
      </x:c>
      <x:c r="M37" s="28" t="str"/>
    </x:row>
    <x:row r="38">
      <x:c r="A38" s="37" t="str">
        <x:v>PLN-00064</x:v>
      </x:c>
      <x:c r="B38" s="28" t="str">
        <x:v>Complete the FY27 EBITDA scenario model</x:v>
      </x:c>
      <x:c r="C38" s="28" t="str">
        <x:v>Driver Inputs</x:v>
      </x:c>
      <x:c r="D38" s="28" t="str">
        <x:v>Consolidated</x:v>
      </x:c>
      <x:c r="E38" s="28" t="str">
        <x:v>FY27</x:v>
      </x:c>
      <x:c r="F38" s="28" t="str">
        <x:v>Upside</x:v>
      </x:c>
      <x:c r="G38" s="28" t="str">
        <x:v>Cash Tax Rate</x:v>
      </x:c>
      <x:c r="H38" s="31" t="n">
        <x:v>0.245</x:v>
      </x:c>
      <x:c r="I38" s="28" t="str"/>
      <x:c r="J38" s="28" t="str">
        <x:v>decimal ratio</x:v>
      </x:c>
      <x:c r="K38" s="28" t="str">
        <x:v>Finance operating schedule</x:v>
      </x:c>
      <x:c r="L38" s="34" t="str">
        <x:v>2026-06-30</x:v>
      </x:c>
      <x:c r="M38" s="28" t="str"/>
    </x:row>
    <x:row r="39">
      <x:c r="A39" s="37" t="str">
        <x:v>PLN-00065</x:v>
      </x:c>
      <x:c r="B39" s="28" t="str">
        <x:v>Complete the FY27 EBITDA scenario model</x:v>
      </x:c>
      <x:c r="C39" s="28" t="str">
        <x:v>Driver Inputs</x:v>
      </x:c>
      <x:c r="D39" s="28" t="str">
        <x:v>Consolidated</x:v>
      </x:c>
      <x:c r="E39" s="28" t="str">
        <x:v>FY27</x:v>
      </x:c>
      <x:c r="F39" s="28" t="str">
        <x:v>Upside</x:v>
      </x:c>
      <x:c r="G39" s="28" t="str">
        <x:v>Capex</x:v>
      </x:c>
      <x:c r="H39" s="31" t="n">
        <x:v>4100000</x:v>
      </x:c>
      <x:c r="I39" s="28" t="str"/>
      <x:c r="J39" s="28" t="str">
        <x:v>USD</x:v>
      </x:c>
      <x:c r="K39" s="28" t="str">
        <x:v>Finance operating schedule</x:v>
      </x:c>
      <x:c r="L39" s="34" t="str">
        <x:v>2026-06-30</x:v>
      </x:c>
      <x:c r="M39" s="28" t="str"/>
    </x:row>
    <x:row r="40">
      <x:c r="A40" s="37" t="str">
        <x:v>PLN-00066</x:v>
      </x:c>
      <x:c r="B40" s="28" t="str">
        <x:v>Complete the FY27 EBITDA scenario model</x:v>
      </x:c>
      <x:c r="C40" s="28" t="str">
        <x:v>Driver Inputs</x:v>
      </x:c>
      <x:c r="D40" s="28" t="str">
        <x:v>Consolidated</x:v>
      </x:c>
      <x:c r="E40" s="28" t="str">
        <x:v>FY27</x:v>
      </x:c>
      <x:c r="F40" s="28" t="str">
        <x:v>Upside</x:v>
      </x:c>
      <x:c r="G40" s="28" t="str">
        <x:v>Nwc Rate</x:v>
      </x:c>
      <x:c r="H40" s="31" t="n">
        <x:v>0.023</x:v>
      </x:c>
      <x:c r="I40" s="28" t="str"/>
      <x:c r="J40" s="28" t="str">
        <x:v>decimal ratio</x:v>
      </x:c>
      <x:c r="K40" s="28" t="str">
        <x:v>Finance operating schedule</x:v>
      </x:c>
      <x:c r="L40" s="34" t="str">
        <x:v>2026-06-30</x:v>
      </x:c>
      <x:c r="M40" s="28" t="str"/>
    </x:row>
    <x:row r="41">
      <x:c r="A41" s="37" t="str">
        <x:v>PLN-00067</x:v>
      </x:c>
      <x:c r="B41" s="28" t="str">
        <x:v>Complete the FY27 EBITDA scenario model</x:v>
      </x:c>
      <x:c r="C41" s="28" t="str">
        <x:v>Driver Inputs</x:v>
      </x:c>
      <x:c r="D41" s="28" t="str">
        <x:v>Consolidated</x:v>
      </x:c>
      <x:c r="E41" s="28" t="str">
        <x:v>LTM 2026-06-30</x:v>
      </x:c>
      <x:c r="F41" s="28" t="str">
        <x:v>Approved case</x:v>
      </x:c>
      <x:c r="G41" s="28" t="str">
        <x:v>Fixed opex base</x:v>
      </x:c>
      <x:c r="H41" s="31" t="n">
        <x:v>1</x:v>
      </x:c>
      <x:c r="I41" s="28" t="str"/>
      <x:c r="J41" s="28" t="str">
        <x:v>ledger allocation factor</x:v>
      </x:c>
      <x:c r="K41" s="28" t="str">
        <x:v>Posted operating-expense population</x:v>
      </x:c>
      <x:c r="L41" s="34" t="str">
        <x:v>2026-06-30</x:v>
      </x:c>
      <x:c r="M41" s="28" t="str">
        <x:v>Vista ERP P&amp;L, 2025-07-01 through 2026-06-30; Operating Expense total</x:v>
      </x:c>
    </x:row>
    <x:row r="42">
      <x:c r="A42" s="37" t="str">
        <x:v>PLN-00068</x:v>
      </x:c>
      <x:c r="B42" s="28" t="str">
        <x:v>Complete the FY27 EBITDA scenario model</x:v>
      </x:c>
      <x:c r="C42" s="28" t="str">
        <x:v>Driver Inputs</x:v>
      </x:c>
      <x:c r="D42" s="28" t="str">
        <x:v>Consolidated</x:v>
      </x:c>
      <x:c r="E42" s="28" t="str">
        <x:v>FY27</x:v>
      </x:c>
      <x:c r="F42" s="28" t="str">
        <x:v>Approved case</x:v>
      </x:c>
      <x:c r="G42" s="28" t="str">
        <x:v>Depreciation excluded from EBITDA</x:v>
      </x:c>
      <x:c r="H42" s="31" t="n">
        <x:v>420000</x:v>
      </x:c>
      <x:c r="I42" s="28" t="str"/>
      <x:c r="J42" s="28" t="str">
        <x:v>USD</x:v>
      </x:c>
      <x:c r="K42" s="28" t="str">
        <x:v>Finance operating schedule</x:v>
      </x:c>
      <x:c r="L42" s="34" t="str">
        <x:v>2026-06-30</x:v>
      </x:c>
      <x:c r="M42" s="28" t="str"/>
    </x:row>
    <x:row r="43">
      <x:c r="A43" s="37" t="str">
        <x:v>PLN-00069</x:v>
      </x:c>
      <x:c r="B43" s="28" t="str">
        <x:v>Complete the FY27 EBITDA scenario model</x:v>
      </x:c>
      <x:c r="C43" s="28" t="str">
        <x:v>Liquidity Inputs</x:v>
      </x:c>
      <x:c r="D43" s="28" t="str">
        <x:v>Consolidated</x:v>
      </x:c>
      <x:c r="E43" s="28" t="str">
        <x:v>2026-06-30</x:v>
      </x:c>
      <x:c r="F43" s="28" t="str">
        <x:v>Approved case</x:v>
      </x:c>
      <x:c r="G43" s="28" t="str">
        <x:v>Opening unrestricted cash</x:v>
      </x:c>
      <x:c r="H43" s="31" t="n">
        <x:v>1</x:v>
      </x:c>
      <x:c r="I43" s="28" t="str"/>
      <x:c r="J43" s="28" t="str">
        <x:v>ledger allocation factor</x:v>
      </x:c>
      <x:c r="K43" s="28" t="str">
        <x:v>Posted unrestricted-cash population</x:v>
      </x:c>
      <x:c r="L43" s="34" t="str">
        <x:v>2026-06-30</x:v>
      </x:c>
      <x:c r="M43" s="28" t="str">
        <x:v>Vista ERP cash detail as of 2026-06-30; unrestricted company cash accounts</x:v>
      </x:c>
    </x:row>
    <x:row r="44">
      <x:c r="A44" s="37" t="str">
        <x:v>PLN-00070</x:v>
      </x:c>
      <x:c r="B44" s="28" t="str">
        <x:v>Complete the FY27 EBITDA scenario model</x:v>
      </x:c>
      <x:c r="C44" s="28" t="str">
        <x:v>Liquidity Inputs</x:v>
      </x:c>
      <x:c r="D44" s="28" t="str">
        <x:v>Consolidated</x:v>
      </x:c>
      <x:c r="E44" s="28" t="str">
        <x:v>FY27</x:v>
      </x:c>
      <x:c r="F44" s="28" t="str">
        <x:v>Approved case</x:v>
      </x:c>
      <x:c r="G44" s="28" t="str">
        <x:v>Minimum unrestricted cash</x:v>
      </x:c>
      <x:c r="H44" s="31" t="n">
        <x:v>2250</x:v>
      </x:c>
      <x:c r="I44" s="28" t="str"/>
      <x:c r="J44" s="28" t="str">
        <x:v>USD thousands</x:v>
      </x:c>
      <x:c r="K44" s="28" t="str">
        <x:v>Board-approved liquidity policy</x:v>
      </x:c>
      <x:c r="L44" s="34" t="str">
        <x:v>2026-06-30</x:v>
      </x:c>
      <x:c r="M44" s="28" t="str"/>
    </x:row>
    <x:row r="45">
      <x:c r="A45" s="37" t="str">
        <x:v>PLN-00071</x:v>
      </x:c>
      <x:c r="B45" s="28" t="str">
        <x:v>Complete the FY27 EBITDA scenario model</x:v>
      </x:c>
      <x:c r="C45" s="28" t="str">
        <x:v>Liquidity Inputs</x:v>
      </x:c>
      <x:c r="D45" s="28" t="str">
        <x:v>Consolidated</x:v>
      </x:c>
      <x:c r="E45" s="28" t="str">
        <x:v>FY27</x:v>
      </x:c>
      <x:c r="F45" s="28" t="str">
        <x:v>Approved case</x:v>
      </x:c>
      <x:c r="G45" s="28" t="str">
        <x:v>Revolver commitment</x:v>
      </x:c>
      <x:c r="H45" s="31" t="n">
        <x:v>8000000</x:v>
      </x:c>
      <x:c r="I45" s="28" t="str"/>
      <x:c r="J45" s="28" t="str">
        <x:v>USD</x:v>
      </x:c>
      <x:c r="K45" s="28" t="str">
        <x:v>Executed revolver agreement</x:v>
      </x:c>
      <x:c r="L45" s="34" t="str">
        <x:v>2026-06-30</x:v>
      </x:c>
      <x:c r="M45" s="28" t="str"/>
    </x:row>
    <x:row r="46">
      <x:c r="A46" s="37" t="str">
        <x:v>PLN-00072</x:v>
      </x:c>
      <x:c r="B46" s="28" t="str">
        <x:v>Complete the FY27 EBITDA scenario model</x:v>
      </x:c>
      <x:c r="C46" s="28" t="str">
        <x:v>Covenant Inputs</x:v>
      </x:c>
      <x:c r="D46" s="28" t="str">
        <x:v>Consolidated</x:v>
      </x:c>
      <x:c r="E46" s="28" t="str">
        <x:v>2026-06-30</x:v>
      </x:c>
      <x:c r="F46" s="28" t="str">
        <x:v>Approved case</x:v>
      </x:c>
      <x:c r="G46" s="28" t="str">
        <x:v>Opening funded debt</x:v>
      </x:c>
      <x:c r="H46" s="31" t="n">
        <x:v>1</x:v>
      </x:c>
      <x:c r="I46" s="28" t="str"/>
      <x:c r="J46" s="28" t="str">
        <x:v>ledger allocation factor</x:v>
      </x:c>
      <x:c r="K46" s="28" t="str">
        <x:v>Vista ERP posted funded-debt population</x:v>
      </x:c>
      <x:c r="L46" s="34" t="str">
        <x:v>2026-06-30</x:v>
      </x:c>
      <x:c r="M46" s="28" t="str">
        <x:v>Vista ERP balance sheet as of 2026-06-30; accounts 2200, 2210, and 2300</x:v>
      </x:c>
    </x:row>
    <x:row r="47">
      <x:c r="A47" s="37" t="str">
        <x:v>PLN-00073</x:v>
      </x:c>
      <x:c r="B47" s="28" t="str">
        <x:v>Complete the FY27 EBITDA scenario model</x:v>
      </x:c>
      <x:c r="C47" s="28" t="str">
        <x:v>Covenant Inputs</x:v>
      </x:c>
      <x:c r="D47" s="28" t="str">
        <x:v>Growth program</x:v>
      </x:c>
      <x:c r="E47" s="28" t="str">
        <x:v>FY27 Q1</x:v>
      </x:c>
      <x:c r="F47" s="28" t="str">
        <x:v>Approved case</x:v>
      </x:c>
      <x:c r="G47" s="28" t="str">
        <x:v>Committed term-debt draw</x:v>
      </x:c>
      <x:c r="H47" s="31" t="n">
        <x:v>12000000</x:v>
      </x:c>
      <x:c r="I47" s="28" t="str"/>
      <x:c r="J47" s="28" t="str">
        <x:v>USD</x:v>
      </x:c>
      <x:c r="K47" s="28" t="str">
        <x:v>Executed growth-capital facility</x:v>
      </x:c>
      <x:c r="L47" s="34" t="str">
        <x:v>2026-06-30</x:v>
      </x:c>
      <x:c r="M47" s="28" t="str"/>
    </x:row>
    <x:row r="48">
      <x:c r="A48" s="37" t="str">
        <x:v>PLN-00074</x:v>
      </x:c>
      <x:c r="B48" s="28" t="str">
        <x:v>Complete the FY27 EBITDA scenario model</x:v>
      </x:c>
      <x:c r="C48" s="28" t="str">
        <x:v>Covenant Inputs</x:v>
      </x:c>
      <x:c r="D48" s="28" t="str">
        <x:v>Credit agreement</x:v>
      </x:c>
      <x:c r="E48" s="28" t="str">
        <x:v>FY27</x:v>
      </x:c>
      <x:c r="F48" s="28" t="str">
        <x:v>Approved case</x:v>
      </x:c>
      <x:c r="G48" s="28" t="str">
        <x:v>Maximum gross leverage</x:v>
      </x:c>
      <x:c r="H48" s="31" t="n">
        <x:v>3</x:v>
      </x:c>
      <x:c r="I48" s="28" t="str"/>
      <x:c r="J48" s="28" t="str">
        <x:v>multiple</x:v>
      </x:c>
      <x:c r="K48" s="28" t="str">
        <x:v>Executed lender definition schedule</x:v>
      </x:c>
      <x:c r="L48" s="34" t="str">
        <x:v>2026-06-30</x:v>
      </x:c>
      <x:c r="M48" s="28" t="str"/>
    </x:row>
    <x:row r="49">
      <x:c r="A49" s="37" t="str">
        <x:v>PLN-00075</x:v>
      </x:c>
      <x:c r="B49" s="28" t="str">
        <x:v>Complete the FY27 EBITDA scenario model</x:v>
      </x:c>
      <x:c r="C49" s="28" t="str">
        <x:v>Covenant Inputs</x:v>
      </x:c>
      <x:c r="D49" s="28" t="str">
        <x:v>Credit agreement</x:v>
      </x:c>
      <x:c r="E49" s="28" t="str">
        <x:v>FY27</x:v>
      </x:c>
      <x:c r="F49" s="28" t="str">
        <x:v>Approved case</x:v>
      </x:c>
      <x:c r="G49" s="28" t="str">
        <x:v>Minimum fixed-charge coverage</x:v>
      </x:c>
      <x:c r="H49" s="31" t="n">
        <x:v>1</x:v>
      </x:c>
      <x:c r="I49" s="28" t="str"/>
      <x:c r="J49" s="28" t="str">
        <x:v>multiple</x:v>
      </x:c>
      <x:c r="K49" s="28" t="str">
        <x:v>Executed lender definition schedule</x:v>
      </x:c>
      <x:c r="L49" s="34" t="str">
        <x:v>2026-06-30</x:v>
      </x:c>
      <x:c r="M49" s="28" t="str"/>
    </x:row>
    <x:row r="50">
      <x:c r="A50" s="37" t="str">
        <x:v>PLN-00076</x:v>
      </x:c>
      <x:c r="B50" s="28" t="str">
        <x:v>Complete the FY27 EBITDA scenario model</x:v>
      </x:c>
      <x:c r="C50" s="28" t="str">
        <x:v>Covenant Inputs</x:v>
      </x:c>
      <x:c r="D50" s="28" t="str">
        <x:v>Credit agreement</x:v>
      </x:c>
      <x:c r="E50" s="28" t="str">
        <x:v>FY27</x:v>
      </x:c>
      <x:c r="F50" s="28" t="str">
        <x:v>Approved case</x:v>
      </x:c>
      <x:c r="G50" s="28" t="str">
        <x:v>Term-debt cash interest rate</x:v>
      </x:c>
      <x:c r="H50" s="31" t="n">
        <x:v>0.075</x:v>
      </x:c>
      <x:c r="I50" s="28" t="str"/>
      <x:c r="J50" s="28" t="str">
        <x:v>decimal ratio</x:v>
      </x:c>
      <x:c r="K50" s="28" t="str">
        <x:v>Executed lender definition schedule</x:v>
      </x:c>
      <x:c r="L50" s="34" t="str">
        <x:v>2026-06-30</x:v>
      </x:c>
      <x:c r="M50" s="28" t="str"/>
    </x:row>
    <x:row r="51">
      <x:c r="A51" s="37" t="str">
        <x:v>PLN-00077</x:v>
      </x:c>
      <x:c r="B51" s="28" t="str">
        <x:v>Complete the FY27 EBITDA scenario model</x:v>
      </x:c>
      <x:c r="C51" s="28" t="str">
        <x:v>Covenant Inputs</x:v>
      </x:c>
      <x:c r="D51" s="28" t="str">
        <x:v>Credit agreement</x:v>
      </x:c>
      <x:c r="E51" s="28" t="str">
        <x:v>FY27</x:v>
      </x:c>
      <x:c r="F51" s="28" t="str">
        <x:v>Approved case</x:v>
      </x:c>
      <x:c r="G51" s="28" t="str">
        <x:v>Revolver cash interest rate</x:v>
      </x:c>
      <x:c r="H51" s="31" t="n">
        <x:v>0.09</x:v>
      </x:c>
      <x:c r="I51" s="28" t="str"/>
      <x:c r="J51" s="28" t="str">
        <x:v>decimal ratio</x:v>
      </x:c>
      <x:c r="K51" s="28" t="str">
        <x:v>Executed lender definition schedule</x:v>
      </x:c>
      <x:c r="L51" s="34" t="str">
        <x:v>2026-06-30</x:v>
      </x:c>
      <x:c r="M51" s="28" t="str"/>
    </x:row>
    <x:row r="52">
      <x:c r="A52" s="37" t="str">
        <x:v>PLN-00078</x:v>
      </x:c>
      <x:c r="B52" s="28" t="str">
        <x:v>Complete the FY27 EBITDA scenario model</x:v>
      </x:c>
      <x:c r="C52" s="28" t="str">
        <x:v>Covenant Inputs</x:v>
      </x:c>
      <x:c r="D52" s="28" t="str">
        <x:v>Credit agreement</x:v>
      </x:c>
      <x:c r="E52" s="28" t="str">
        <x:v>FY27</x:v>
      </x:c>
      <x:c r="F52" s="28" t="str">
        <x:v>Approved case</x:v>
      </x:c>
      <x:c r="G52" s="28" t="str">
        <x:v>Maintenance capex share</x:v>
      </x:c>
      <x:c r="H52" s="31" t="n">
        <x:v>0.6</x:v>
      </x:c>
      <x:c r="I52" s="28" t="str"/>
      <x:c r="J52" s="28" t="str">
        <x:v>decimal ratio</x:v>
      </x:c>
      <x:c r="K52" s="28" t="str">
        <x:v>Executed lender definition schedule</x:v>
      </x:c>
      <x:c r="L52" s="34" t="str">
        <x:v>2026-06-30</x:v>
      </x:c>
      <x:c r="M52" s="28" t="str"/>
    </x:row>
    <x:row r="53">
      <x:c r="A53" s="37" t="str">
        <x:v>PLN-00079</x:v>
      </x:c>
      <x:c r="B53" s="28" t="str">
        <x:v>Complete the FY27 EBITDA scenario model</x:v>
      </x:c>
      <x:c r="C53" s="28" t="str">
        <x:v>Liquidity Inputs</x:v>
      </x:c>
      <x:c r="D53" s="28" t="str">
        <x:v>Consolidated</x:v>
      </x:c>
      <x:c r="E53" s="28" t="str">
        <x:v>Q1</x:v>
      </x:c>
      <x:c r="F53" s="28" t="str">
        <x:v>Approved case</x:v>
      </x:c>
      <x:c r="G53" s="28" t="str">
        <x:v>Annual free cash flow share</x:v>
      </x:c>
      <x:c r="H53" s="31" t="n">
        <x:v>0.2</x:v>
      </x:c>
      <x:c r="I53" s="28" t="str"/>
      <x:c r="J53" s="28" t="str">
        <x:v>decimal ratio</x:v>
      </x:c>
      <x:c r="K53" s="28" t="str">
        <x:v>Controller-approved FY27 cash phasing</x:v>
      </x:c>
      <x:c r="L53" s="34" t="str">
        <x:v>2026-06-30</x:v>
      </x:c>
      <x:c r="M53" s="28" t="str"/>
    </x:row>
    <x:row r="54">
      <x:c r="A54" s="37" t="str">
        <x:v>PLN-00080</x:v>
      </x:c>
      <x:c r="B54" s="28" t="str">
        <x:v>Complete the FY27 EBITDA scenario model</x:v>
      </x:c>
      <x:c r="C54" s="28" t="str">
        <x:v>Liquidity Inputs</x:v>
      </x:c>
      <x:c r="D54" s="28" t="str">
        <x:v>Consolidated</x:v>
      </x:c>
      <x:c r="E54" s="28" t="str">
        <x:v>Q1</x:v>
      </x:c>
      <x:c r="F54" s="28" t="str">
        <x:v>Approved case</x:v>
      </x:c>
      <x:c r="G54" s="28" t="str">
        <x:v>Seasonal cash adjustment</x:v>
      </x:c>
      <x:c r="H54" s="31" t="n">
        <x:v>-1100000</x:v>
      </x:c>
      <x:c r="I54" s="28" t="str"/>
      <x:c r="J54" s="28" t="str">
        <x:v>USD</x:v>
      </x:c>
      <x:c r="K54" s="28" t="str">
        <x:v>Controller-approved FY27 cash phasing</x:v>
      </x:c>
      <x:c r="L54" s="34" t="str">
        <x:v>2026-06-30</x:v>
      </x:c>
      <x:c r="M54" s="28" t="str"/>
    </x:row>
    <x:row r="55">
      <x:c r="A55" s="37" t="str">
        <x:v>PLN-00081</x:v>
      </x:c>
      <x:c r="B55" s="28" t="str">
        <x:v>Complete the FY27 EBITDA scenario model</x:v>
      </x:c>
      <x:c r="C55" s="28" t="str">
        <x:v>Liquidity Inputs</x:v>
      </x:c>
      <x:c r="D55" s="28" t="str">
        <x:v>Consolidated</x:v>
      </x:c>
      <x:c r="E55" s="28" t="str">
        <x:v>Q1</x:v>
      </x:c>
      <x:c r="F55" s="28" t="str">
        <x:v>Approved case</x:v>
      </x:c>
      <x:c r="G55" s="28" t="str">
        <x:v>Scheduled principal</x:v>
      </x:c>
      <x:c r="H55" s="31" t="n">
        <x:v>250000</x:v>
      </x:c>
      <x:c r="I55" s="28" t="str"/>
      <x:c r="J55" s="28" t="str">
        <x:v>USD</x:v>
      </x:c>
      <x:c r="K55" s="28" t="str">
        <x:v>Executed debt-service schedule</x:v>
      </x:c>
      <x:c r="L55" s="34" t="str">
        <x:v>2026-06-30</x:v>
      </x:c>
      <x:c r="M55" s="28" t="str"/>
    </x:row>
    <x:row r="56">
      <x:c r="A56" s="37" t="str">
        <x:v>PLN-00082</x:v>
      </x:c>
      <x:c r="B56" s="28" t="str">
        <x:v>Complete the FY27 EBITDA scenario model</x:v>
      </x:c>
      <x:c r="C56" s="28" t="str">
        <x:v>Liquidity Inputs</x:v>
      </x:c>
      <x:c r="D56" s="28" t="str">
        <x:v>Consolidated</x:v>
      </x:c>
      <x:c r="E56" s="28" t="str">
        <x:v>Q2</x:v>
      </x:c>
      <x:c r="F56" s="28" t="str">
        <x:v>Approved case</x:v>
      </x:c>
      <x:c r="G56" s="28" t="str">
        <x:v>Annual free cash flow share</x:v>
      </x:c>
      <x:c r="H56" s="31" t="n">
        <x:v>0.15</x:v>
      </x:c>
      <x:c r="I56" s="28" t="str"/>
      <x:c r="J56" s="28" t="str">
        <x:v>decimal ratio</x:v>
      </x:c>
      <x:c r="K56" s="28" t="str">
        <x:v>Controller-approved FY27 cash phasing</x:v>
      </x:c>
      <x:c r="L56" s="34" t="str">
        <x:v>2026-06-30</x:v>
      </x:c>
      <x:c r="M56" s="28" t="str"/>
    </x:row>
    <x:row r="57">
      <x:c r="A57" s="37" t="str">
        <x:v>PLN-00083</x:v>
      </x:c>
      <x:c r="B57" s="28" t="str">
        <x:v>Complete the FY27 EBITDA scenario model</x:v>
      </x:c>
      <x:c r="C57" s="28" t="str">
        <x:v>Liquidity Inputs</x:v>
      </x:c>
      <x:c r="D57" s="28" t="str">
        <x:v>Consolidated</x:v>
      </x:c>
      <x:c r="E57" s="28" t="str">
        <x:v>Q2</x:v>
      </x:c>
      <x:c r="F57" s="28" t="str">
        <x:v>Approved case</x:v>
      </x:c>
      <x:c r="G57" s="28" t="str">
        <x:v>Seasonal cash adjustment</x:v>
      </x:c>
      <x:c r="H57" s="31" t="n">
        <x:v>-900000</x:v>
      </x:c>
      <x:c r="I57" s="28" t="str"/>
      <x:c r="J57" s="28" t="str">
        <x:v>USD</x:v>
      </x:c>
      <x:c r="K57" s="28" t="str">
        <x:v>Controller-approved FY27 cash phasing</x:v>
      </x:c>
      <x:c r="L57" s="34" t="str">
        <x:v>2026-06-30</x:v>
      </x:c>
      <x:c r="M57" s="28" t="str"/>
    </x:row>
    <x:row r="58">
      <x:c r="A58" s="37" t="str">
        <x:v>PLN-00084</x:v>
      </x:c>
      <x:c r="B58" s="28" t="str">
        <x:v>Complete the FY27 EBITDA scenario model</x:v>
      </x:c>
      <x:c r="C58" s="28" t="str">
        <x:v>Liquidity Inputs</x:v>
      </x:c>
      <x:c r="D58" s="28" t="str">
        <x:v>Consolidated</x:v>
      </x:c>
      <x:c r="E58" s="28" t="str">
        <x:v>Q2</x:v>
      </x:c>
      <x:c r="F58" s="28" t="str">
        <x:v>Approved case</x:v>
      </x:c>
      <x:c r="G58" s="28" t="str">
        <x:v>Scheduled principal</x:v>
      </x:c>
      <x:c r="H58" s="31" t="n">
        <x:v>250000</x:v>
      </x:c>
      <x:c r="I58" s="28" t="str"/>
      <x:c r="J58" s="28" t="str">
        <x:v>USD</x:v>
      </x:c>
      <x:c r="K58" s="28" t="str">
        <x:v>Executed debt-service schedule</x:v>
      </x:c>
      <x:c r="L58" s="34" t="str">
        <x:v>2026-06-30</x:v>
      </x:c>
      <x:c r="M58" s="28" t="str"/>
    </x:row>
    <x:row r="59">
      <x:c r="A59" s="37" t="str">
        <x:v>PLN-00085</x:v>
      </x:c>
      <x:c r="B59" s="28" t="str">
        <x:v>Complete the FY27 EBITDA scenario model</x:v>
      </x:c>
      <x:c r="C59" s="28" t="str">
        <x:v>Liquidity Inputs</x:v>
      </x:c>
      <x:c r="D59" s="28" t="str">
        <x:v>Consolidated</x:v>
      </x:c>
      <x:c r="E59" s="28" t="str">
        <x:v>Q3</x:v>
      </x:c>
      <x:c r="F59" s="28" t="str">
        <x:v>Approved case</x:v>
      </x:c>
      <x:c r="G59" s="28" t="str">
        <x:v>Annual free cash flow share</x:v>
      </x:c>
      <x:c r="H59" s="31" t="n">
        <x:v>0.25</x:v>
      </x:c>
      <x:c r="I59" s="28" t="str"/>
      <x:c r="J59" s="28" t="str">
        <x:v>decimal ratio</x:v>
      </x:c>
      <x:c r="K59" s="28" t="str">
        <x:v>Controller-approved FY27 cash phasing</x:v>
      </x:c>
      <x:c r="L59" s="34" t="str">
        <x:v>2026-06-30</x:v>
      </x:c>
      <x:c r="M59" s="28" t="str"/>
    </x:row>
    <x:row r="60">
      <x:c r="A60" s="37" t="str">
        <x:v>PLN-00086</x:v>
      </x:c>
      <x:c r="B60" s="28" t="str">
        <x:v>Complete the FY27 EBITDA scenario model</x:v>
      </x:c>
      <x:c r="C60" s="28" t="str">
        <x:v>Liquidity Inputs</x:v>
      </x:c>
      <x:c r="D60" s="28" t="str">
        <x:v>Consolidated</x:v>
      </x:c>
      <x:c r="E60" s="28" t="str">
        <x:v>Q3</x:v>
      </x:c>
      <x:c r="F60" s="28" t="str">
        <x:v>Approved case</x:v>
      </x:c>
      <x:c r="G60" s="28" t="str">
        <x:v>Seasonal cash adjustment</x:v>
      </x:c>
      <x:c r="H60" s="31" t="n">
        <x:v>500</x:v>
      </x:c>
      <x:c r="I60" s="28" t="str"/>
      <x:c r="J60" s="28" t="str">
        <x:v>USD thousands</x:v>
      </x:c>
      <x:c r="K60" s="28" t="str">
        <x:v>Controller-approved FY27 cash phasing</x:v>
      </x:c>
      <x:c r="L60" s="34" t="str">
        <x:v>2026-06-30</x:v>
      </x:c>
      <x:c r="M60" s="28" t="str"/>
    </x:row>
    <x:row r="61">
      <x:c r="A61" s="37" t="str">
        <x:v>PLN-00087</x:v>
      </x:c>
      <x:c r="B61" s="28" t="str">
        <x:v>Complete the FY27 EBITDA scenario model</x:v>
      </x:c>
      <x:c r="C61" s="28" t="str">
        <x:v>Liquidity Inputs</x:v>
      </x:c>
      <x:c r="D61" s="28" t="str">
        <x:v>Consolidated</x:v>
      </x:c>
      <x:c r="E61" s="28" t="str">
        <x:v>Q3</x:v>
      </x:c>
      <x:c r="F61" s="28" t="str">
        <x:v>Approved case</x:v>
      </x:c>
      <x:c r="G61" s="28" t="str">
        <x:v>Scheduled principal</x:v>
      </x:c>
      <x:c r="H61" s="31" t="n">
        <x:v>250000</x:v>
      </x:c>
      <x:c r="I61" s="28" t="str"/>
      <x:c r="J61" s="28" t="str">
        <x:v>USD</x:v>
      </x:c>
      <x:c r="K61" s="28" t="str">
        <x:v>Executed debt-service schedule</x:v>
      </x:c>
      <x:c r="L61" s="34" t="str">
        <x:v>2026-06-30</x:v>
      </x:c>
      <x:c r="M61" s="28" t="str"/>
    </x:row>
    <x:row r="62">
      <x:c r="A62" s="37" t="str">
        <x:v>PLN-00088</x:v>
      </x:c>
      <x:c r="B62" s="28" t="str">
        <x:v>Complete the FY27 EBITDA scenario model</x:v>
      </x:c>
      <x:c r="C62" s="28" t="str">
        <x:v>Liquidity Inputs</x:v>
      </x:c>
      <x:c r="D62" s="28" t="str">
        <x:v>Consolidated</x:v>
      </x:c>
      <x:c r="E62" s="28" t="str">
        <x:v>Q4</x:v>
      </x:c>
      <x:c r="F62" s="28" t="str">
        <x:v>Approved case</x:v>
      </x:c>
      <x:c r="G62" s="28" t="str">
        <x:v>Annual free cash flow share</x:v>
      </x:c>
      <x:c r="H62" s="31" t="n">
        <x:v>0.4</x:v>
      </x:c>
      <x:c r="I62" s="28" t="str"/>
      <x:c r="J62" s="28" t="str">
        <x:v>decimal ratio</x:v>
      </x:c>
      <x:c r="K62" s="28" t="str">
        <x:v>Controller-approved FY27 cash phasing</x:v>
      </x:c>
      <x:c r="L62" s="34" t="str">
        <x:v>2026-06-30</x:v>
      </x:c>
      <x:c r="M62" s="28" t="str"/>
    </x:row>
    <x:row r="63">
      <x:c r="A63" s="37" t="str">
        <x:v>PLN-00089</x:v>
      </x:c>
      <x:c r="B63" s="28" t="str">
        <x:v>Complete the FY27 EBITDA scenario model</x:v>
      </x:c>
      <x:c r="C63" s="28" t="str">
        <x:v>Liquidity Inputs</x:v>
      </x:c>
      <x:c r="D63" s="28" t="str">
        <x:v>Consolidated</x:v>
      </x:c>
      <x:c r="E63" s="28" t="str">
        <x:v>Q4</x:v>
      </x:c>
      <x:c r="F63" s="28" t="str">
        <x:v>Approved case</x:v>
      </x:c>
      <x:c r="G63" s="28" t="str">
        <x:v>Seasonal cash adjustment</x:v>
      </x:c>
      <x:c r="H63" s="31" t="n">
        <x:v>1500000</x:v>
      </x:c>
      <x:c r="I63" s="28" t="str"/>
      <x:c r="J63" s="28" t="str">
        <x:v>USD</x:v>
      </x:c>
      <x:c r="K63" s="28" t="str">
        <x:v>Controller-approved FY27 cash phasing</x:v>
      </x:c>
      <x:c r="L63" s="34" t="str">
        <x:v>2026-06-30</x:v>
      </x:c>
      <x:c r="M63" s="28" t="str"/>
    </x:row>
    <x:row r="64">
      <x:c r="A64" s="37" t="str">
        <x:v>PLN-00090</x:v>
      </x:c>
      <x:c r="B64" s="28" t="str">
        <x:v>Complete the FY27 EBITDA scenario model</x:v>
      </x:c>
      <x:c r="C64" s="28" t="str">
        <x:v>Liquidity Inputs</x:v>
      </x:c>
      <x:c r="D64" s="28" t="str">
        <x:v>Consolidated</x:v>
      </x:c>
      <x:c r="E64" s="28" t="str">
        <x:v>Q4</x:v>
      </x:c>
      <x:c r="F64" s="28" t="str">
        <x:v>Approved case</x:v>
      </x:c>
      <x:c r="G64" s="28" t="str">
        <x:v>Scheduled principal</x:v>
      </x:c>
      <x:c r="H64" s="31" t="n">
        <x:v>250</x:v>
      </x:c>
      <x:c r="I64" s="28" t="str"/>
      <x:c r="J64" s="28" t="str">
        <x:v>USD thousands</x:v>
      </x:c>
      <x:c r="K64" s="28" t="str">
        <x:v>Executed debt-service schedule</x:v>
      </x:c>
      <x:c r="L64" s="34" t="str">
        <x:v>2026-06-30</x:v>
      </x:c>
      <x:c r="M64" s="28" t="str"/>
    </x:row>
    <x:row r="65">
      <x:c r="A65" s="37" t="str">
        <x:v>PLN-00091</x:v>
      </x:c>
      <x:c r="B65" s="28" t="str">
        <x:v>Complete the FY27 EBITDA scenario model</x:v>
      </x:c>
      <x:c r="C65" s="28" t="str">
        <x:v>Downside contingency</x:v>
      </x:c>
      <x:c r="D65" s="28" t="str">
        <x:v>Construction pricing</x:v>
      </x:c>
      <x:c r="E65" s="28" t="str">
        <x:v>FY27</x:v>
      </x:c>
      <x:c r="F65" s="28" t="str">
        <x:v>Approved case</x:v>
      </x:c>
      <x:c r="G65" s="28" t="str">
        <x:v>Annual EBITDA benefit</x:v>
      </x:c>
      <x:c r="H65" s="31" t="n">
        <x:v>700000</x:v>
      </x:c>
      <x:c r="I65" s="28" t="str"/>
      <x:c r="J65" s="28" t="str">
        <x:v>USD</x:v>
      </x:c>
      <x:c r="K65" s="28" t="str">
        <x:v>Controller-approved downside action register</x:v>
      </x:c>
      <x:c r="L65" s="34" t="str">
        <x:v>2026-06-30</x:v>
      </x:c>
      <x:c r="M65" s="28" t="str"/>
    </x:row>
    <x:row r="66">
      <x:c r="A66" s="37" t="str">
        <x:v>PLN-00092</x:v>
      </x:c>
      <x:c r="B66" s="28" t="str">
        <x:v>Complete the FY27 EBITDA scenario model</x:v>
      </x:c>
      <x:c r="C66" s="28" t="str">
        <x:v>Downside contingency</x:v>
      </x:c>
      <x:c r="D66" s="28" t="str">
        <x:v>Construction pricing</x:v>
      </x:c>
      <x:c r="E66" s="28" t="str">
        <x:v>FY27</x:v>
      </x:c>
      <x:c r="F66" s="28" t="str">
        <x:v>Approved case</x:v>
      </x:c>
      <x:c r="G66" s="28" t="str">
        <x:v>Annual operating cash benefit</x:v>
      </x:c>
      <x:c r="H66" s="31" t="n">
        <x:v>520000</x:v>
      </x:c>
      <x:c r="I66" s="28" t="str"/>
      <x:c r="J66" s="28" t="str">
        <x:v>USD</x:v>
      </x:c>
      <x:c r="K66" s="28" t="str">
        <x:v>Controller-approved downside action register</x:v>
      </x:c>
      <x:c r="L66" s="34" t="str">
        <x:v>2026-06-30</x:v>
      </x:c>
      <x:c r="M66" s="28" t="str"/>
    </x:row>
    <x:row r="67">
      <x:c r="A67" s="37" t="str">
        <x:v>PLN-00093</x:v>
      </x:c>
      <x:c r="B67" s="28" t="str">
        <x:v>Complete the FY27 EBITDA scenario model</x:v>
      </x:c>
      <x:c r="C67" s="28" t="str">
        <x:v>Downside contingency</x:v>
      </x:c>
      <x:c r="D67" s="28" t="str">
        <x:v>Construction pricing</x:v>
      </x:c>
      <x:c r="E67" s="28" t="str">
        <x:v>FY27</x:v>
      </x:c>
      <x:c r="F67" s="28" t="str">
        <x:v>Approved case</x:v>
      </x:c>
      <x:c r="G67" s="28" t="str">
        <x:v>Implementation cash cost</x:v>
      </x:c>
      <x:c r="H67" s="31" t="n">
        <x:v>50000</x:v>
      </x:c>
      <x:c r="I67" s="28" t="str"/>
      <x:c r="J67" s="28" t="str">
        <x:v>USD</x:v>
      </x:c>
      <x:c r="K67" s="28" t="str">
        <x:v>Controller-approved downside action register</x:v>
      </x:c>
      <x:c r="L67" s="34" t="str">
        <x:v>2026-06-30</x:v>
      </x:c>
      <x:c r="M67" s="28" t="str"/>
    </x:row>
    <x:row r="68">
      <x:c r="A68" s="37" t="str">
        <x:v>PLN-00094</x:v>
      </x:c>
      <x:c r="B68" s="28" t="str">
        <x:v>Complete the FY27 EBITDA scenario model</x:v>
      </x:c>
      <x:c r="C68" s="28" t="str">
        <x:v>Downside contingency</x:v>
      </x:c>
      <x:c r="D68" s="28" t="str">
        <x:v>Construction pricing</x:v>
      </x:c>
      <x:c r="E68" s="28" t="str">
        <x:v>FY27 Q1</x:v>
      </x:c>
      <x:c r="F68" s="28" t="str">
        <x:v>Approved case</x:v>
      </x:c>
      <x:c r="G68" s="28" t="str">
        <x:v>Earliest activation week</x:v>
      </x:c>
      <x:c r="H68" s="31" t="n">
        <x:v>3</x:v>
      </x:c>
      <x:c r="I68" s="28" t="str"/>
      <x:c r="J68" s="28" t="str">
        <x:v>week number</x:v>
      </x:c>
      <x:c r="K68" s="28" t="str">
        <x:v>Controller-approved downside action register</x:v>
      </x:c>
      <x:c r="L68" s="34" t="str">
        <x:v>2026-06-30</x:v>
      </x:c>
      <x:c r="M68" s="28" t="str"/>
    </x:row>
    <x:row r="69">
      <x:c r="A69" s="37" t="str">
        <x:v>PLN-00095</x:v>
      </x:c>
      <x:c r="B69" s="28" t="str">
        <x:v>Complete the FY27 EBITDA scenario model</x:v>
      </x:c>
      <x:c r="C69" s="28" t="str">
        <x:v>Downside contingency</x:v>
      </x:c>
      <x:c r="D69" s="28" t="str">
        <x:v>Service productivity</x:v>
      </x:c>
      <x:c r="E69" s="28" t="str">
        <x:v>FY27</x:v>
      </x:c>
      <x:c r="F69" s="28" t="str">
        <x:v>Approved case</x:v>
      </x:c>
      <x:c r="G69" s="28" t="str">
        <x:v>Annual EBITDA benefit</x:v>
      </x:c>
      <x:c r="H69" s="31" t="n">
        <x:v>500000</x:v>
      </x:c>
      <x:c r="I69" s="28" t="str"/>
      <x:c r="J69" s="28" t="str">
        <x:v>USD</x:v>
      </x:c>
      <x:c r="K69" s="28" t="str">
        <x:v>Controller-approved downside action register</x:v>
      </x:c>
      <x:c r="L69" s="34" t="str">
        <x:v>2026-06-30</x:v>
      </x:c>
      <x:c r="M69" s="28" t="str"/>
    </x:row>
    <x:row r="70">
      <x:c r="A70" s="37" t="str">
        <x:v>PLN-00096</x:v>
      </x:c>
      <x:c r="B70" s="28" t="str">
        <x:v>Complete the FY27 EBITDA scenario model</x:v>
      </x:c>
      <x:c r="C70" s="28" t="str">
        <x:v>Downside contingency</x:v>
      </x:c>
      <x:c r="D70" s="28" t="str">
        <x:v>Service productivity</x:v>
      </x:c>
      <x:c r="E70" s="28" t="str">
        <x:v>FY27</x:v>
      </x:c>
      <x:c r="F70" s="28" t="str">
        <x:v>Approved case</x:v>
      </x:c>
      <x:c r="G70" s="28" t="str">
        <x:v>Annual operating cash benefit</x:v>
      </x:c>
      <x:c r="H70" s="31" t="n">
        <x:v>410000</x:v>
      </x:c>
      <x:c r="I70" s="28" t="str"/>
      <x:c r="J70" s="28" t="str">
        <x:v>USD</x:v>
      </x:c>
      <x:c r="K70" s="28" t="str">
        <x:v>Controller-approved downside action register</x:v>
      </x:c>
      <x:c r="L70" s="34" t="str">
        <x:v>2026-06-30</x:v>
      </x:c>
      <x:c r="M70" s="28" t="str"/>
    </x:row>
    <x:row r="71">
      <x:c r="A71" s="37" t="str">
        <x:v>PLN-00097</x:v>
      </x:c>
      <x:c r="B71" s="28" t="str">
        <x:v>Complete the FY27 EBITDA scenario model</x:v>
      </x:c>
      <x:c r="C71" s="28" t="str">
        <x:v>Downside contingency</x:v>
      </x:c>
      <x:c r="D71" s="28" t="str">
        <x:v>Service productivity</x:v>
      </x:c>
      <x:c r="E71" s="28" t="str">
        <x:v>FY27</x:v>
      </x:c>
      <x:c r="F71" s="28" t="str">
        <x:v>Approved case</x:v>
      </x:c>
      <x:c r="G71" s="28" t="str">
        <x:v>Implementation cash cost</x:v>
      </x:c>
      <x:c r="H71" s="31" t="n">
        <x:v>75000</x:v>
      </x:c>
      <x:c r="I71" s="28" t="str"/>
      <x:c r="J71" s="28" t="str">
        <x:v>USD</x:v>
      </x:c>
      <x:c r="K71" s="28" t="str">
        <x:v>Controller-approved downside action register</x:v>
      </x:c>
      <x:c r="L71" s="34" t="str">
        <x:v>2026-06-30</x:v>
      </x:c>
      <x:c r="M71" s="28" t="str"/>
    </x:row>
    <x:row r="72">
      <x:c r="A72" s="37" t="str">
        <x:v>PLN-00098</x:v>
      </x:c>
      <x:c r="B72" s="28" t="str">
        <x:v>Complete the FY27 EBITDA scenario model</x:v>
      </x:c>
      <x:c r="C72" s="28" t="str">
        <x:v>Downside contingency</x:v>
      </x:c>
      <x:c r="D72" s="28" t="str">
        <x:v>Service productivity</x:v>
      </x:c>
      <x:c r="E72" s="28" t="str">
        <x:v>FY27 Q1</x:v>
      </x:c>
      <x:c r="F72" s="28" t="str">
        <x:v>Approved case</x:v>
      </x:c>
      <x:c r="G72" s="28" t="str">
        <x:v>Earliest activation week</x:v>
      </x:c>
      <x:c r="H72" s="31" t="n">
        <x:v>2</x:v>
      </x:c>
      <x:c r="I72" s="28" t="str"/>
      <x:c r="J72" s="28" t="str">
        <x:v>week number</x:v>
      </x:c>
      <x:c r="K72" s="28" t="str">
        <x:v>Controller-approved downside action register</x:v>
      </x:c>
      <x:c r="L72" s="34" t="str">
        <x:v>2026-06-30</x:v>
      </x:c>
      <x:c r="M72" s="28" t="str"/>
    </x:row>
    <x:row r="73">
      <x:c r="A73" s="37" t="str">
        <x:v>PLN-00099</x:v>
      </x:c>
      <x:c r="B73" s="28" t="str">
        <x:v>Complete the FY27 EBITDA scenario model</x:v>
      </x:c>
      <x:c r="C73" s="28" t="str">
        <x:v>Downside contingency</x:v>
      </x:c>
      <x:c r="D73" s="28" t="str">
        <x:v>Controls mix</x:v>
      </x:c>
      <x:c r="E73" s="28" t="str">
        <x:v>FY27</x:v>
      </x:c>
      <x:c r="F73" s="28" t="str">
        <x:v>Approved case</x:v>
      </x:c>
      <x:c r="G73" s="28" t="str">
        <x:v>Annual EBITDA benefit</x:v>
      </x:c>
      <x:c r="H73" s="31" t="n">
        <x:v>350000</x:v>
      </x:c>
      <x:c r="I73" s="28" t="str"/>
      <x:c r="J73" s="28" t="str">
        <x:v>USD</x:v>
      </x:c>
      <x:c r="K73" s="28" t="str">
        <x:v>Controller-approved downside action register</x:v>
      </x:c>
      <x:c r="L73" s="34" t="str">
        <x:v>2026-06-30</x:v>
      </x:c>
      <x:c r="M73" s="28" t="str"/>
    </x:row>
    <x:row r="74">
      <x:c r="A74" s="37" t="str">
        <x:v>PLN-00100</x:v>
      </x:c>
      <x:c r="B74" s="28" t="str">
        <x:v>Complete the FY27 EBITDA scenario model</x:v>
      </x:c>
      <x:c r="C74" s="28" t="str">
        <x:v>Downside contingency</x:v>
      </x:c>
      <x:c r="D74" s="28" t="str">
        <x:v>Controls mix</x:v>
      </x:c>
      <x:c r="E74" s="28" t="str">
        <x:v>FY27</x:v>
      </x:c>
      <x:c r="F74" s="28" t="str">
        <x:v>Approved case</x:v>
      </x:c>
      <x:c r="G74" s="28" t="str">
        <x:v>Annual operating cash benefit</x:v>
      </x:c>
      <x:c r="H74" s="31" t="n">
        <x:v>280000</x:v>
      </x:c>
      <x:c r="I74" s="28" t="str"/>
      <x:c r="J74" s="28" t="str">
        <x:v>USD</x:v>
      </x:c>
      <x:c r="K74" s="28" t="str">
        <x:v>Controller-approved downside action register</x:v>
      </x:c>
      <x:c r="L74" s="34" t="str">
        <x:v>2026-06-30</x:v>
      </x:c>
      <x:c r="M74" s="28" t="str"/>
    </x:row>
    <x:row r="75">
      <x:c r="A75" s="37" t="str">
        <x:v>PLN-00101</x:v>
      </x:c>
      <x:c r="B75" s="28" t="str">
        <x:v>Complete the FY27 EBITDA scenario model</x:v>
      </x:c>
      <x:c r="C75" s="28" t="str">
        <x:v>Downside contingency</x:v>
      </x:c>
      <x:c r="D75" s="28" t="str">
        <x:v>Controls mix</x:v>
      </x:c>
      <x:c r="E75" s="28" t="str">
        <x:v>FY27</x:v>
      </x:c>
      <x:c r="F75" s="28" t="str">
        <x:v>Approved case</x:v>
      </x:c>
      <x:c r="G75" s="28" t="str">
        <x:v>Implementation cash cost</x:v>
      </x:c>
      <x:c r="H75" s="31" t="n">
        <x:v>25000</x:v>
      </x:c>
      <x:c r="I75" s="28" t="str"/>
      <x:c r="J75" s="28" t="str">
        <x:v>USD</x:v>
      </x:c>
      <x:c r="K75" s="28" t="str">
        <x:v>Controller-approved downside action register</x:v>
      </x:c>
      <x:c r="L75" s="34" t="str">
        <x:v>2026-06-30</x:v>
      </x:c>
      <x:c r="M75" s="28" t="str"/>
    </x:row>
    <x:row r="76">
      <x:c r="A76" s="37" t="str">
        <x:v>PLN-00102</x:v>
      </x:c>
      <x:c r="B76" s="28" t="str">
        <x:v>Complete the FY27 EBITDA scenario model</x:v>
      </x:c>
      <x:c r="C76" s="28" t="str">
        <x:v>Downside contingency</x:v>
      </x:c>
      <x:c r="D76" s="28" t="str">
        <x:v>Controls mix</x:v>
      </x:c>
      <x:c r="E76" s="28" t="str">
        <x:v>FY27 Q1</x:v>
      </x:c>
      <x:c r="F76" s="28" t="str">
        <x:v>Approved case</x:v>
      </x:c>
      <x:c r="G76" s="28" t="str">
        <x:v>Earliest activation week</x:v>
      </x:c>
      <x:c r="H76" s="31" t="n">
        <x:v>4</x:v>
      </x:c>
      <x:c r="I76" s="28" t="str"/>
      <x:c r="J76" s="28" t="str">
        <x:v>week number</x:v>
      </x:c>
      <x:c r="K76" s="28" t="str">
        <x:v>Controller-approved downside action register</x:v>
      </x:c>
      <x:c r="L76" s="34" t="str">
        <x:v>2026-06-30</x:v>
      </x:c>
      <x:c r="M76" s="28" t="str"/>
    </x:row>
    <x:row r="77">
      <x:c r="A77" s="37" t="str">
        <x:v>PLN-00103</x:v>
      </x:c>
      <x:c r="B77" s="28" t="str">
        <x:v>Complete the FY27 EBITDA scenario model</x:v>
      </x:c>
      <x:c r="C77" s="28" t="str">
        <x:v>Downside contingency</x:v>
      </x:c>
      <x:c r="D77" s="28" t="str">
        <x:v>Fixed opex freeze</x:v>
      </x:c>
      <x:c r="E77" s="28" t="str">
        <x:v>FY27</x:v>
      </x:c>
      <x:c r="F77" s="28" t="str">
        <x:v>Approved case</x:v>
      </x:c>
      <x:c r="G77" s="28" t="str">
        <x:v>Annual EBITDA benefit</x:v>
      </x:c>
      <x:c r="H77" s="31" t="n">
        <x:v>600000</x:v>
      </x:c>
      <x:c r="I77" s="28" t="str"/>
      <x:c r="J77" s="28" t="str">
        <x:v>USD</x:v>
      </x:c>
      <x:c r="K77" s="28" t="str">
        <x:v>Controller-approved downside action register</x:v>
      </x:c>
      <x:c r="L77" s="34" t="str">
        <x:v>2026-06-30</x:v>
      </x:c>
      <x:c r="M77" s="28" t="str"/>
    </x:row>
    <x:row r="78">
      <x:c r="A78" s="37" t="str">
        <x:v>PLN-00104</x:v>
      </x:c>
      <x:c r="B78" s="28" t="str">
        <x:v>Complete the FY27 EBITDA scenario model</x:v>
      </x:c>
      <x:c r="C78" s="28" t="str">
        <x:v>Downside contingency</x:v>
      </x:c>
      <x:c r="D78" s="28" t="str">
        <x:v>Fixed opex freeze</x:v>
      </x:c>
      <x:c r="E78" s="28" t="str">
        <x:v>FY27</x:v>
      </x:c>
      <x:c r="F78" s="28" t="str">
        <x:v>Approved case</x:v>
      </x:c>
      <x:c r="G78" s="28" t="str">
        <x:v>Annual operating cash benefit</x:v>
      </x:c>
      <x:c r="H78" s="31" t="n">
        <x:v>520000</x:v>
      </x:c>
      <x:c r="I78" s="28" t="str"/>
      <x:c r="J78" s="28" t="str">
        <x:v>USD</x:v>
      </x:c>
      <x:c r="K78" s="28" t="str">
        <x:v>Controller-approved downside action register</x:v>
      </x:c>
      <x:c r="L78" s="34" t="str">
        <x:v>2026-06-30</x:v>
      </x:c>
      <x:c r="M78" s="28" t="str"/>
    </x:row>
    <x:row r="79">
      <x:c r="A79" s="37" t="str">
        <x:v>PLN-00105</x:v>
      </x:c>
      <x:c r="B79" s="28" t="str">
        <x:v>Complete the FY27 EBITDA scenario model</x:v>
      </x:c>
      <x:c r="C79" s="28" t="str">
        <x:v>Downside contingency</x:v>
      </x:c>
      <x:c r="D79" s="28" t="str">
        <x:v>Fixed opex freeze</x:v>
      </x:c>
      <x:c r="E79" s="28" t="str">
        <x:v>FY27</x:v>
      </x:c>
      <x:c r="F79" s="28" t="str">
        <x:v>Approved case</x:v>
      </x:c>
      <x:c r="G79" s="28" t="str">
        <x:v>Implementation cash cost</x:v>
      </x:c>
      <x:c r="H79" s="31" t="n">
        <x:v>100000</x:v>
      </x:c>
      <x:c r="I79" s="28" t="str"/>
      <x:c r="J79" s="28" t="str">
        <x:v>USD</x:v>
      </x:c>
      <x:c r="K79" s="28" t="str">
        <x:v>Controller-approved downside action register</x:v>
      </x:c>
      <x:c r="L79" s="34" t="str">
        <x:v>2026-06-30</x:v>
      </x:c>
      <x:c r="M79" s="28" t="str"/>
    </x:row>
    <x:row r="80">
      <x:c r="A80" s="37" t="str">
        <x:v>PLN-00106</x:v>
      </x:c>
      <x:c r="B80" s="28" t="str">
        <x:v>Complete the FY27 EBITDA scenario model</x:v>
      </x:c>
      <x:c r="C80" s="28" t="str">
        <x:v>Downside contingency</x:v>
      </x:c>
      <x:c r="D80" s="28" t="str">
        <x:v>Fixed opex freeze</x:v>
      </x:c>
      <x:c r="E80" s="28" t="str">
        <x:v>FY27 Q1</x:v>
      </x:c>
      <x:c r="F80" s="28" t="str">
        <x:v>Approved case</x:v>
      </x:c>
      <x:c r="G80" s="28" t="str">
        <x:v>Earliest activation week</x:v>
      </x:c>
      <x:c r="H80" s="31" t="n">
        <x:v>1</x:v>
      </x:c>
      <x:c r="I80" s="28" t="str"/>
      <x:c r="J80" s="28" t="str">
        <x:v>week number</x:v>
      </x:c>
      <x:c r="K80" s="28" t="str">
        <x:v>Controller-approved downside action register</x:v>
      </x:c>
      <x:c r="L80" s="34" t="str">
        <x:v>2026-06-30</x:v>
      </x:c>
      <x:c r="M80" s="28" t="str"/>
    </x:row>
    <x:row r="81">
      <x:c r="A81" s="37" t="str">
        <x:v>PLN-00107</x:v>
      </x:c>
      <x:c r="B81" s="28" t="str">
        <x:v>Complete the FY27 EBITDA scenario model</x:v>
      </x:c>
      <x:c r="C81" s="28" t="str">
        <x:v>Downside contingency</x:v>
      </x:c>
      <x:c r="D81" s="28" t="str">
        <x:v>Collections acceleration</x:v>
      </x:c>
      <x:c r="E81" s="28" t="str">
        <x:v>FY27</x:v>
      </x:c>
      <x:c r="F81" s="28" t="str">
        <x:v>Approved case</x:v>
      </x:c>
      <x:c r="G81" s="28" t="str">
        <x:v>Annual EBITDA benefit</x:v>
      </x:c>
      <x:c r="H81" s="31" t="n">
        <x:v>0</x:v>
      </x:c>
      <x:c r="I81" s="28" t="str"/>
      <x:c r="J81" s="28" t="str">
        <x:v>USD</x:v>
      </x:c>
      <x:c r="K81" s="28" t="str">
        <x:v>Controller-approved downside action register</x:v>
      </x:c>
      <x:c r="L81" s="34" t="str">
        <x:v>2026-06-30</x:v>
      </x:c>
      <x:c r="M81" s="28" t="str"/>
    </x:row>
    <x:row r="82">
      <x:c r="A82" s="37" t="str">
        <x:v>PLN-00108</x:v>
      </x:c>
      <x:c r="B82" s="28" t="str">
        <x:v>Complete the FY27 EBITDA scenario model</x:v>
      </x:c>
      <x:c r="C82" s="28" t="str">
        <x:v>Downside contingency</x:v>
      </x:c>
      <x:c r="D82" s="28" t="str">
        <x:v>Collections acceleration</x:v>
      </x:c>
      <x:c r="E82" s="28" t="str">
        <x:v>FY27</x:v>
      </x:c>
      <x:c r="F82" s="28" t="str">
        <x:v>Approved case</x:v>
      </x:c>
      <x:c r="G82" s="28" t="str">
        <x:v>Annual operating cash benefit</x:v>
      </x:c>
      <x:c r="H82" s="31" t="n">
        <x:v>650000</x:v>
      </x:c>
      <x:c r="I82" s="28" t="str"/>
      <x:c r="J82" s="28" t="str">
        <x:v>USD</x:v>
      </x:c>
      <x:c r="K82" s="28" t="str">
        <x:v>Controller-approved downside action register</x:v>
      </x:c>
      <x:c r="L82" s="34" t="str">
        <x:v>2026-06-30</x:v>
      </x:c>
      <x:c r="M82" s="28" t="str"/>
    </x:row>
    <x:row r="83">
      <x:c r="A83" s="37" t="str">
        <x:v>PLN-00109</x:v>
      </x:c>
      <x:c r="B83" s="28" t="str">
        <x:v>Complete the FY27 EBITDA scenario model</x:v>
      </x:c>
      <x:c r="C83" s="28" t="str">
        <x:v>Downside contingency</x:v>
      </x:c>
      <x:c r="D83" s="28" t="str">
        <x:v>Collections acceleration</x:v>
      </x:c>
      <x:c r="E83" s="28" t="str">
        <x:v>FY27</x:v>
      </x:c>
      <x:c r="F83" s="28" t="str">
        <x:v>Approved case</x:v>
      </x:c>
      <x:c r="G83" s="28" t="str">
        <x:v>Implementation cash cost</x:v>
      </x:c>
      <x:c r="H83" s="31" t="n">
        <x:v>40000</x:v>
      </x:c>
      <x:c r="I83" s="28" t="str"/>
      <x:c r="J83" s="28" t="str">
        <x:v>USD</x:v>
      </x:c>
      <x:c r="K83" s="28" t="str">
        <x:v>Controller-approved downside action register</x:v>
      </x:c>
      <x:c r="L83" s="34" t="str">
        <x:v>2026-06-30</x:v>
      </x:c>
      <x:c r="M83" s="28" t="str"/>
    </x:row>
    <x:row r="84">
      <x:c r="A84" s="37" t="str">
        <x:v>PLN-00110</x:v>
      </x:c>
      <x:c r="B84" s="28" t="str">
        <x:v>Complete the FY27 EBITDA scenario model</x:v>
      </x:c>
      <x:c r="C84" s="28" t="str">
        <x:v>Downside contingency</x:v>
      </x:c>
      <x:c r="D84" s="28" t="str">
        <x:v>Collections acceleration</x:v>
      </x:c>
      <x:c r="E84" s="28" t="str">
        <x:v>FY27 Q1</x:v>
      </x:c>
      <x:c r="F84" s="28" t="str">
        <x:v>Approved case</x:v>
      </x:c>
      <x:c r="G84" s="28" t="str">
        <x:v>Earliest activation week</x:v>
      </x:c>
      <x:c r="H84" s="31" t="n">
        <x:v>1</x:v>
      </x:c>
      <x:c r="I84" s="28" t="str"/>
      <x:c r="J84" s="28" t="str">
        <x:v>week number</x:v>
      </x:c>
      <x:c r="K84" s="28" t="str">
        <x:v>Controller-approved downside action register</x:v>
      </x:c>
      <x:c r="L84" s="34" t="str">
        <x:v>2026-06-30</x:v>
      </x:c>
      <x:c r="M84" s="28" t="str"/>
    </x:row>
    <x:row r="85">
      <x:c r="A85" s="37" t="str">
        <x:v>PLN-00111</x:v>
      </x:c>
      <x:c r="B85" s="28" t="str">
        <x:v>Complete the FY27 EBITDA scenario model</x:v>
      </x:c>
      <x:c r="C85" s="28" t="str">
        <x:v>Downside contingency</x:v>
      </x:c>
      <x:c r="D85" s="28" t="str">
        <x:v>Capex deferral</x:v>
      </x:c>
      <x:c r="E85" s="28" t="str">
        <x:v>FY27</x:v>
      </x:c>
      <x:c r="F85" s="28" t="str">
        <x:v>Approved case</x:v>
      </x:c>
      <x:c r="G85" s="28" t="str">
        <x:v>Annual EBITDA benefit</x:v>
      </x:c>
      <x:c r="H85" s="31" t="n">
        <x:v>0</x:v>
      </x:c>
      <x:c r="I85" s="28" t="str"/>
      <x:c r="J85" s="28" t="str">
        <x:v>USD</x:v>
      </x:c>
      <x:c r="K85" s="28" t="str">
        <x:v>Controller-approved downside action register</x:v>
      </x:c>
      <x:c r="L85" s="34" t="str">
        <x:v>2026-06-30</x:v>
      </x:c>
      <x:c r="M85" s="28" t="str"/>
    </x:row>
    <x:row r="86">
      <x:c r="A86" s="37" t="str">
        <x:v>PLN-00112</x:v>
      </x:c>
      <x:c r="B86" s="28" t="str">
        <x:v>Complete the FY27 EBITDA scenario model</x:v>
      </x:c>
      <x:c r="C86" s="28" t="str">
        <x:v>Downside contingency</x:v>
      </x:c>
      <x:c r="D86" s="28" t="str">
        <x:v>Capex deferral</x:v>
      </x:c>
      <x:c r="E86" s="28" t="str">
        <x:v>FY27</x:v>
      </x:c>
      <x:c r="F86" s="28" t="str">
        <x:v>Approved case</x:v>
      </x:c>
      <x:c r="G86" s="28" t="str">
        <x:v>Annual operating cash benefit</x:v>
      </x:c>
      <x:c r="H86" s="31" t="n">
        <x:v>850000</x:v>
      </x:c>
      <x:c r="I86" s="28" t="str"/>
      <x:c r="J86" s="28" t="str">
        <x:v>USD</x:v>
      </x:c>
      <x:c r="K86" s="28" t="str">
        <x:v>Controller-approved downside action register</x:v>
      </x:c>
      <x:c r="L86" s="34" t="str">
        <x:v>2026-06-30</x:v>
      </x:c>
      <x:c r="M86" s="28" t="str"/>
    </x:row>
    <x:row r="87">
      <x:c r="A87" s="37" t="str">
        <x:v>PLN-00113</x:v>
      </x:c>
      <x:c r="B87" s="28" t="str">
        <x:v>Complete the FY27 EBITDA scenario model</x:v>
      </x:c>
      <x:c r="C87" s="28" t="str">
        <x:v>Downside contingency</x:v>
      </x:c>
      <x:c r="D87" s="28" t="str">
        <x:v>Capex deferral</x:v>
      </x:c>
      <x:c r="E87" s="28" t="str">
        <x:v>FY27</x:v>
      </x:c>
      <x:c r="F87" s="28" t="str">
        <x:v>Approved case</x:v>
      </x:c>
      <x:c r="G87" s="28" t="str">
        <x:v>Implementation cash cost</x:v>
      </x:c>
      <x:c r="H87" s="31" t="n">
        <x:v>0</x:v>
      </x:c>
      <x:c r="I87" s="28" t="str"/>
      <x:c r="J87" s="28" t="str">
        <x:v>USD</x:v>
      </x:c>
      <x:c r="K87" s="28" t="str">
        <x:v>Controller-approved downside action register</x:v>
      </x:c>
      <x:c r="L87" s="34" t="str">
        <x:v>2026-06-30</x:v>
      </x:c>
      <x:c r="M87" s="28" t="str"/>
    </x:row>
    <x:row r="88">
      <x:c r="A88" s="37" t="str">
        <x:v>PLN-00114</x:v>
      </x:c>
      <x:c r="B88" s="28" t="str">
        <x:v>Complete the FY27 EBITDA scenario model</x:v>
      </x:c>
      <x:c r="C88" s="28" t="str">
        <x:v>Downside contingency</x:v>
      </x:c>
      <x:c r="D88" s="28" t="str">
        <x:v>Capex deferral</x:v>
      </x:c>
      <x:c r="E88" s="28" t="str">
        <x:v>FY27 Q1</x:v>
      </x:c>
      <x:c r="F88" s="28" t="str">
        <x:v>Approved case</x:v>
      </x:c>
      <x:c r="G88" s="28" t="str">
        <x:v>Earliest activation week</x:v>
      </x:c>
      <x:c r="H88" s="31" t="n">
        <x:v>1</x:v>
      </x:c>
      <x:c r="I88" s="28" t="str"/>
      <x:c r="J88" s="28" t="str">
        <x:v>week number</x:v>
      </x:c>
      <x:c r="K88" s="28" t="str">
        <x:v>Controller-approved downside action register</x:v>
      </x:c>
      <x:c r="L88" s="34" t="str">
        <x:v>2026-06-30</x:v>
      </x:c>
      <x:c r="M88" s="28" t="str"/>
    </x:row>
    <x:row r="89">
      <x:c r="A89" s="37" t="str">
        <x:v>PLN-00115</x:v>
      </x:c>
      <x:c r="B89" s="28" t="str">
        <x:v>Complete the FY27 EBITDA scenario model</x:v>
      </x:c>
      <x:c r="C89" s="28" t="str">
        <x:v>Downside contingency</x:v>
      </x:c>
      <x:c r="D89" s="28" t="str">
        <x:v>Procurement savings</x:v>
      </x:c>
      <x:c r="E89" s="28" t="str">
        <x:v>FY27</x:v>
      </x:c>
      <x:c r="F89" s="28" t="str">
        <x:v>Approved case</x:v>
      </x:c>
      <x:c r="G89" s="28" t="str">
        <x:v>Annual EBITDA benefit</x:v>
      </x:c>
      <x:c r="H89" s="31" t="n">
        <x:v>450000</x:v>
      </x:c>
      <x:c r="I89" s="28" t="str"/>
      <x:c r="J89" s="28" t="str">
        <x:v>USD</x:v>
      </x:c>
      <x:c r="K89" s="28" t="str">
        <x:v>Controller-approved downside action register</x:v>
      </x:c>
      <x:c r="L89" s="34" t="str">
        <x:v>2026-06-30</x:v>
      </x:c>
      <x:c r="M89" s="28" t="str"/>
    </x:row>
    <x:row r="90">
      <x:c r="A90" s="37" t="str">
        <x:v>PLN-00116</x:v>
      </x:c>
      <x:c r="B90" s="28" t="str">
        <x:v>Complete the FY27 EBITDA scenario model</x:v>
      </x:c>
      <x:c r="C90" s="28" t="str">
        <x:v>Downside contingency</x:v>
      </x:c>
      <x:c r="D90" s="28" t="str">
        <x:v>Procurement savings</x:v>
      </x:c>
      <x:c r="E90" s="28" t="str">
        <x:v>FY27</x:v>
      </x:c>
      <x:c r="F90" s="28" t="str">
        <x:v>Approved case</x:v>
      </x:c>
      <x:c r="G90" s="28" t="str">
        <x:v>Annual operating cash benefit</x:v>
      </x:c>
      <x:c r="H90" s="31" t="n">
        <x:v>360000</x:v>
      </x:c>
      <x:c r="I90" s="28" t="str"/>
      <x:c r="J90" s="28" t="str">
        <x:v>USD</x:v>
      </x:c>
      <x:c r="K90" s="28" t="str">
        <x:v>Controller-approved downside action register</x:v>
      </x:c>
      <x:c r="L90" s="34" t="str">
        <x:v>2026-06-30</x:v>
      </x:c>
      <x:c r="M90" s="28" t="str"/>
    </x:row>
    <x:row r="91">
      <x:c r="A91" s="37" t="str">
        <x:v>PLN-00117</x:v>
      </x:c>
      <x:c r="B91" s="28" t="str">
        <x:v>Complete the FY27 EBITDA scenario model</x:v>
      </x:c>
      <x:c r="C91" s="28" t="str">
        <x:v>Downside contingency</x:v>
      </x:c>
      <x:c r="D91" s="28" t="str">
        <x:v>Procurement savings</x:v>
      </x:c>
      <x:c r="E91" s="28" t="str">
        <x:v>FY27</x:v>
      </x:c>
      <x:c r="F91" s="28" t="str">
        <x:v>Approved case</x:v>
      </x:c>
      <x:c r="G91" s="28" t="str">
        <x:v>Implementation cash cost</x:v>
      </x:c>
      <x:c r="H91" s="31" t="n">
        <x:v>35000</x:v>
      </x:c>
      <x:c r="I91" s="28" t="str"/>
      <x:c r="J91" s="28" t="str">
        <x:v>USD</x:v>
      </x:c>
      <x:c r="K91" s="28" t="str">
        <x:v>Controller-approved downside action register</x:v>
      </x:c>
      <x:c r="L91" s="34" t="str">
        <x:v>2026-06-30</x:v>
      </x:c>
      <x:c r="M91" s="28" t="str"/>
    </x:row>
    <x:row r="92">
      <x:c r="A92" s="37" t="str">
        <x:v>PLN-00118</x:v>
      </x:c>
      <x:c r="B92" s="28" t="str">
        <x:v>Complete the FY27 EBITDA scenario model</x:v>
      </x:c>
      <x:c r="C92" s="28" t="str">
        <x:v>Downside contingency</x:v>
      </x:c>
      <x:c r="D92" s="28" t="str">
        <x:v>Procurement savings</x:v>
      </x:c>
      <x:c r="E92" s="28" t="str">
        <x:v>FY27 Q1</x:v>
      </x:c>
      <x:c r="F92" s="28" t="str">
        <x:v>Approved case</x:v>
      </x:c>
      <x:c r="G92" s="28" t="str">
        <x:v>Earliest activation week</x:v>
      </x:c>
      <x:c r="H92" s="31" t="n">
        <x:v>5</x:v>
      </x:c>
      <x:c r="I92" s="28" t="str"/>
      <x:c r="J92" s="28" t="str">
        <x:v>week number</x:v>
      </x:c>
      <x:c r="K92" s="28" t="str">
        <x:v>Controller-approved downside action register</x:v>
      </x:c>
      <x:c r="L92" s="34" t="str">
        <x:v>2026-06-30</x:v>
      </x:c>
      <x:c r="M92" s="28" t="str"/>
    </x:row>
    <x:row r="93">
      <x:c r="A93" s="37" t="str">
        <x:v>PLN-00119</x:v>
      </x:c>
      <x:c r="B93" s="28" t="str">
        <x:v>Complete the FY27 EBITDA scenario model</x:v>
      </x:c>
      <x:c r="C93" s="28" t="str">
        <x:v>Downside contingency</x:v>
      </x:c>
      <x:c r="D93" s="28" t="str">
        <x:v>Targeted overhead reduction</x:v>
      </x:c>
      <x:c r="E93" s="28" t="str">
        <x:v>FY27</x:v>
      </x:c>
      <x:c r="F93" s="28" t="str">
        <x:v>Approved case</x:v>
      </x:c>
      <x:c r="G93" s="28" t="str">
        <x:v>Annual EBITDA benefit</x:v>
      </x:c>
      <x:c r="H93" s="31" t="n">
        <x:v>800000</x:v>
      </x:c>
      <x:c r="I93" s="28" t="str"/>
      <x:c r="J93" s="28" t="str">
        <x:v>USD</x:v>
      </x:c>
      <x:c r="K93" s="28" t="str">
        <x:v>Controller-approved downside action register</x:v>
      </x:c>
      <x:c r="L93" s="34" t="str">
        <x:v>2026-06-30</x:v>
      </x:c>
      <x:c r="M93" s="28" t="str"/>
    </x:row>
    <x:row r="94">
      <x:c r="A94" s="37" t="str">
        <x:v>PLN-00120</x:v>
      </x:c>
      <x:c r="B94" s="28" t="str">
        <x:v>Complete the FY27 EBITDA scenario model</x:v>
      </x:c>
      <x:c r="C94" s="28" t="str">
        <x:v>Downside contingency</x:v>
      </x:c>
      <x:c r="D94" s="28" t="str">
        <x:v>Targeted overhead reduction</x:v>
      </x:c>
      <x:c r="E94" s="28" t="str">
        <x:v>FY27</x:v>
      </x:c>
      <x:c r="F94" s="28" t="str">
        <x:v>Approved case</x:v>
      </x:c>
      <x:c r="G94" s="28" t="str">
        <x:v>Annual operating cash benefit</x:v>
      </x:c>
      <x:c r="H94" s="31" t="n">
        <x:v>590000</x:v>
      </x:c>
      <x:c r="I94" s="28" t="str"/>
      <x:c r="J94" s="28" t="str">
        <x:v>USD</x:v>
      </x:c>
      <x:c r="K94" s="28" t="str">
        <x:v>Controller-approved downside action register</x:v>
      </x:c>
      <x:c r="L94" s="34" t="str">
        <x:v>2026-06-30</x:v>
      </x:c>
      <x:c r="M94" s="28" t="str"/>
    </x:row>
    <x:row r="95">
      <x:c r="A95" s="37" t="str">
        <x:v>PLN-00121</x:v>
      </x:c>
      <x:c r="B95" s="28" t="str">
        <x:v>Complete the FY27 EBITDA scenario model</x:v>
      </x:c>
      <x:c r="C95" s="28" t="str">
        <x:v>Downside contingency</x:v>
      </x:c>
      <x:c r="D95" s="28" t="str">
        <x:v>Targeted overhead reduction</x:v>
      </x:c>
      <x:c r="E95" s="28" t="str">
        <x:v>FY27</x:v>
      </x:c>
      <x:c r="F95" s="28" t="str">
        <x:v>Approved case</x:v>
      </x:c>
      <x:c r="G95" s="28" t="str">
        <x:v>Implementation cash cost</x:v>
      </x:c>
      <x:c r="H95" s="31" t="n">
        <x:v>180000</x:v>
      </x:c>
      <x:c r="I95" s="28" t="str"/>
      <x:c r="J95" s="28" t="str">
        <x:v>USD</x:v>
      </x:c>
      <x:c r="K95" s="28" t="str">
        <x:v>Controller-approved downside action register</x:v>
      </x:c>
      <x:c r="L95" s="34" t="str">
        <x:v>2026-06-30</x:v>
      </x:c>
      <x:c r="M95" s="28" t="str"/>
    </x:row>
    <x:row r="96">
      <x:c r="A96" s="37" t="str">
        <x:v>PLN-00122</x:v>
      </x:c>
      <x:c r="B96" s="28" t="str">
        <x:v>Complete the FY27 EBITDA scenario model</x:v>
      </x:c>
      <x:c r="C96" s="28" t="str">
        <x:v>Downside contingency</x:v>
      </x:c>
      <x:c r="D96" s="28" t="str">
        <x:v>Targeted overhead reduction</x:v>
      </x:c>
      <x:c r="E96" s="28" t="str">
        <x:v>FY27 Q1</x:v>
      </x:c>
      <x:c r="F96" s="28" t="str">
        <x:v>Approved case</x:v>
      </x:c>
      <x:c r="G96" s="28" t="str">
        <x:v>Earliest activation week</x:v>
      </x:c>
      <x:c r="H96" s="31" t="n">
        <x:v>2</x:v>
      </x:c>
      <x:c r="I96" s="28" t="str"/>
      <x:c r="J96" s="28" t="str">
        <x:v>week number</x:v>
      </x:c>
      <x:c r="K96" s="28" t="str">
        <x:v>Controller-approved downside action register</x:v>
      </x:c>
      <x:c r="L96" s="34" t="str">
        <x:v>2026-06-30</x:v>
      </x:c>
      <x:c r="M96" s="28" t="str"/>
    </x:row>
    <x:row r="97">
      <x:c r="A97" s="37" t="str">
        <x:v>PLN-00123</x:v>
      </x:c>
      <x:c r="B97" s="28" t="str">
        <x:v>Complete the FY27 EBITDA scenario model</x:v>
      </x:c>
      <x:c r="C97" s="28" t="str">
        <x:v>Downside contingency</x:v>
      </x:c>
      <x:c r="D97" s="28" t="str">
        <x:v>Governance</x:v>
      </x:c>
      <x:c r="E97" s="28" t="str">
        <x:v>FY27</x:v>
      </x:c>
      <x:c r="F97" s="28" t="str">
        <x:v>Approved case</x:v>
      </x:c>
      <x:c r="G97" s="28" t="str">
        <x:v>Minimum EBITDA margin</x:v>
      </x:c>
      <x:c r="H97" s="31" t="n">
        <x:v>0.09</x:v>
      </x:c>
      <x:c r="I97" s="28" t="str"/>
      <x:c r="J97" s="28" t="str">
        <x:v>decimal ratio</x:v>
      </x:c>
      <x:c r="K97" s="28" t="str">
        <x:v>Board-approved planning guardrails</x:v>
      </x:c>
      <x:c r="L97" s="34" t="str">
        <x:v>2026-06-30</x:v>
      </x:c>
      <x:c r="M97" s="28" t="str"/>
    </x:row>
    <x:row r="98">
      <x:c r="A98" s="37" t="str">
        <x:v>PLN-00124</x:v>
      </x:c>
      <x:c r="B98" s="28" t="str">
        <x:v>Complete the FY27 EBITDA scenario model</x:v>
      </x:c>
      <x:c r="C98" s="28" t="str">
        <x:v>Downside contingency</x:v>
      </x:c>
      <x:c r="D98" s="28" t="str">
        <x:v>Governance</x:v>
      </x:c>
      <x:c r="E98" s="28" t="str">
        <x:v>FY27</x:v>
      </x:c>
      <x:c r="F98" s="28" t="str">
        <x:v>Approved case</x:v>
      </x:c>
      <x:c r="G98" s="28" t="str">
        <x:v>Minimum free cash flow</x:v>
      </x:c>
      <x:c r="H98" s="31" t="n">
        <x:v>0</x:v>
      </x:c>
      <x:c r="I98" s="28" t="str"/>
      <x:c r="J98" s="28" t="str">
        <x:v>USD</x:v>
      </x:c>
      <x:c r="K98" s="28" t="str">
        <x:v>Board-approved planning guardrails</x:v>
      </x:c>
      <x:c r="L98" s="34" t="str">
        <x:v>2026-06-30</x:v>
      </x:c>
      <x:c r="M98" s="28" t="str"/>
    </x:row>
    <x:row r="99">
      <x:c r="A99" s="37" t="str">
        <x:v>PLN-00125</x:v>
      </x:c>
      <x:c r="B99" s="28" t="str">
        <x:v>Complete the FY27 EBITDA scenario model</x:v>
      </x:c>
      <x:c r="C99" s="28" t="str">
        <x:v>Downside contingency</x:v>
      </x:c>
      <x:c r="D99" s="28" t="str">
        <x:v>Governance</x:v>
      </x:c>
      <x:c r="E99" s="28" t="str">
        <x:v>FY27</x:v>
      </x:c>
      <x:c r="F99" s="28" t="str">
        <x:v>Approved case</x:v>
      </x:c>
      <x:c r="G99" s="28" t="str">
        <x:v>Maximum selected actions</x:v>
      </x:c>
      <x:c r="H99" s="31" t="n">
        <x:v>3</x:v>
      </x:c>
      <x:c r="I99" s="28" t="str"/>
      <x:c r="J99" s="28" t="str">
        <x:v>count</x:v>
      </x:c>
      <x:c r="K99" s="28" t="str">
        <x:v>Board-approved planning guardrails</x:v>
      </x:c>
      <x:c r="L99" s="34" t="str">
        <x:v>2026-06-30</x:v>
      </x:c>
      <x:c r="M99" s="28" t="str"/>
    </x:row>
    <x:row r="100">
      <x:c r="A100" s="37" t="str">
        <x:v>PLN-00138</x:v>
      </x:c>
      <x:c r="B100" s="28" t="str">
        <x:v>Twelve-month operating-expense reforecast</x:v>
      </x:c>
      <x:c r="C100" s="28" t="str">
        <x:v>Approved monthly plan</x:v>
      </x:c>
      <x:c r="D100" s="28" t="str">
        <x:v>Operations</x:v>
      </x:c>
      <x:c r="E100" s="28" t="str">
        <x:v>2026-07</x:v>
      </x:c>
      <x:c r="F100" s="28" t="str">
        <x:v>Approved case</x:v>
      </x:c>
      <x:c r="G100" s="28" t="str">
        <x:v>Controllable operating expense</x:v>
      </x:c>
      <x:c r="H100" s="31" t="n">
        <x:v>0.028050000000000002</x:v>
      </x:c>
      <x:c r="I100" s="28" t="str"/>
      <x:c r="J100" s="28" t="str">
        <x:v>ledger allocation factor</x:v>
      </x:c>
      <x:c r="K100" s="28" t="str">
        <x:v>Board-approved FY27 operating plan</x:v>
      </x:c>
      <x:c r="L100" s="34" t="str">
        <x:v>2026-06-30</x:v>
      </x:c>
      <x:c r="M100" s="28" t="str">
        <x:v>Vista ERP P&amp;L, 2025-07-01 through 2026-06-30; Operating Expense total</x:v>
      </x:c>
    </x:row>
    <x:row r="101">
      <x:c r="A101" s="37" t="str">
        <x:v>PLN-00139</x:v>
      </x:c>
      <x:c r="B101" s="28" t="str">
        <x:v>Twelve-month operating-expense reforecast</x:v>
      </x:c>
      <x:c r="C101" s="28" t="str">
        <x:v>Approved reforecast events</x:v>
      </x:c>
      <x:c r="D101" s="28" t="str">
        <x:v>Operations</x:v>
      </x:c>
      <x:c r="E101" s="28" t="str">
        <x:v>2026-07</x:v>
      </x:c>
      <x:c r="F101" s="28" t="str">
        <x:v>Approved case</x:v>
      </x:c>
      <x:c r="G101" s="28" t="str">
        <x:v>Net approved run-rate and timing adjustment</x:v>
      </x:c>
      <x:c r="H101" s="31" t="n">
        <x:v>6666.666666666666</x:v>
      </x:c>
      <x:c r="I101" s="28" t="str"/>
      <x:c r="J101" s="28" t="str">
        <x:v>USD</x:v>
      </x:c>
      <x:c r="K101" s="28" t="str">
        <x:v>Approved hire, contract, savings, and one-time event register</x:v>
      </x:c>
      <x:c r="L101" s="34" t="str">
        <x:v>2026-06-30</x:v>
      </x:c>
      <x:c r="M101" s="28" t="str"/>
    </x:row>
    <x:row r="102">
      <x:c r="A102" s="37" t="str">
        <x:v>PLN-00140</x:v>
      </x:c>
      <x:c r="B102" s="28" t="str">
        <x:v>Twelve-month operating-expense reforecast</x:v>
      </x:c>
      <x:c r="C102" s="28" t="str">
        <x:v>Approved monthly plan</x:v>
      </x:c>
      <x:c r="D102" s="28" t="str">
        <x:v>Operations</x:v>
      </x:c>
      <x:c r="E102" s="28" t="str">
        <x:v>2026-08</x:v>
      </x:c>
      <x:c r="F102" s="28" t="str">
        <x:v>Approved case</x:v>
      </x:c>
      <x:c r="G102" s="28" t="str">
        <x:v>Controllable operating expense</x:v>
      </x:c>
      <x:c r="H102" s="31" t="n">
        <x:v>0.028050000000000002</x:v>
      </x:c>
      <x:c r="I102" s="28" t="str"/>
      <x:c r="J102" s="28" t="str">
        <x:v>ledger allocation factor</x:v>
      </x:c>
      <x:c r="K102" s="28" t="str">
        <x:v>Board-approved FY27 operating plan</x:v>
      </x:c>
      <x:c r="L102" s="34" t="str">
        <x:v>2026-06-30</x:v>
      </x:c>
      <x:c r="M102" s="28" t="str">
        <x:v>Vista ERP P&amp;L, 2025-07-01 through 2026-06-30; Operating Expense total</x:v>
      </x:c>
    </x:row>
    <x:row r="103">
      <x:c r="A103" s="37" t="str">
        <x:v>PLN-00141</x:v>
      </x:c>
      <x:c r="B103" s="28" t="str">
        <x:v>Twelve-month operating-expense reforecast</x:v>
      </x:c>
      <x:c r="C103" s="28" t="str">
        <x:v>Approved reforecast events</x:v>
      </x:c>
      <x:c r="D103" s="28" t="str">
        <x:v>Operations</x:v>
      </x:c>
      <x:c r="E103" s="28" t="str">
        <x:v>2026-08</x:v>
      </x:c>
      <x:c r="F103" s="28" t="str">
        <x:v>Approved case</x:v>
      </x:c>
      <x:c r="G103" s="28" t="str">
        <x:v>Net approved run-rate and timing adjustment</x:v>
      </x:c>
      <x:c r="H103" s="31" t="n">
        <x:v>13.333333333333332</x:v>
      </x:c>
      <x:c r="I103" s="28" t="str"/>
      <x:c r="J103" s="28" t="str">
        <x:v>USD thousands</x:v>
      </x:c>
      <x:c r="K103" s="28" t="str">
        <x:v>Approved hire, contract, savings, and one-time event register</x:v>
      </x:c>
      <x:c r="L103" s="34" t="str">
        <x:v>2026-06-30</x:v>
      </x:c>
      <x:c r="M103" s="28" t="str"/>
    </x:row>
    <x:row r="104">
      <x:c r="A104" s="37" t="str">
        <x:v>PLN-00142</x:v>
      </x:c>
      <x:c r="B104" s="28" t="str">
        <x:v>Twelve-month operating-expense reforecast</x:v>
      </x:c>
      <x:c r="C104" s="28" t="str">
        <x:v>Approved monthly plan</x:v>
      </x:c>
      <x:c r="D104" s="28" t="str">
        <x:v>Operations</x:v>
      </x:c>
      <x:c r="E104" s="28" t="str">
        <x:v>2026-09</x:v>
      </x:c>
      <x:c r="F104" s="28" t="str">
        <x:v>Approved case</x:v>
      </x:c>
      <x:c r="G104" s="28" t="str">
        <x:v>Controllable operating expense</x:v>
      </x:c>
      <x:c r="H104" s="31" t="n">
        <x:v>0.028333333333333335</x:v>
      </x:c>
      <x:c r="I104" s="28" t="str"/>
      <x:c r="J104" s="28" t="str">
        <x:v>ledger allocation factor</x:v>
      </x:c>
      <x:c r="K104" s="28" t="str">
        <x:v>Board-approved FY27 operating plan</x:v>
      </x:c>
      <x:c r="L104" s="34" t="str">
        <x:v>2026-06-30</x:v>
      </x:c>
      <x:c r="M104" s="28" t="str">
        <x:v>Vista ERP P&amp;L, 2025-07-01 through 2026-06-30; Operating Expense total</x:v>
      </x:c>
    </x:row>
    <x:row r="105">
      <x:c r="A105" s="37" t="str">
        <x:v>PLN-00143</x:v>
      </x:c>
      <x:c r="B105" s="28" t="str">
        <x:v>Twelve-month operating-expense reforecast</x:v>
      </x:c>
      <x:c r="C105" s="28" t="str">
        <x:v>Approved reforecast events</x:v>
      </x:c>
      <x:c r="D105" s="28" t="str">
        <x:v>Operations</x:v>
      </x:c>
      <x:c r="E105" s="28" t="str">
        <x:v>2026-09</x:v>
      </x:c>
      <x:c r="F105" s="28" t="str">
        <x:v>Approved case</x:v>
      </x:c>
      <x:c r="G105" s="28" t="str">
        <x:v>Net approved run-rate and timing adjustment</x:v>
      </x:c>
      <x:c r="H105" s="31" t="n">
        <x:v>20000</x:v>
      </x:c>
      <x:c r="I105" s="28" t="str"/>
      <x:c r="J105" s="28" t="str">
        <x:v>USD</x:v>
      </x:c>
      <x:c r="K105" s="28" t="str">
        <x:v>Approved hire, contract, savings, and one-time event register</x:v>
      </x:c>
      <x:c r="L105" s="34" t="str">
        <x:v>2026-06-30</x:v>
      </x:c>
      <x:c r="M105" s="28" t="str"/>
    </x:row>
    <x:row r="106">
      <x:c r="A106" s="37" t="str">
        <x:v>PLN-00144</x:v>
      </x:c>
      <x:c r="B106" s="28" t="str">
        <x:v>Twelve-month operating-expense reforecast</x:v>
      </x:c>
      <x:c r="C106" s="28" t="str">
        <x:v>Approved monthly plan</x:v>
      </x:c>
      <x:c r="D106" s="28" t="str">
        <x:v>Operations</x:v>
      </x:c>
      <x:c r="E106" s="28" t="str">
        <x:v>2026-10</x:v>
      </x:c>
      <x:c r="F106" s="28" t="str">
        <x:v>Approved case</x:v>
      </x:c>
      <x:c r="G106" s="28" t="str">
        <x:v>Controllable operating expense</x:v>
      </x:c>
      <x:c r="H106" s="31" t="n">
        <x:v>0.028333333333333335</x:v>
      </x:c>
      <x:c r="I106" s="28" t="str"/>
      <x:c r="J106" s="28" t="str">
        <x:v>ledger allocation factor</x:v>
      </x:c>
      <x:c r="K106" s="28" t="str">
        <x:v>Board-approved FY27 operating plan</x:v>
      </x:c>
      <x:c r="L106" s="34" t="str">
        <x:v>2026-06-30</x:v>
      </x:c>
      <x:c r="M106" s="28" t="str">
        <x:v>Vista ERP P&amp;L, 2025-07-01 through 2026-06-30; Operating Expense total</x:v>
      </x:c>
    </x:row>
    <x:row r="107">
      <x:c r="A107" s="37" t="str">
        <x:v>PLN-00145</x:v>
      </x:c>
      <x:c r="B107" s="28" t="str">
        <x:v>Twelve-month operating-expense reforecast</x:v>
      </x:c>
      <x:c r="C107" s="28" t="str">
        <x:v>Approved reforecast events</x:v>
      </x:c>
      <x:c r="D107" s="28" t="str">
        <x:v>Operations</x:v>
      </x:c>
      <x:c r="E107" s="28" t="str">
        <x:v>2026-10</x:v>
      </x:c>
      <x:c r="F107" s="28" t="str">
        <x:v>Approved case</x:v>
      </x:c>
      <x:c r="G107" s="28" t="str">
        <x:v>Net approved run-rate and timing adjustment</x:v>
      </x:c>
      <x:c r="H107" s="31" t="n">
        <x:v>26.666666666666664</x:v>
      </x:c>
      <x:c r="I107" s="28" t="str"/>
      <x:c r="J107" s="28" t="str">
        <x:v>USD thousands</x:v>
      </x:c>
      <x:c r="K107" s="28" t="str">
        <x:v>Approved hire, contract, savings, and one-time event register</x:v>
      </x:c>
      <x:c r="L107" s="34" t="str">
        <x:v>2026-06-30</x:v>
      </x:c>
      <x:c r="M107" s="28" t="str"/>
    </x:row>
    <x:row r="108">
      <x:c r="A108" s="37" t="str">
        <x:v>PLN-00146</x:v>
      </x:c>
      <x:c r="B108" s="28" t="str">
        <x:v>Twelve-month operating-expense reforecast</x:v>
      </x:c>
      <x:c r="C108" s="28" t="str">
        <x:v>Approved monthly plan</x:v>
      </x:c>
      <x:c r="D108" s="28" t="str">
        <x:v>Operations</x:v>
      </x:c>
      <x:c r="E108" s="28" t="str">
        <x:v>2026-11</x:v>
      </x:c>
      <x:c r="F108" s="28" t="str">
        <x:v>Approved case</x:v>
      </x:c>
      <x:c r="G108" s="28" t="str">
        <x:v>Controllable operating expense</x:v>
      </x:c>
      <x:c r="H108" s="31" t="n">
        <x:v>0.028333333333333335</x:v>
      </x:c>
      <x:c r="I108" s="28" t="str"/>
      <x:c r="J108" s="28" t="str">
        <x:v>ledger allocation factor</x:v>
      </x:c>
      <x:c r="K108" s="28" t="str">
        <x:v>Board-approved FY27 operating plan</x:v>
      </x:c>
      <x:c r="L108" s="34" t="str">
        <x:v>2026-06-30</x:v>
      </x:c>
      <x:c r="M108" s="28" t="str">
        <x:v>Vista ERP P&amp;L, 2025-07-01 through 2026-06-30; Operating Expense total</x:v>
      </x:c>
    </x:row>
    <x:row r="109">
      <x:c r="A109" s="37" t="str">
        <x:v>PLN-00147</x:v>
      </x:c>
      <x:c r="B109" s="28" t="str">
        <x:v>Twelve-month operating-expense reforecast</x:v>
      </x:c>
      <x:c r="C109" s="28" t="str">
        <x:v>Approved reforecast events</x:v>
      </x:c>
      <x:c r="D109" s="28" t="str">
        <x:v>Operations</x:v>
      </x:c>
      <x:c r="E109" s="28" t="str">
        <x:v>2026-11</x:v>
      </x:c>
      <x:c r="F109" s="28" t="str">
        <x:v>Approved case</x:v>
      </x:c>
      <x:c r="G109" s="28" t="str">
        <x:v>Net approved run-rate and timing adjustment</x:v>
      </x:c>
      <x:c r="H109" s="31" t="n">
        <x:v>33333.33333333333</x:v>
      </x:c>
      <x:c r="I109" s="28" t="str"/>
      <x:c r="J109" s="28" t="str">
        <x:v>USD</x:v>
      </x:c>
      <x:c r="K109" s="28" t="str">
        <x:v>Approved hire, contract, savings, and one-time event register</x:v>
      </x:c>
      <x:c r="L109" s="34" t="str">
        <x:v>2026-06-30</x:v>
      </x:c>
      <x:c r="M109" s="28" t="str"/>
    </x:row>
    <x:row r="110">
      <x:c r="A110" s="37" t="str">
        <x:v>PLN-00148</x:v>
      </x:c>
      <x:c r="B110" s="28" t="str">
        <x:v>Twelve-month operating-expense reforecast</x:v>
      </x:c>
      <x:c r="C110" s="28" t="str">
        <x:v>Approved monthly plan</x:v>
      </x:c>
      <x:c r="D110" s="28" t="str">
        <x:v>Operations</x:v>
      </x:c>
      <x:c r="E110" s="28" t="str">
        <x:v>2026-12</x:v>
      </x:c>
      <x:c r="F110" s="28" t="str">
        <x:v>Approved case</x:v>
      </x:c>
      <x:c r="G110" s="28" t="str">
        <x:v>Controllable operating expense</x:v>
      </x:c>
      <x:c r="H110" s="31" t="n">
        <x:v>0.029041666666666667</x:v>
      </x:c>
      <x:c r="I110" s="28" t="str"/>
      <x:c r="J110" s="28" t="str">
        <x:v>ledger allocation factor</x:v>
      </x:c>
      <x:c r="K110" s="28" t="str">
        <x:v>Board-approved FY27 operating plan</x:v>
      </x:c>
      <x:c r="L110" s="34" t="str">
        <x:v>2026-06-30</x:v>
      </x:c>
      <x:c r="M110" s="28" t="str">
        <x:v>Vista ERP P&amp;L, 2025-07-01 through 2026-06-30; Operating Expense total</x:v>
      </x:c>
    </x:row>
    <x:row r="111">
      <x:c r="A111" s="37" t="str">
        <x:v>PLN-00149</x:v>
      </x:c>
      <x:c r="B111" s="28" t="str">
        <x:v>Twelve-month operating-expense reforecast</x:v>
      </x:c>
      <x:c r="C111" s="28" t="str">
        <x:v>Approved reforecast events</x:v>
      </x:c>
      <x:c r="D111" s="28" t="str">
        <x:v>Operations</x:v>
      </x:c>
      <x:c r="E111" s="28" t="str">
        <x:v>2026-12</x:v>
      </x:c>
      <x:c r="F111" s="28" t="str">
        <x:v>Approved case</x:v>
      </x:c>
      <x:c r="G111" s="28" t="str">
        <x:v>Net approved run-rate and timing adjustment</x:v>
      </x:c>
      <x:c r="H111" s="31" t="n">
        <x:v>40</x:v>
      </x:c>
      <x:c r="I111" s="28" t="str"/>
      <x:c r="J111" s="28" t="str">
        <x:v>USD thousands</x:v>
      </x:c>
      <x:c r="K111" s="28" t="str">
        <x:v>Approved hire, contract, savings, and one-time event register</x:v>
      </x:c>
      <x:c r="L111" s="34" t="str">
        <x:v>2026-06-30</x:v>
      </x:c>
      <x:c r="M111" s="28" t="str"/>
    </x:row>
    <x:row r="112">
      <x:c r="A112" s="37" t="str">
        <x:v>PLN-00150</x:v>
      </x:c>
      <x:c r="B112" s="28" t="str">
        <x:v>Twelve-month operating-expense reforecast</x:v>
      </x:c>
      <x:c r="C112" s="28" t="str">
        <x:v>Approved monthly plan</x:v>
      </x:c>
      <x:c r="D112" s="28" t="str">
        <x:v>Operations</x:v>
      </x:c>
      <x:c r="E112" s="28" t="str">
        <x:v>2027-01</x:v>
      </x:c>
      <x:c r="F112" s="28" t="str">
        <x:v>Approved case</x:v>
      </x:c>
      <x:c r="G112" s="28" t="str">
        <x:v>Controllable operating expense</x:v>
      </x:c>
      <x:c r="H112" s="31" t="n">
        <x:v>0.029041666666666667</x:v>
      </x:c>
      <x:c r="I112" s="28" t="str"/>
      <x:c r="J112" s="28" t="str">
        <x:v>ledger allocation factor</x:v>
      </x:c>
      <x:c r="K112" s="28" t="str">
        <x:v>Board-approved FY27 operating plan</x:v>
      </x:c>
      <x:c r="L112" s="34" t="str">
        <x:v>2026-06-30</x:v>
      </x:c>
      <x:c r="M112" s="28" t="str">
        <x:v>Vista ERP P&amp;L, 2025-07-01 through 2026-06-30; Operating Expense total</x:v>
      </x:c>
    </x:row>
    <x:row r="113">
      <x:c r="A113" s="37" t="str">
        <x:v>PLN-00151</x:v>
      </x:c>
      <x:c r="B113" s="28" t="str">
        <x:v>Twelve-month operating-expense reforecast</x:v>
      </x:c>
      <x:c r="C113" s="28" t="str">
        <x:v>Approved reforecast events</x:v>
      </x:c>
      <x:c r="D113" s="28" t="str">
        <x:v>Operations</x:v>
      </x:c>
      <x:c r="E113" s="28" t="str">
        <x:v>2027-01</x:v>
      </x:c>
      <x:c r="F113" s="28" t="str">
        <x:v>Approved case</x:v>
      </x:c>
      <x:c r="G113" s="28" t="str">
        <x:v>Net approved run-rate and timing adjustment</x:v>
      </x:c>
      <x:c r="H113" s="31" t="n">
        <x:v>46666.666666666664</x:v>
      </x:c>
      <x:c r="I113" s="28" t="str"/>
      <x:c r="J113" s="28" t="str">
        <x:v>USD</x:v>
      </x:c>
      <x:c r="K113" s="28" t="str">
        <x:v>Approved hire, contract, savings, and one-time event register</x:v>
      </x:c>
      <x:c r="L113" s="34" t="str">
        <x:v>2026-06-30</x:v>
      </x:c>
      <x:c r="M113" s="28" t="str"/>
    </x:row>
    <x:row r="114">
      <x:c r="A114" s="37" t="str">
        <x:v>PLN-00152</x:v>
      </x:c>
      <x:c r="B114" s="28" t="str">
        <x:v>Twelve-month operating-expense reforecast</x:v>
      </x:c>
      <x:c r="C114" s="28" t="str">
        <x:v>Approved monthly plan</x:v>
      </x:c>
      <x:c r="D114" s="28" t="str">
        <x:v>Operations</x:v>
      </x:c>
      <x:c r="E114" s="28" t="str">
        <x:v>2027-02</x:v>
      </x:c>
      <x:c r="F114" s="28" t="str">
        <x:v>Approved case</x:v>
      </x:c>
      <x:c r="G114" s="28" t="str">
        <x:v>Controllable operating expense</x:v>
      </x:c>
      <x:c r="H114" s="31" t="n">
        <x:v>0.028333333333333335</x:v>
      </x:c>
      <x:c r="I114" s="28" t="str"/>
      <x:c r="J114" s="28" t="str">
        <x:v>ledger allocation factor</x:v>
      </x:c>
      <x:c r="K114" s="28" t="str">
        <x:v>Board-approved FY27 operating plan</x:v>
      </x:c>
      <x:c r="L114" s="34" t="str">
        <x:v>2026-06-30</x:v>
      </x:c>
      <x:c r="M114" s="28" t="str">
        <x:v>Vista ERP P&amp;L, 2025-07-01 through 2026-06-30; Operating Expense total</x:v>
      </x:c>
    </x:row>
    <x:row r="115">
      <x:c r="A115" s="37" t="str">
        <x:v>PLN-00153</x:v>
      </x:c>
      <x:c r="B115" s="28" t="str">
        <x:v>Twelve-month operating-expense reforecast</x:v>
      </x:c>
      <x:c r="C115" s="28" t="str">
        <x:v>Approved reforecast events</x:v>
      </x:c>
      <x:c r="D115" s="28" t="str">
        <x:v>Operations</x:v>
      </x:c>
      <x:c r="E115" s="28" t="str">
        <x:v>2027-02</x:v>
      </x:c>
      <x:c r="F115" s="28" t="str">
        <x:v>Approved case</x:v>
      </x:c>
      <x:c r="G115" s="28" t="str">
        <x:v>Net approved run-rate and timing adjustment</x:v>
      </x:c>
      <x:c r="H115" s="31" t="n">
        <x:v>53.33333333333333</x:v>
      </x:c>
      <x:c r="I115" s="28" t="str"/>
      <x:c r="J115" s="28" t="str">
        <x:v>USD thousands</x:v>
      </x:c>
      <x:c r="K115" s="28" t="str">
        <x:v>Approved hire, contract, savings, and one-time event register</x:v>
      </x:c>
      <x:c r="L115" s="34" t="str">
        <x:v>2026-06-30</x:v>
      </x:c>
      <x:c r="M115" s="28" t="str"/>
    </x:row>
    <x:row r="116">
      <x:c r="A116" s="37" t="str">
        <x:v>PLN-00154</x:v>
      </x:c>
      <x:c r="B116" s="28" t="str">
        <x:v>Twelve-month operating-expense reforecast</x:v>
      </x:c>
      <x:c r="C116" s="28" t="str">
        <x:v>Approved monthly plan</x:v>
      </x:c>
      <x:c r="D116" s="28" t="str">
        <x:v>Operations</x:v>
      </x:c>
      <x:c r="E116" s="28" t="str">
        <x:v>2027-03</x:v>
      </x:c>
      <x:c r="F116" s="28" t="str">
        <x:v>Approved case</x:v>
      </x:c>
      <x:c r="G116" s="28" t="str">
        <x:v>Controllable operating expense</x:v>
      </x:c>
      <x:c r="H116" s="31" t="n">
        <x:v>0.028333333333333335</x:v>
      </x:c>
      <x:c r="I116" s="28" t="str"/>
      <x:c r="J116" s="28" t="str">
        <x:v>ledger allocation factor</x:v>
      </x:c>
      <x:c r="K116" s="28" t="str">
        <x:v>Board-approved FY27 operating plan</x:v>
      </x:c>
      <x:c r="L116" s="34" t="str">
        <x:v>2026-06-30</x:v>
      </x:c>
      <x:c r="M116" s="28" t="str">
        <x:v>Vista ERP P&amp;L, 2025-07-01 through 2026-06-30; Operating Expense total</x:v>
      </x:c>
    </x:row>
    <x:row r="117">
      <x:c r="A117" s="37" t="str">
        <x:v>PLN-00155</x:v>
      </x:c>
      <x:c r="B117" s="28" t="str">
        <x:v>Twelve-month operating-expense reforecast</x:v>
      </x:c>
      <x:c r="C117" s="28" t="str">
        <x:v>Approved reforecast events</x:v>
      </x:c>
      <x:c r="D117" s="28" t="str">
        <x:v>Operations</x:v>
      </x:c>
      <x:c r="E117" s="28" t="str">
        <x:v>2027-03</x:v>
      </x:c>
      <x:c r="F117" s="28" t="str">
        <x:v>Approved case</x:v>
      </x:c>
      <x:c r="G117" s="28" t="str">
        <x:v>Net approved run-rate and timing adjustment</x:v>
      </x:c>
      <x:c r="H117" s="31" t="n">
        <x:v>60000</x:v>
      </x:c>
      <x:c r="I117" s="28" t="str"/>
      <x:c r="J117" s="28" t="str">
        <x:v>USD</x:v>
      </x:c>
      <x:c r="K117" s="28" t="str">
        <x:v>Approved hire, contract, savings, and one-time event register</x:v>
      </x:c>
      <x:c r="L117" s="34" t="str">
        <x:v>2026-06-30</x:v>
      </x:c>
      <x:c r="M117" s="28" t="str"/>
    </x:row>
    <x:row r="118">
      <x:c r="A118" s="37" t="str">
        <x:v>PLN-00156</x:v>
      </x:c>
      <x:c r="B118" s="28" t="str">
        <x:v>Twelve-month operating-expense reforecast</x:v>
      </x:c>
      <x:c r="C118" s="28" t="str">
        <x:v>Approved monthly plan</x:v>
      </x:c>
      <x:c r="D118" s="28" t="str">
        <x:v>Operations</x:v>
      </x:c>
      <x:c r="E118" s="28" t="str">
        <x:v>2027-04</x:v>
      </x:c>
      <x:c r="F118" s="28" t="str">
        <x:v>Approved case</x:v>
      </x:c>
      <x:c r="G118" s="28" t="str">
        <x:v>Controllable operating expense</x:v>
      </x:c>
      <x:c r="H118" s="31" t="n">
        <x:v>0.028333333333333335</x:v>
      </x:c>
      <x:c r="I118" s="28" t="str"/>
      <x:c r="J118" s="28" t="str">
        <x:v>ledger allocation factor</x:v>
      </x:c>
      <x:c r="K118" s="28" t="str">
        <x:v>Board-approved FY27 operating plan</x:v>
      </x:c>
      <x:c r="L118" s="34" t="str">
        <x:v>2026-06-30</x:v>
      </x:c>
      <x:c r="M118" s="28" t="str">
        <x:v>Vista ERP P&amp;L, 2025-07-01 through 2026-06-30; Operating Expense total</x:v>
      </x:c>
    </x:row>
    <x:row r="119">
      <x:c r="A119" s="37" t="str">
        <x:v>PLN-00157</x:v>
      </x:c>
      <x:c r="B119" s="28" t="str">
        <x:v>Twelve-month operating-expense reforecast</x:v>
      </x:c>
      <x:c r="C119" s="28" t="str">
        <x:v>Approved reforecast events</x:v>
      </x:c>
      <x:c r="D119" s="28" t="str">
        <x:v>Operations</x:v>
      </x:c>
      <x:c r="E119" s="28" t="str">
        <x:v>2027-04</x:v>
      </x:c>
      <x:c r="F119" s="28" t="str">
        <x:v>Approved case</x:v>
      </x:c>
      <x:c r="G119" s="28" t="str">
        <x:v>Net approved run-rate and timing adjustment</x:v>
      </x:c>
      <x:c r="H119" s="31" t="n">
        <x:v>66.66666666666666</x:v>
      </x:c>
      <x:c r="I119" s="28" t="str"/>
      <x:c r="J119" s="28" t="str">
        <x:v>USD thousands</x:v>
      </x:c>
      <x:c r="K119" s="28" t="str">
        <x:v>Approved hire, contract, savings, and one-time event register</x:v>
      </x:c>
      <x:c r="L119" s="34" t="str">
        <x:v>2026-06-30</x:v>
      </x:c>
      <x:c r="M119" s="28" t="str"/>
    </x:row>
    <x:row r="120">
      <x:c r="A120" s="37" t="str">
        <x:v>PLN-00158</x:v>
      </x:c>
      <x:c r="B120" s="28" t="str">
        <x:v>Twelve-month operating-expense reforecast</x:v>
      </x:c>
      <x:c r="C120" s="28" t="str">
        <x:v>Approved monthly plan</x:v>
      </x:c>
      <x:c r="D120" s="28" t="str">
        <x:v>Operations</x:v>
      </x:c>
      <x:c r="E120" s="28" t="str">
        <x:v>2027-05</x:v>
      </x:c>
      <x:c r="F120" s="28" t="str">
        <x:v>Approved case</x:v>
      </x:c>
      <x:c r="G120" s="28" t="str">
        <x:v>Controllable operating expense</x:v>
      </x:c>
      <x:c r="H120" s="31" t="n">
        <x:v>0.028333333333333335</x:v>
      </x:c>
      <x:c r="I120" s="28" t="str"/>
      <x:c r="J120" s="28" t="str">
        <x:v>ledger allocation factor</x:v>
      </x:c>
      <x:c r="K120" s="28" t="str">
        <x:v>Board-approved FY27 operating plan</x:v>
      </x:c>
      <x:c r="L120" s="34" t="str">
        <x:v>2026-06-30</x:v>
      </x:c>
      <x:c r="M120" s="28" t="str">
        <x:v>Vista ERP P&amp;L, 2025-07-01 through 2026-06-30; Operating Expense total</x:v>
      </x:c>
    </x:row>
    <x:row r="121">
      <x:c r="A121" s="37" t="str">
        <x:v>PLN-00159</x:v>
      </x:c>
      <x:c r="B121" s="28" t="str">
        <x:v>Twelve-month operating-expense reforecast</x:v>
      </x:c>
      <x:c r="C121" s="28" t="str">
        <x:v>Approved reforecast events</x:v>
      </x:c>
      <x:c r="D121" s="28" t="str">
        <x:v>Operations</x:v>
      </x:c>
      <x:c r="E121" s="28" t="str">
        <x:v>2027-05</x:v>
      </x:c>
      <x:c r="F121" s="28" t="str">
        <x:v>Approved case</x:v>
      </x:c>
      <x:c r="G121" s="28" t="str">
        <x:v>Net approved run-rate and timing adjustment</x:v>
      </x:c>
      <x:c r="H121" s="31" t="n">
        <x:v>73333.33333333333</x:v>
      </x:c>
      <x:c r="I121" s="28" t="str"/>
      <x:c r="J121" s="28" t="str">
        <x:v>USD</x:v>
      </x:c>
      <x:c r="K121" s="28" t="str">
        <x:v>Approved hire, contract, savings, and one-time event register</x:v>
      </x:c>
      <x:c r="L121" s="34" t="str">
        <x:v>2026-06-30</x:v>
      </x:c>
      <x:c r="M121" s="28" t="str"/>
    </x:row>
    <x:row r="122">
      <x:c r="A122" s="37" t="str">
        <x:v>PLN-00160</x:v>
      </x:c>
      <x:c r="B122" s="28" t="str">
        <x:v>Twelve-month operating-expense reforecast</x:v>
      </x:c>
      <x:c r="C122" s="28" t="str">
        <x:v>Approved monthly plan</x:v>
      </x:c>
      <x:c r="D122" s="28" t="str">
        <x:v>Operations</x:v>
      </x:c>
      <x:c r="E122" s="28" t="str">
        <x:v>2027-06</x:v>
      </x:c>
      <x:c r="F122" s="28" t="str">
        <x:v>Approved case</x:v>
      </x:c>
      <x:c r="G122" s="28" t="str">
        <x:v>Controllable operating expense</x:v>
      </x:c>
      <x:c r="H122" s="31" t="n">
        <x:v>0.028333333333333335</x:v>
      </x:c>
      <x:c r="I122" s="28" t="str"/>
      <x:c r="J122" s="28" t="str">
        <x:v>ledger allocation factor</x:v>
      </x:c>
      <x:c r="K122" s="28" t="str">
        <x:v>Board-approved FY27 operating plan</x:v>
      </x:c>
      <x:c r="L122" s="34" t="str">
        <x:v>2026-06-30</x:v>
      </x:c>
      <x:c r="M122" s="28" t="str">
        <x:v>Vista ERP P&amp;L, 2025-07-01 through 2026-06-30; Operating Expense total</x:v>
      </x:c>
    </x:row>
    <x:row r="123">
      <x:c r="A123" s="37" t="str">
        <x:v>PLN-00161</x:v>
      </x:c>
      <x:c r="B123" s="28" t="str">
        <x:v>Twelve-month operating-expense reforecast</x:v>
      </x:c>
      <x:c r="C123" s="28" t="str">
        <x:v>Approved reforecast events</x:v>
      </x:c>
      <x:c r="D123" s="28" t="str">
        <x:v>Operations</x:v>
      </x:c>
      <x:c r="E123" s="28" t="str">
        <x:v>2027-06</x:v>
      </x:c>
      <x:c r="F123" s="28" t="str">
        <x:v>Approved case</x:v>
      </x:c>
      <x:c r="G123" s="28" t="str">
        <x:v>Net approved run-rate and timing adjustment</x:v>
      </x:c>
      <x:c r="H123" s="31" t="n">
        <x:v>80</x:v>
      </x:c>
      <x:c r="I123" s="28" t="str"/>
      <x:c r="J123" s="28" t="str">
        <x:v>USD thousands</x:v>
      </x:c>
      <x:c r="K123" s="28" t="str">
        <x:v>Approved hire, contract, savings, and one-time event register</x:v>
      </x:c>
      <x:c r="L123" s="34" t="str">
        <x:v>2026-06-30</x:v>
      </x:c>
      <x:c r="M123" s="28" t="str"/>
    </x:row>
    <x:row r="124">
      <x:c r="A124" s="37" t="str">
        <x:v>PLN-00162</x:v>
      </x:c>
      <x:c r="B124" s="28" t="str">
        <x:v>Twelve-month operating-expense reforecast</x:v>
      </x:c>
      <x:c r="C124" s="28" t="str">
        <x:v>Approved monthly plan</x:v>
      </x:c>
      <x:c r="D124" s="28" t="str">
        <x:v>Information Technology</x:v>
      </x:c>
      <x:c r="E124" s="28" t="str">
        <x:v>2026-07</x:v>
      </x:c>
      <x:c r="F124" s="28" t="str">
        <x:v>Approved case</x:v>
      </x:c>
      <x:c r="G124" s="28" t="str">
        <x:v>Controllable operating expense</x:v>
      </x:c>
      <x:c r="H124" s="31" t="n">
        <x:v>0.009075</x:v>
      </x:c>
      <x:c r="I124" s="28" t="str"/>
      <x:c r="J124" s="28" t="str">
        <x:v>ledger allocation factor</x:v>
      </x:c>
      <x:c r="K124" s="28" t="str">
        <x:v>Board-approved FY27 operating plan</x:v>
      </x:c>
      <x:c r="L124" s="34" t="str">
        <x:v>2026-06-30</x:v>
      </x:c>
      <x:c r="M124" s="28" t="str">
        <x:v>Vista ERP P&amp;L, 2025-07-01 through 2026-06-30; Operating Expense total</x:v>
      </x:c>
    </x:row>
    <x:row r="125">
      <x:c r="A125" s="37" t="str">
        <x:v>PLN-00163</x:v>
      </x:c>
      <x:c r="B125" s="28" t="str">
        <x:v>Twelve-month operating-expense reforecast</x:v>
      </x:c>
      <x:c r="C125" s="28" t="str">
        <x:v>Approved reforecast events</x:v>
      </x:c>
      <x:c r="D125" s="28" t="str">
        <x:v>Information Technology</x:v>
      </x:c>
      <x:c r="E125" s="28" t="str">
        <x:v>2026-07</x:v>
      </x:c>
      <x:c r="F125" s="28" t="str">
        <x:v>Approved case</x:v>
      </x:c>
      <x:c r="G125" s="28" t="str">
        <x:v>Net approved run-rate and timing adjustment</x:v>
      </x:c>
      <x:c r="H125" s="31" t="n">
        <x:v>3653.846153846154</x:v>
      </x:c>
      <x:c r="I125" s="28" t="str"/>
      <x:c r="J125" s="28" t="str">
        <x:v>USD</x:v>
      </x:c>
      <x:c r="K125" s="28" t="str">
        <x:v>Approved hire, contract, savings, and one-time event register</x:v>
      </x:c>
      <x:c r="L125" s="34" t="str">
        <x:v>2026-06-30</x:v>
      </x:c>
      <x:c r="M125" s="28" t="str"/>
    </x:row>
    <x:row r="126">
      <x:c r="A126" s="37" t="str">
        <x:v>PLN-00164</x:v>
      </x:c>
      <x:c r="B126" s="28" t="str">
        <x:v>Twelve-month operating-expense reforecast</x:v>
      </x:c>
      <x:c r="C126" s="28" t="str">
        <x:v>Approved monthly plan</x:v>
      </x:c>
      <x:c r="D126" s="28" t="str">
        <x:v>Information Technology</x:v>
      </x:c>
      <x:c r="E126" s="28" t="str">
        <x:v>2026-08</x:v>
      </x:c>
      <x:c r="F126" s="28" t="str">
        <x:v>Approved case</x:v>
      </x:c>
      <x:c r="G126" s="28" t="str">
        <x:v>Controllable operating expense</x:v>
      </x:c>
      <x:c r="H126" s="31" t="n">
        <x:v>0.009075</x:v>
      </x:c>
      <x:c r="I126" s="28" t="str"/>
      <x:c r="J126" s="28" t="str">
        <x:v>ledger allocation factor</x:v>
      </x:c>
      <x:c r="K126" s="28" t="str">
        <x:v>Board-approved FY27 operating plan</x:v>
      </x:c>
      <x:c r="L126" s="34" t="str">
        <x:v>2026-06-30</x:v>
      </x:c>
      <x:c r="M126" s="28" t="str">
        <x:v>Vista ERP P&amp;L, 2025-07-01 through 2026-06-30; Operating Expense total</x:v>
      </x:c>
    </x:row>
    <x:row r="127">
      <x:c r="A127" s="37" t="str">
        <x:v>PLN-00165</x:v>
      </x:c>
      <x:c r="B127" s="28" t="str">
        <x:v>Twelve-month operating-expense reforecast</x:v>
      </x:c>
      <x:c r="C127" s="28" t="str">
        <x:v>Approved reforecast events</x:v>
      </x:c>
      <x:c r="D127" s="28" t="str">
        <x:v>Information Technology</x:v>
      </x:c>
      <x:c r="E127" s="28" t="str">
        <x:v>2026-08</x:v>
      </x:c>
      <x:c r="F127" s="28" t="str">
        <x:v>Approved case</x:v>
      </x:c>
      <x:c r="G127" s="28" t="str">
        <x:v>Net approved run-rate and timing adjustment</x:v>
      </x:c>
      <x:c r="H127" s="31" t="n">
        <x:v>7307.692307692308</x:v>
      </x:c>
      <x:c r="I127" s="28" t="str"/>
      <x:c r="J127" s="28" t="str">
        <x:v>USD</x:v>
      </x:c>
      <x:c r="K127" s="28" t="str">
        <x:v>Approved hire, contract, savings, and one-time event register</x:v>
      </x:c>
      <x:c r="L127" s="34" t="str">
        <x:v>2026-06-30</x:v>
      </x:c>
      <x:c r="M127" s="28" t="str"/>
    </x:row>
    <x:row r="128">
      <x:c r="A128" s="37" t="str">
        <x:v>PLN-00166</x:v>
      </x:c>
      <x:c r="B128" s="28" t="str">
        <x:v>Twelve-month operating-expense reforecast</x:v>
      </x:c>
      <x:c r="C128" s="28" t="str">
        <x:v>Approved monthly plan</x:v>
      </x:c>
      <x:c r="D128" s="28" t="str">
        <x:v>Information Technology</x:v>
      </x:c>
      <x:c r="E128" s="28" t="str">
        <x:v>2026-09</x:v>
      </x:c>
      <x:c r="F128" s="28" t="str">
        <x:v>Approved case</x:v>
      </x:c>
      <x:c r="G128" s="28" t="str">
        <x:v>Controllable operating expense</x:v>
      </x:c>
      <x:c r="H128" s="31" t="n">
        <x:v>0.009166666666666667</x:v>
      </x:c>
      <x:c r="I128" s="28" t="str"/>
      <x:c r="J128" s="28" t="str">
        <x:v>ledger allocation factor</x:v>
      </x:c>
      <x:c r="K128" s="28" t="str">
        <x:v>Board-approved FY27 operating plan</x:v>
      </x:c>
      <x:c r="L128" s="34" t="str">
        <x:v>2026-06-30</x:v>
      </x:c>
      <x:c r="M128" s="28" t="str">
        <x:v>Vista ERP P&amp;L, 2025-07-01 through 2026-06-30; Operating Expense total</x:v>
      </x:c>
    </x:row>
    <x:row r="129">
      <x:c r="A129" s="37" t="str">
        <x:v>PLN-00167</x:v>
      </x:c>
      <x:c r="B129" s="28" t="str">
        <x:v>Twelve-month operating-expense reforecast</x:v>
      </x:c>
      <x:c r="C129" s="28" t="str">
        <x:v>Approved reforecast events</x:v>
      </x:c>
      <x:c r="D129" s="28" t="str">
        <x:v>Information Technology</x:v>
      </x:c>
      <x:c r="E129" s="28" t="str">
        <x:v>2026-09</x:v>
      </x:c>
      <x:c r="F129" s="28" t="str">
        <x:v>Approved case</x:v>
      </x:c>
      <x:c r="G129" s="28" t="str">
        <x:v>Net approved run-rate and timing adjustment</x:v>
      </x:c>
      <x:c r="H129" s="31" t="n">
        <x:v>10961.538461538463</x:v>
      </x:c>
      <x:c r="I129" s="28" t="str"/>
      <x:c r="J129" s="28" t="str">
        <x:v>USD</x:v>
      </x:c>
      <x:c r="K129" s="28" t="str">
        <x:v>Approved hire, contract, savings, and one-time event register</x:v>
      </x:c>
      <x:c r="L129" s="34" t="str">
        <x:v>2026-06-30</x:v>
      </x:c>
      <x:c r="M129" s="28" t="str"/>
    </x:row>
    <x:row r="130">
      <x:c r="A130" s="37" t="str">
        <x:v>PLN-00168</x:v>
      </x:c>
      <x:c r="B130" s="28" t="str">
        <x:v>Twelve-month operating-expense reforecast</x:v>
      </x:c>
      <x:c r="C130" s="28" t="str">
        <x:v>Approved monthly plan</x:v>
      </x:c>
      <x:c r="D130" s="28" t="str">
        <x:v>Information Technology</x:v>
      </x:c>
      <x:c r="E130" s="28" t="str">
        <x:v>2026-10</x:v>
      </x:c>
      <x:c r="F130" s="28" t="str">
        <x:v>Approved case</x:v>
      </x:c>
      <x:c r="G130" s="28" t="str">
        <x:v>Controllable operating expense</x:v>
      </x:c>
      <x:c r="H130" s="31" t="n">
        <x:v>0.009166666666666667</x:v>
      </x:c>
      <x:c r="I130" s="28" t="str"/>
      <x:c r="J130" s="28" t="str">
        <x:v>ledger allocation factor</x:v>
      </x:c>
      <x:c r="K130" s="28" t="str">
        <x:v>Board-approved FY27 operating plan</x:v>
      </x:c>
      <x:c r="L130" s="34" t="str">
        <x:v>2026-06-30</x:v>
      </x:c>
      <x:c r="M130" s="28" t="str">
        <x:v>Vista ERP P&amp;L, 2025-07-01 through 2026-06-30; Operating Expense total</x:v>
      </x:c>
    </x:row>
    <x:row r="131">
      <x:c r="A131" s="37" t="str">
        <x:v>PLN-00169</x:v>
      </x:c>
      <x:c r="B131" s="28" t="str">
        <x:v>Twelve-month operating-expense reforecast</x:v>
      </x:c>
      <x:c r="C131" s="28" t="str">
        <x:v>Approved reforecast events</x:v>
      </x:c>
      <x:c r="D131" s="28" t="str">
        <x:v>Information Technology</x:v>
      </x:c>
      <x:c r="E131" s="28" t="str">
        <x:v>2026-10</x:v>
      </x:c>
      <x:c r="F131" s="28" t="str">
        <x:v>Approved case</x:v>
      </x:c>
      <x:c r="G131" s="28" t="str">
        <x:v>Net approved run-rate and timing adjustment</x:v>
      </x:c>
      <x:c r="H131" s="31" t="n">
        <x:v>14.615384615384615</x:v>
      </x:c>
      <x:c r="I131" s="28" t="str"/>
      <x:c r="J131" s="28" t="str">
        <x:v>USD thousands</x:v>
      </x:c>
      <x:c r="K131" s="28" t="str">
        <x:v>Approved hire, contract, savings, and one-time event register</x:v>
      </x:c>
      <x:c r="L131" s="34" t="str">
        <x:v>2026-06-30</x:v>
      </x:c>
      <x:c r="M131" s="28" t="str"/>
    </x:row>
    <x:row r="132">
      <x:c r="A132" s="37" t="str">
        <x:v>PLN-00170</x:v>
      </x:c>
      <x:c r="B132" s="28" t="str">
        <x:v>Twelve-month operating-expense reforecast</x:v>
      </x:c>
      <x:c r="C132" s="28" t="str">
        <x:v>Approved monthly plan</x:v>
      </x:c>
      <x:c r="D132" s="28" t="str">
        <x:v>Information Technology</x:v>
      </x:c>
      <x:c r="E132" s="28" t="str">
        <x:v>2026-11</x:v>
      </x:c>
      <x:c r="F132" s="28" t="str">
        <x:v>Approved case</x:v>
      </x:c>
      <x:c r="G132" s="28" t="str">
        <x:v>Controllable operating expense</x:v>
      </x:c>
      <x:c r="H132" s="31" t="n">
        <x:v>0.009166666666666667</x:v>
      </x:c>
      <x:c r="I132" s="28" t="str"/>
      <x:c r="J132" s="28" t="str">
        <x:v>ledger allocation factor</x:v>
      </x:c>
      <x:c r="K132" s="28" t="str">
        <x:v>Board-approved FY27 operating plan</x:v>
      </x:c>
      <x:c r="L132" s="34" t="str">
        <x:v>2026-06-30</x:v>
      </x:c>
      <x:c r="M132" s="28" t="str">
        <x:v>Vista ERP P&amp;L, 2025-07-01 through 2026-06-30; Operating Expense total</x:v>
      </x:c>
    </x:row>
    <x:row r="133">
      <x:c r="A133" s="37" t="str">
        <x:v>PLN-00171</x:v>
      </x:c>
      <x:c r="B133" s="28" t="str">
        <x:v>Twelve-month operating-expense reforecast</x:v>
      </x:c>
      <x:c r="C133" s="28" t="str">
        <x:v>Approved reforecast events</x:v>
      </x:c>
      <x:c r="D133" s="28" t="str">
        <x:v>Information Technology</x:v>
      </x:c>
      <x:c r="E133" s="28" t="str">
        <x:v>2026-11</x:v>
      </x:c>
      <x:c r="F133" s="28" t="str">
        <x:v>Approved case</x:v>
      </x:c>
      <x:c r="G133" s="28" t="str">
        <x:v>Net approved run-rate and timing adjustment</x:v>
      </x:c>
      <x:c r="H133" s="31" t="n">
        <x:v>18269.230769230766</x:v>
      </x:c>
      <x:c r="I133" s="28" t="str"/>
      <x:c r="J133" s="28" t="str">
        <x:v>USD</x:v>
      </x:c>
      <x:c r="K133" s="28" t="str">
        <x:v>Approved hire, contract, savings, and one-time event register</x:v>
      </x:c>
      <x:c r="L133" s="34" t="str">
        <x:v>2026-06-30</x:v>
      </x:c>
      <x:c r="M133" s="28" t="str"/>
    </x:row>
    <x:row r="134">
      <x:c r="A134" s="37" t="str">
        <x:v>PLN-00172</x:v>
      </x:c>
      <x:c r="B134" s="28" t="str">
        <x:v>Twelve-month operating-expense reforecast</x:v>
      </x:c>
      <x:c r="C134" s="28" t="str">
        <x:v>Approved monthly plan</x:v>
      </x:c>
      <x:c r="D134" s="28" t="str">
        <x:v>Information Technology</x:v>
      </x:c>
      <x:c r="E134" s="28" t="str">
        <x:v>2026-12</x:v>
      </x:c>
      <x:c r="F134" s="28" t="str">
        <x:v>Approved case</x:v>
      </x:c>
      <x:c r="G134" s="28" t="str">
        <x:v>Controllable operating expense</x:v>
      </x:c>
      <x:c r="H134" s="31" t="n">
        <x:v>0.009395833333333332</x:v>
      </x:c>
      <x:c r="I134" s="28" t="str"/>
      <x:c r="J134" s="28" t="str">
        <x:v>ledger allocation factor</x:v>
      </x:c>
      <x:c r="K134" s="28" t="str">
        <x:v>Board-approved FY27 operating plan</x:v>
      </x:c>
      <x:c r="L134" s="34" t="str">
        <x:v>2026-06-30</x:v>
      </x:c>
      <x:c r="M134" s="28" t="str">
        <x:v>Vista ERP P&amp;L, 2025-07-01 through 2026-06-30; Operating Expense total</x:v>
      </x:c>
    </x:row>
    <x:row r="135">
      <x:c r="A135" s="37" t="str">
        <x:v>PLN-00173</x:v>
      </x:c>
      <x:c r="B135" s="28" t="str">
        <x:v>Twelve-month operating-expense reforecast</x:v>
      </x:c>
      <x:c r="C135" s="28" t="str">
        <x:v>Approved reforecast events</x:v>
      </x:c>
      <x:c r="D135" s="28" t="str">
        <x:v>Information Technology</x:v>
      </x:c>
      <x:c r="E135" s="28" t="str">
        <x:v>2026-12</x:v>
      </x:c>
      <x:c r="F135" s="28" t="str">
        <x:v>Approved case</x:v>
      </x:c>
      <x:c r="G135" s="28" t="str">
        <x:v>Net approved run-rate and timing adjustment</x:v>
      </x:c>
      <x:c r="H135" s="31" t="n">
        <x:v>21.923076923076927</x:v>
      </x:c>
      <x:c r="I135" s="28" t="str"/>
      <x:c r="J135" s="28" t="str">
        <x:v>USD thousands</x:v>
      </x:c>
      <x:c r="K135" s="28" t="str">
        <x:v>Approved hire, contract, savings, and one-time event register</x:v>
      </x:c>
      <x:c r="L135" s="34" t="str">
        <x:v>2026-06-30</x:v>
      </x:c>
      <x:c r="M135" s="28" t="str"/>
    </x:row>
    <x:row r="136">
      <x:c r="A136" s="37" t="str">
        <x:v>PLN-00174</x:v>
      </x:c>
      <x:c r="B136" s="28" t="str">
        <x:v>Twelve-month operating-expense reforecast</x:v>
      </x:c>
      <x:c r="C136" s="28" t="str">
        <x:v>Approved monthly plan</x:v>
      </x:c>
      <x:c r="D136" s="28" t="str">
        <x:v>Information Technology</x:v>
      </x:c>
      <x:c r="E136" s="28" t="str">
        <x:v>2027-01</x:v>
      </x:c>
      <x:c r="F136" s="28" t="str">
        <x:v>Approved case</x:v>
      </x:c>
      <x:c r="G136" s="28" t="str">
        <x:v>Controllable operating expense</x:v>
      </x:c>
      <x:c r="H136" s="31" t="n">
        <x:v>0.009395833333333332</x:v>
      </x:c>
      <x:c r="I136" s="28" t="str"/>
      <x:c r="J136" s="28" t="str">
        <x:v>ledger allocation factor</x:v>
      </x:c>
      <x:c r="K136" s="28" t="str">
        <x:v>Board-approved FY27 operating plan</x:v>
      </x:c>
      <x:c r="L136" s="34" t="str">
        <x:v>2026-06-30</x:v>
      </x:c>
      <x:c r="M136" s="28" t="str">
        <x:v>Vista ERP P&amp;L, 2025-07-01 through 2026-06-30; Operating Expense total</x:v>
      </x:c>
    </x:row>
    <x:row r="137">
      <x:c r="A137" s="37" t="str">
        <x:v>PLN-00175</x:v>
      </x:c>
      <x:c r="B137" s="28" t="str">
        <x:v>Twelve-month operating-expense reforecast</x:v>
      </x:c>
      <x:c r="C137" s="28" t="str">
        <x:v>Approved reforecast events</x:v>
      </x:c>
      <x:c r="D137" s="28" t="str">
        <x:v>Information Technology</x:v>
      </x:c>
      <x:c r="E137" s="28" t="str">
        <x:v>2027-01</x:v>
      </x:c>
      <x:c r="F137" s="28" t="str">
        <x:v>Approved case</x:v>
      </x:c>
      <x:c r="G137" s="28" t="str">
        <x:v>Net approved run-rate and timing adjustment</x:v>
      </x:c>
      <x:c r="H137" s="31" t="n">
        <x:v>25576.923076923078</x:v>
      </x:c>
      <x:c r="I137" s="28" t="str"/>
      <x:c r="J137" s="28" t="str">
        <x:v>USD</x:v>
      </x:c>
      <x:c r="K137" s="28" t="str">
        <x:v>Approved hire, contract, savings, and one-time event register</x:v>
      </x:c>
      <x:c r="L137" s="34" t="str">
        <x:v>2026-06-30</x:v>
      </x:c>
      <x:c r="M137" s="28" t="str"/>
    </x:row>
    <x:row r="138">
      <x:c r="A138" s="37" t="str">
        <x:v>PLN-00176</x:v>
      </x:c>
      <x:c r="B138" s="28" t="str">
        <x:v>Twelve-month operating-expense reforecast</x:v>
      </x:c>
      <x:c r="C138" s="28" t="str">
        <x:v>Approved monthly plan</x:v>
      </x:c>
      <x:c r="D138" s="28" t="str">
        <x:v>Information Technology</x:v>
      </x:c>
      <x:c r="E138" s="28" t="str">
        <x:v>2027-02</x:v>
      </x:c>
      <x:c r="F138" s="28" t="str">
        <x:v>Approved case</x:v>
      </x:c>
      <x:c r="G138" s="28" t="str">
        <x:v>Controllable operating expense</x:v>
      </x:c>
      <x:c r="H138" s="31" t="n">
        <x:v>0.009166666666666667</x:v>
      </x:c>
      <x:c r="I138" s="28" t="str"/>
      <x:c r="J138" s="28" t="str">
        <x:v>ledger allocation factor</x:v>
      </x:c>
      <x:c r="K138" s="28" t="str">
        <x:v>Board-approved FY27 operating plan</x:v>
      </x:c>
      <x:c r="L138" s="34" t="str">
        <x:v>2026-06-30</x:v>
      </x:c>
      <x:c r="M138" s="28" t="str">
        <x:v>Vista ERP P&amp;L, 2025-07-01 through 2026-06-30; Operating Expense total</x:v>
      </x:c>
    </x:row>
    <x:row r="139">
      <x:c r="A139" s="37" t="str">
        <x:v>PLN-00177</x:v>
      </x:c>
      <x:c r="B139" s="28" t="str">
        <x:v>Twelve-month operating-expense reforecast</x:v>
      </x:c>
      <x:c r="C139" s="28" t="str">
        <x:v>Approved reforecast events</x:v>
      </x:c>
      <x:c r="D139" s="28" t="str">
        <x:v>Information Technology</x:v>
      </x:c>
      <x:c r="E139" s="28" t="str">
        <x:v>2027-02</x:v>
      </x:c>
      <x:c r="F139" s="28" t="str">
        <x:v>Approved case</x:v>
      </x:c>
      <x:c r="G139" s="28" t="str">
        <x:v>Net approved run-rate and timing adjustment</x:v>
      </x:c>
      <x:c r="H139" s="31" t="n">
        <x:v>29.23076923076923</x:v>
      </x:c>
      <x:c r="I139" s="28" t="str"/>
      <x:c r="J139" s="28" t="str">
        <x:v>USD thousands</x:v>
      </x:c>
      <x:c r="K139" s="28" t="str">
        <x:v>Approved hire, contract, savings, and one-time event register</x:v>
      </x:c>
      <x:c r="L139" s="34" t="str">
        <x:v>2026-06-30</x:v>
      </x:c>
      <x:c r="M139" s="28" t="str"/>
    </x:row>
    <x:row r="140">
      <x:c r="A140" s="37" t="str">
        <x:v>PLN-00178</x:v>
      </x:c>
      <x:c r="B140" s="28" t="str">
        <x:v>Twelve-month operating-expense reforecast</x:v>
      </x:c>
      <x:c r="C140" s="28" t="str">
        <x:v>Approved monthly plan</x:v>
      </x:c>
      <x:c r="D140" s="28" t="str">
        <x:v>Information Technology</x:v>
      </x:c>
      <x:c r="E140" s="28" t="str">
        <x:v>2027-03</x:v>
      </x:c>
      <x:c r="F140" s="28" t="str">
        <x:v>Approved case</x:v>
      </x:c>
      <x:c r="G140" s="28" t="str">
        <x:v>Controllable operating expense</x:v>
      </x:c>
      <x:c r="H140" s="31" t="n">
        <x:v>0.009166666666666667</x:v>
      </x:c>
      <x:c r="I140" s="28" t="str"/>
      <x:c r="J140" s="28" t="str">
        <x:v>ledger allocation factor</x:v>
      </x:c>
      <x:c r="K140" s="28" t="str">
        <x:v>Board-approved FY27 operating plan</x:v>
      </x:c>
      <x:c r="L140" s="34" t="str">
        <x:v>2026-06-30</x:v>
      </x:c>
      <x:c r="M140" s="28" t="str">
        <x:v>Vista ERP P&amp;L, 2025-07-01 through 2026-06-30; Operating Expense total</x:v>
      </x:c>
    </x:row>
    <x:row r="141">
      <x:c r="A141" s="37" t="str">
        <x:v>PLN-00179</x:v>
      </x:c>
      <x:c r="B141" s="28" t="str">
        <x:v>Twelve-month operating-expense reforecast</x:v>
      </x:c>
      <x:c r="C141" s="28" t="str">
        <x:v>Approved reforecast events</x:v>
      </x:c>
      <x:c r="D141" s="28" t="str">
        <x:v>Information Technology</x:v>
      </x:c>
      <x:c r="E141" s="28" t="str">
        <x:v>2027-03</x:v>
      </x:c>
      <x:c r="F141" s="28" t="str">
        <x:v>Approved case</x:v>
      </x:c>
      <x:c r="G141" s="28" t="str">
        <x:v>Net approved run-rate and timing adjustment</x:v>
      </x:c>
      <x:c r="H141" s="31" t="n">
        <x:v>32884.61538461538</x:v>
      </x:c>
      <x:c r="I141" s="28" t="str"/>
      <x:c r="J141" s="28" t="str">
        <x:v>USD</x:v>
      </x:c>
      <x:c r="K141" s="28" t="str">
        <x:v>Approved hire, contract, savings, and one-time event register</x:v>
      </x:c>
      <x:c r="L141" s="34" t="str">
        <x:v>2026-06-30</x:v>
      </x:c>
      <x:c r="M141" s="28" t="str"/>
    </x:row>
    <x:row r="142">
      <x:c r="A142" s="37" t="str">
        <x:v>PLN-00180</x:v>
      </x:c>
      <x:c r="B142" s="28" t="str">
        <x:v>Twelve-month operating-expense reforecast</x:v>
      </x:c>
      <x:c r="C142" s="28" t="str">
        <x:v>Approved monthly plan</x:v>
      </x:c>
      <x:c r="D142" s="28" t="str">
        <x:v>Information Technology</x:v>
      </x:c>
      <x:c r="E142" s="28" t="str">
        <x:v>2027-04</x:v>
      </x:c>
      <x:c r="F142" s="28" t="str">
        <x:v>Approved case</x:v>
      </x:c>
      <x:c r="G142" s="28" t="str">
        <x:v>Controllable operating expense</x:v>
      </x:c>
      <x:c r="H142" s="31" t="n">
        <x:v>0.009166666666666667</x:v>
      </x:c>
      <x:c r="I142" s="28" t="str"/>
      <x:c r="J142" s="28" t="str">
        <x:v>ledger allocation factor</x:v>
      </x:c>
      <x:c r="K142" s="28" t="str">
        <x:v>Board-approved FY27 operating plan</x:v>
      </x:c>
      <x:c r="L142" s="34" t="str">
        <x:v>2026-06-30</x:v>
      </x:c>
      <x:c r="M142" s="28" t="str">
        <x:v>Vista ERP P&amp;L, 2025-07-01 through 2026-06-30; Operating Expense total</x:v>
      </x:c>
    </x:row>
    <x:row r="143">
      <x:c r="A143" s="37" t="str">
        <x:v>PLN-00181</x:v>
      </x:c>
      <x:c r="B143" s="28" t="str">
        <x:v>Twelve-month operating-expense reforecast</x:v>
      </x:c>
      <x:c r="C143" s="28" t="str">
        <x:v>Approved reforecast events</x:v>
      </x:c>
      <x:c r="D143" s="28" t="str">
        <x:v>Information Technology</x:v>
      </x:c>
      <x:c r="E143" s="28" t="str">
        <x:v>2027-04</x:v>
      </x:c>
      <x:c r="F143" s="28" t="str">
        <x:v>Approved case</x:v>
      </x:c>
      <x:c r="G143" s="28" t="str">
        <x:v>Net approved run-rate and timing adjustment</x:v>
      </x:c>
      <x:c r="H143" s="31" t="n">
        <x:v>36.53846153846153</x:v>
      </x:c>
      <x:c r="I143" s="28" t="str"/>
      <x:c r="J143" s="28" t="str">
        <x:v>USD thousands</x:v>
      </x:c>
      <x:c r="K143" s="28" t="str">
        <x:v>Approved hire, contract, savings, and one-time event register</x:v>
      </x:c>
      <x:c r="L143" s="34" t="str">
        <x:v>2026-06-30</x:v>
      </x:c>
      <x:c r="M143" s="28" t="str"/>
    </x:row>
    <x:row r="144">
      <x:c r="A144" s="37" t="str">
        <x:v>PLN-00182</x:v>
      </x:c>
      <x:c r="B144" s="28" t="str">
        <x:v>Twelve-month operating-expense reforecast</x:v>
      </x:c>
      <x:c r="C144" s="28" t="str">
        <x:v>Approved monthly plan</x:v>
      </x:c>
      <x:c r="D144" s="28" t="str">
        <x:v>Information Technology</x:v>
      </x:c>
      <x:c r="E144" s="28" t="str">
        <x:v>2027-05</x:v>
      </x:c>
      <x:c r="F144" s="28" t="str">
        <x:v>Approved case</x:v>
      </x:c>
      <x:c r="G144" s="28" t="str">
        <x:v>Controllable operating expense</x:v>
      </x:c>
      <x:c r="H144" s="31" t="n">
        <x:v>0.009166666666666667</x:v>
      </x:c>
      <x:c r="I144" s="28" t="str"/>
      <x:c r="J144" s="28" t="str">
        <x:v>ledger allocation factor</x:v>
      </x:c>
      <x:c r="K144" s="28" t="str">
        <x:v>Board-approved FY27 operating plan</x:v>
      </x:c>
      <x:c r="L144" s="34" t="str">
        <x:v>2026-06-30</x:v>
      </x:c>
      <x:c r="M144" s="28" t="str">
        <x:v>Vista ERP P&amp;L, 2025-07-01 through 2026-06-30; Operating Expense total</x:v>
      </x:c>
    </x:row>
    <x:row r="145">
      <x:c r="A145" s="37" t="str">
        <x:v>PLN-00183</x:v>
      </x:c>
      <x:c r="B145" s="28" t="str">
        <x:v>Twelve-month operating-expense reforecast</x:v>
      </x:c>
      <x:c r="C145" s="28" t="str">
        <x:v>Approved reforecast events</x:v>
      </x:c>
      <x:c r="D145" s="28" t="str">
        <x:v>Information Technology</x:v>
      </x:c>
      <x:c r="E145" s="28" t="str">
        <x:v>2027-05</x:v>
      </x:c>
      <x:c r="F145" s="28" t="str">
        <x:v>Approved case</x:v>
      </x:c>
      <x:c r="G145" s="28" t="str">
        <x:v>Net approved run-rate and timing adjustment</x:v>
      </x:c>
      <x:c r="H145" s="31" t="n">
        <x:v>40192.307692307695</x:v>
      </x:c>
      <x:c r="I145" s="28" t="str"/>
      <x:c r="J145" s="28" t="str">
        <x:v>USD</x:v>
      </x:c>
      <x:c r="K145" s="28" t="str">
        <x:v>Approved hire, contract, savings, and one-time event register</x:v>
      </x:c>
      <x:c r="L145" s="34" t="str">
        <x:v>2026-06-30</x:v>
      </x:c>
      <x:c r="M145" s="28" t="str"/>
    </x:row>
    <x:row r="146">
      <x:c r="A146" s="37" t="str">
        <x:v>PLN-00184</x:v>
      </x:c>
      <x:c r="B146" s="28" t="str">
        <x:v>Twelve-month operating-expense reforecast</x:v>
      </x:c>
      <x:c r="C146" s="28" t="str">
        <x:v>Approved monthly plan</x:v>
      </x:c>
      <x:c r="D146" s="28" t="str">
        <x:v>Information Technology</x:v>
      </x:c>
      <x:c r="E146" s="28" t="str">
        <x:v>2027-06</x:v>
      </x:c>
      <x:c r="F146" s="28" t="str">
        <x:v>Approved case</x:v>
      </x:c>
      <x:c r="G146" s="28" t="str">
        <x:v>Controllable operating expense</x:v>
      </x:c>
      <x:c r="H146" s="31" t="n">
        <x:v>0.009166666666666667</x:v>
      </x:c>
      <x:c r="I146" s="28" t="str"/>
      <x:c r="J146" s="28" t="str">
        <x:v>ledger allocation factor</x:v>
      </x:c>
      <x:c r="K146" s="28" t="str">
        <x:v>Board-approved FY27 operating plan</x:v>
      </x:c>
      <x:c r="L146" s="34" t="str">
        <x:v>2026-06-30</x:v>
      </x:c>
      <x:c r="M146" s="28" t="str">
        <x:v>Vista ERP P&amp;L, 2025-07-01 through 2026-06-30; Operating Expense total</x:v>
      </x:c>
    </x:row>
    <x:row r="147">
      <x:c r="A147" s="37" t="str">
        <x:v>PLN-00185</x:v>
      </x:c>
      <x:c r="B147" s="28" t="str">
        <x:v>Twelve-month operating-expense reforecast</x:v>
      </x:c>
      <x:c r="C147" s="28" t="str">
        <x:v>Approved reforecast events</x:v>
      </x:c>
      <x:c r="D147" s="28" t="str">
        <x:v>Information Technology</x:v>
      </x:c>
      <x:c r="E147" s="28" t="str">
        <x:v>2027-06</x:v>
      </x:c>
      <x:c r="F147" s="28" t="str">
        <x:v>Approved case</x:v>
      </x:c>
      <x:c r="G147" s="28" t="str">
        <x:v>Net approved run-rate and timing adjustment</x:v>
      </x:c>
      <x:c r="H147" s="31" t="n">
        <x:v>43.846153846153854</x:v>
      </x:c>
      <x:c r="I147" s="28" t="str"/>
      <x:c r="J147" s="28" t="str">
        <x:v>USD thousands</x:v>
      </x:c>
      <x:c r="K147" s="28" t="str">
        <x:v>Approved hire, contract, savings, and one-time event register</x:v>
      </x:c>
      <x:c r="L147" s="34" t="str">
        <x:v>2026-06-30</x:v>
      </x:c>
      <x:c r="M147" s="28" t="str"/>
    </x:row>
    <x:row r="148">
      <x:c r="A148" s="37" t="str">
        <x:v>PLN-00186</x:v>
      </x:c>
      <x:c r="B148" s="28" t="str">
        <x:v>Twelve-month operating-expense reforecast</x:v>
      </x:c>
      <x:c r="C148" s="28" t="str">
        <x:v>Approved monthly plan</x:v>
      </x:c>
      <x:c r="D148" s="28" t="str">
        <x:v>Sales</x:v>
      </x:c>
      <x:c r="E148" s="28" t="str">
        <x:v>2026-07</x:v>
      </x:c>
      <x:c r="F148" s="28" t="str">
        <x:v>Approved case</x:v>
      </x:c>
      <x:c r="G148" s="28" t="str">
        <x:v>Controllable operating expense</x:v>
      </x:c>
      <x:c r="H148" s="31" t="n">
        <x:v>0.014849999999999999</x:v>
      </x:c>
      <x:c r="I148" s="28" t="str"/>
      <x:c r="J148" s="28" t="str">
        <x:v>ledger allocation factor</x:v>
      </x:c>
      <x:c r="K148" s="28" t="str">
        <x:v>Board-approved FY27 operating plan</x:v>
      </x:c>
      <x:c r="L148" s="34" t="str">
        <x:v>2026-06-30</x:v>
      </x:c>
      <x:c r="M148" s="28" t="str">
        <x:v>Vista ERP P&amp;L, 2025-07-01 through 2026-06-30; Operating Expense total</x:v>
      </x:c>
    </x:row>
    <x:row r="149">
      <x:c r="A149" s="37" t="str">
        <x:v>PLN-00187</x:v>
      </x:c>
      <x:c r="B149" s="28" t="str">
        <x:v>Twelve-month operating-expense reforecast</x:v>
      </x:c>
      <x:c r="C149" s="28" t="str">
        <x:v>Approved reforecast events</x:v>
      </x:c>
      <x:c r="D149" s="28" t="str">
        <x:v>Sales</x:v>
      </x:c>
      <x:c r="E149" s="28" t="str">
        <x:v>2026-07</x:v>
      </x:c>
      <x:c r="F149" s="28" t="str">
        <x:v>Approved case</x:v>
      </x:c>
      <x:c r="G149" s="28" t="str">
        <x:v>Net approved run-rate and timing adjustment</x:v>
      </x:c>
      <x:c r="H149" s="31" t="n">
        <x:v>2115.3846153846152</x:v>
      </x:c>
      <x:c r="I149" s="28" t="str"/>
      <x:c r="J149" s="28" t="str">
        <x:v>USD</x:v>
      </x:c>
      <x:c r="K149" s="28" t="str">
        <x:v>Approved hire, contract, savings, and one-time event register</x:v>
      </x:c>
      <x:c r="L149" s="34" t="str">
        <x:v>2026-06-30</x:v>
      </x:c>
      <x:c r="M149" s="28" t="str"/>
    </x:row>
    <x:row r="150">
      <x:c r="A150" s="37" t="str">
        <x:v>PLN-00188</x:v>
      </x:c>
      <x:c r="B150" s="28" t="str">
        <x:v>Twelve-month operating-expense reforecast</x:v>
      </x:c>
      <x:c r="C150" s="28" t="str">
        <x:v>Approved monthly plan</x:v>
      </x:c>
      <x:c r="D150" s="28" t="str">
        <x:v>Sales</x:v>
      </x:c>
      <x:c r="E150" s="28" t="str">
        <x:v>2026-08</x:v>
      </x:c>
      <x:c r="F150" s="28" t="str">
        <x:v>Approved case</x:v>
      </x:c>
      <x:c r="G150" s="28" t="str">
        <x:v>Controllable operating expense</x:v>
      </x:c>
      <x:c r="H150" s="31" t="n">
        <x:v>0.014849999999999999</x:v>
      </x:c>
      <x:c r="I150" s="28" t="str"/>
      <x:c r="J150" s="28" t="str">
        <x:v>ledger allocation factor</x:v>
      </x:c>
      <x:c r="K150" s="28" t="str">
        <x:v>Board-approved FY27 operating plan</x:v>
      </x:c>
      <x:c r="L150" s="34" t="str">
        <x:v>2026-06-30</x:v>
      </x:c>
      <x:c r="M150" s="28" t="str">
        <x:v>Vista ERP P&amp;L, 2025-07-01 through 2026-06-30; Operating Expense total</x:v>
      </x:c>
    </x:row>
    <x:row r="151">
      <x:c r="A151" s="37" t="str">
        <x:v>PLN-00189</x:v>
      </x:c>
      <x:c r="B151" s="28" t="str">
        <x:v>Twelve-month operating-expense reforecast</x:v>
      </x:c>
      <x:c r="C151" s="28" t="str">
        <x:v>Approved reforecast events</x:v>
      </x:c>
      <x:c r="D151" s="28" t="str">
        <x:v>Sales</x:v>
      </x:c>
      <x:c r="E151" s="28" t="str">
        <x:v>2026-08</x:v>
      </x:c>
      <x:c r="F151" s="28" t="str">
        <x:v>Approved case</x:v>
      </x:c>
      <x:c r="G151" s="28" t="str">
        <x:v>Net approved run-rate and timing adjustment</x:v>
      </x:c>
      <x:c r="H151" s="31" t="n">
        <x:v>4230.7692307692305</x:v>
      </x:c>
      <x:c r="I151" s="28" t="str"/>
      <x:c r="J151" s="28" t="str">
        <x:v>USD</x:v>
      </x:c>
      <x:c r="K151" s="28" t="str">
        <x:v>Approved hire, contract, savings, and one-time event register</x:v>
      </x:c>
      <x:c r="L151" s="34" t="str">
        <x:v>2026-06-30</x:v>
      </x:c>
      <x:c r="M151" s="28" t="str"/>
    </x:row>
    <x:row r="152">
      <x:c r="A152" s="37" t="str">
        <x:v>PLN-00190</x:v>
      </x:c>
      <x:c r="B152" s="28" t="str">
        <x:v>Twelve-month operating-expense reforecast</x:v>
      </x:c>
      <x:c r="C152" s="28" t="str">
        <x:v>Approved monthly plan</x:v>
      </x:c>
      <x:c r="D152" s="28" t="str">
        <x:v>Sales</x:v>
      </x:c>
      <x:c r="E152" s="28" t="str">
        <x:v>2026-09</x:v>
      </x:c>
      <x:c r="F152" s="28" t="str">
        <x:v>Approved case</x:v>
      </x:c>
      <x:c r="G152" s="28" t="str">
        <x:v>Controllable operating expense</x:v>
      </x:c>
      <x:c r="H152" s="31" t="n">
        <x:v>0.015</x:v>
      </x:c>
      <x:c r="I152" s="28" t="str"/>
      <x:c r="J152" s="28" t="str">
        <x:v>ledger allocation factor</x:v>
      </x:c>
      <x:c r="K152" s="28" t="str">
        <x:v>Board-approved FY27 operating plan</x:v>
      </x:c>
      <x:c r="L152" s="34" t="str">
        <x:v>2026-06-30</x:v>
      </x:c>
      <x:c r="M152" s="28" t="str">
        <x:v>Vista ERP P&amp;L, 2025-07-01 through 2026-06-30; Operating Expense total</x:v>
      </x:c>
    </x:row>
    <x:row r="153">
      <x:c r="A153" s="37" t="str">
        <x:v>PLN-00191</x:v>
      </x:c>
      <x:c r="B153" s="28" t="str">
        <x:v>Twelve-month operating-expense reforecast</x:v>
      </x:c>
      <x:c r="C153" s="28" t="str">
        <x:v>Approved reforecast events</x:v>
      </x:c>
      <x:c r="D153" s="28" t="str">
        <x:v>Sales</x:v>
      </x:c>
      <x:c r="E153" s="28" t="str">
        <x:v>2026-09</x:v>
      </x:c>
      <x:c r="F153" s="28" t="str">
        <x:v>Approved case</x:v>
      </x:c>
      <x:c r="G153" s="28" t="str">
        <x:v>Net approved run-rate and timing adjustment</x:v>
      </x:c>
      <x:c r="H153" s="31" t="n">
        <x:v>6346.153846153847</x:v>
      </x:c>
      <x:c r="I153" s="28" t="str"/>
      <x:c r="J153" s="28" t="str">
        <x:v>USD</x:v>
      </x:c>
      <x:c r="K153" s="28" t="str">
        <x:v>Approved hire, contract, savings, and one-time event register</x:v>
      </x:c>
      <x:c r="L153" s="34" t="str">
        <x:v>2026-06-30</x:v>
      </x:c>
      <x:c r="M153" s="28" t="str"/>
    </x:row>
    <x:row r="154">
      <x:c r="A154" s="37" t="str">
        <x:v>PLN-00192</x:v>
      </x:c>
      <x:c r="B154" s="28" t="str">
        <x:v>Twelve-month operating-expense reforecast</x:v>
      </x:c>
      <x:c r="C154" s="28" t="str">
        <x:v>Approved monthly plan</x:v>
      </x:c>
      <x:c r="D154" s="28" t="str">
        <x:v>Sales</x:v>
      </x:c>
      <x:c r="E154" s="28" t="str">
        <x:v>2026-10</x:v>
      </x:c>
      <x:c r="F154" s="28" t="str">
        <x:v>Approved case</x:v>
      </x:c>
      <x:c r="G154" s="28" t="str">
        <x:v>Controllable operating expense</x:v>
      </x:c>
      <x:c r="H154" s="31" t="n">
        <x:v>0.015</x:v>
      </x:c>
      <x:c r="I154" s="28" t="str"/>
      <x:c r="J154" s="28" t="str">
        <x:v>ledger allocation factor</x:v>
      </x:c>
      <x:c r="K154" s="28" t="str">
        <x:v>Board-approved FY27 operating plan</x:v>
      </x:c>
      <x:c r="L154" s="34" t="str">
        <x:v>2026-06-30</x:v>
      </x:c>
      <x:c r="M154" s="28" t="str">
        <x:v>Vista ERP P&amp;L, 2025-07-01 through 2026-06-30; Operating Expense total</x:v>
      </x:c>
    </x:row>
    <x:row r="155">
      <x:c r="A155" s="37" t="str">
        <x:v>PLN-00193</x:v>
      </x:c>
      <x:c r="B155" s="28" t="str">
        <x:v>Twelve-month operating-expense reforecast</x:v>
      </x:c>
      <x:c r="C155" s="28" t="str">
        <x:v>Approved reforecast events</x:v>
      </x:c>
      <x:c r="D155" s="28" t="str">
        <x:v>Sales</x:v>
      </x:c>
      <x:c r="E155" s="28" t="str">
        <x:v>2026-10</x:v>
      </x:c>
      <x:c r="F155" s="28" t="str">
        <x:v>Approved case</x:v>
      </x:c>
      <x:c r="G155" s="28" t="str">
        <x:v>Net approved run-rate and timing adjustment</x:v>
      </x:c>
      <x:c r="H155" s="31" t="n">
        <x:v>8461.538461538461</x:v>
      </x:c>
      <x:c r="I155" s="28" t="str"/>
      <x:c r="J155" s="28" t="str">
        <x:v>USD</x:v>
      </x:c>
      <x:c r="K155" s="28" t="str">
        <x:v>Approved hire, contract, savings, and one-time event register</x:v>
      </x:c>
      <x:c r="L155" s="34" t="str">
        <x:v>2026-06-30</x:v>
      </x:c>
      <x:c r="M155" s="28" t="str"/>
    </x:row>
    <x:row r="156">
      <x:c r="A156" s="37" t="str">
        <x:v>PLN-00194</x:v>
      </x:c>
      <x:c r="B156" s="28" t="str">
        <x:v>Twelve-month operating-expense reforecast</x:v>
      </x:c>
      <x:c r="C156" s="28" t="str">
        <x:v>Approved monthly plan</x:v>
      </x:c>
      <x:c r="D156" s="28" t="str">
        <x:v>Sales</x:v>
      </x:c>
      <x:c r="E156" s="28" t="str">
        <x:v>2026-11</x:v>
      </x:c>
      <x:c r="F156" s="28" t="str">
        <x:v>Approved case</x:v>
      </x:c>
      <x:c r="G156" s="28" t="str">
        <x:v>Controllable operating expense</x:v>
      </x:c>
      <x:c r="H156" s="31" t="n">
        <x:v>0.015</x:v>
      </x:c>
      <x:c r="I156" s="28" t="str"/>
      <x:c r="J156" s="28" t="str">
        <x:v>ledger allocation factor</x:v>
      </x:c>
      <x:c r="K156" s="28" t="str">
        <x:v>Board-approved FY27 operating plan</x:v>
      </x:c>
      <x:c r="L156" s="34" t="str">
        <x:v>2026-06-30</x:v>
      </x:c>
      <x:c r="M156" s="28" t="str">
        <x:v>Vista ERP P&amp;L, 2025-07-01 through 2026-06-30; Operating Expense total</x:v>
      </x:c>
    </x:row>
    <x:row r="157">
      <x:c r="A157" s="37" t="str">
        <x:v>PLN-00195</x:v>
      </x:c>
      <x:c r="B157" s="28" t="str">
        <x:v>Twelve-month operating-expense reforecast</x:v>
      </x:c>
      <x:c r="C157" s="28" t="str">
        <x:v>Approved reforecast events</x:v>
      </x:c>
      <x:c r="D157" s="28" t="str">
        <x:v>Sales</x:v>
      </x:c>
      <x:c r="E157" s="28" t="str">
        <x:v>2026-11</x:v>
      </x:c>
      <x:c r="F157" s="28" t="str">
        <x:v>Approved case</x:v>
      </x:c>
      <x:c r="G157" s="28" t="str">
        <x:v>Net approved run-rate and timing adjustment</x:v>
      </x:c>
      <x:c r="H157" s="31" t="n">
        <x:v>10576.923076923076</x:v>
      </x:c>
      <x:c r="I157" s="28" t="str"/>
      <x:c r="J157" s="28" t="str">
        <x:v>USD</x:v>
      </x:c>
      <x:c r="K157" s="28" t="str">
        <x:v>Approved hire, contract, savings, and one-time event register</x:v>
      </x:c>
      <x:c r="L157" s="34" t="str">
        <x:v>2026-06-30</x:v>
      </x:c>
      <x:c r="M157" s="28" t="str"/>
    </x:row>
    <x:row r="158">
      <x:c r="A158" s="37" t="str">
        <x:v>PLN-00196</x:v>
      </x:c>
      <x:c r="B158" s="28" t="str">
        <x:v>Twelve-month operating-expense reforecast</x:v>
      </x:c>
      <x:c r="C158" s="28" t="str">
        <x:v>Approved monthly plan</x:v>
      </x:c>
      <x:c r="D158" s="28" t="str">
        <x:v>Sales</x:v>
      </x:c>
      <x:c r="E158" s="28" t="str">
        <x:v>2026-12</x:v>
      </x:c>
      <x:c r="F158" s="28" t="str">
        <x:v>Approved case</x:v>
      </x:c>
      <x:c r="G158" s="28" t="str">
        <x:v>Controllable operating expense</x:v>
      </x:c>
      <x:c r="H158" s="31" t="n">
        <x:v>0.015374999999999998</x:v>
      </x:c>
      <x:c r="I158" s="28" t="str"/>
      <x:c r="J158" s="28" t="str">
        <x:v>ledger allocation factor</x:v>
      </x:c>
      <x:c r="K158" s="28" t="str">
        <x:v>Board-approved FY27 operating plan</x:v>
      </x:c>
      <x:c r="L158" s="34" t="str">
        <x:v>2026-06-30</x:v>
      </x:c>
      <x:c r="M158" s="28" t="str">
        <x:v>Vista ERP P&amp;L, 2025-07-01 through 2026-06-30; Operating Expense total</x:v>
      </x:c>
    </x:row>
    <x:row r="159">
      <x:c r="A159" s="37" t="str">
        <x:v>PLN-00197</x:v>
      </x:c>
      <x:c r="B159" s="28" t="str">
        <x:v>Twelve-month operating-expense reforecast</x:v>
      </x:c>
      <x:c r="C159" s="28" t="str">
        <x:v>Approved reforecast events</x:v>
      </x:c>
      <x:c r="D159" s="28" t="str">
        <x:v>Sales</x:v>
      </x:c>
      <x:c r="E159" s="28" t="str">
        <x:v>2026-12</x:v>
      </x:c>
      <x:c r="F159" s="28" t="str">
        <x:v>Approved case</x:v>
      </x:c>
      <x:c r="G159" s="28" t="str">
        <x:v>Net approved run-rate and timing adjustment</x:v>
      </x:c>
      <x:c r="H159" s="31" t="n">
        <x:v>12.692307692307693</x:v>
      </x:c>
      <x:c r="I159" s="28" t="str"/>
      <x:c r="J159" s="28" t="str">
        <x:v>USD thousands</x:v>
      </x:c>
      <x:c r="K159" s="28" t="str">
        <x:v>Approved hire, contract, savings, and one-time event register</x:v>
      </x:c>
      <x:c r="L159" s="34" t="str">
        <x:v>2026-06-30</x:v>
      </x:c>
      <x:c r="M159" s="28" t="str"/>
    </x:row>
    <x:row r="160">
      <x:c r="A160" s="37" t="str">
        <x:v>PLN-00198</x:v>
      </x:c>
      <x:c r="B160" s="28" t="str">
        <x:v>Twelve-month operating-expense reforecast</x:v>
      </x:c>
      <x:c r="C160" s="28" t="str">
        <x:v>Approved monthly plan</x:v>
      </x:c>
      <x:c r="D160" s="28" t="str">
        <x:v>Sales</x:v>
      </x:c>
      <x:c r="E160" s="28" t="str">
        <x:v>2027-01</x:v>
      </x:c>
      <x:c r="F160" s="28" t="str">
        <x:v>Approved case</x:v>
      </x:c>
      <x:c r="G160" s="28" t="str">
        <x:v>Controllable operating expense</x:v>
      </x:c>
      <x:c r="H160" s="31" t="n">
        <x:v>0.015374999999999998</x:v>
      </x:c>
      <x:c r="I160" s="28" t="str"/>
      <x:c r="J160" s="28" t="str">
        <x:v>ledger allocation factor</x:v>
      </x:c>
      <x:c r="K160" s="28" t="str">
        <x:v>Board-approved FY27 operating plan</x:v>
      </x:c>
      <x:c r="L160" s="34" t="str">
        <x:v>2026-06-30</x:v>
      </x:c>
      <x:c r="M160" s="28" t="str">
        <x:v>Vista ERP P&amp;L, 2025-07-01 through 2026-06-30; Operating Expense total</x:v>
      </x:c>
    </x:row>
    <x:row r="161">
      <x:c r="A161" s="37" t="str">
        <x:v>PLN-00199</x:v>
      </x:c>
      <x:c r="B161" s="28" t="str">
        <x:v>Twelve-month operating-expense reforecast</x:v>
      </x:c>
      <x:c r="C161" s="28" t="str">
        <x:v>Approved reforecast events</x:v>
      </x:c>
      <x:c r="D161" s="28" t="str">
        <x:v>Sales</x:v>
      </x:c>
      <x:c r="E161" s="28" t="str">
        <x:v>2027-01</x:v>
      </x:c>
      <x:c r="F161" s="28" t="str">
        <x:v>Approved case</x:v>
      </x:c>
      <x:c r="G161" s="28" t="str">
        <x:v>Net approved run-rate and timing adjustment</x:v>
      </x:c>
      <x:c r="H161" s="31" t="n">
        <x:v>14807.692307692309</x:v>
      </x:c>
      <x:c r="I161" s="28" t="str"/>
      <x:c r="J161" s="28" t="str">
        <x:v>USD</x:v>
      </x:c>
      <x:c r="K161" s="28" t="str">
        <x:v>Approved hire, contract, savings, and one-time event register</x:v>
      </x:c>
      <x:c r="L161" s="34" t="str">
        <x:v>2026-06-30</x:v>
      </x:c>
      <x:c r="M161" s="28" t="str"/>
    </x:row>
    <x:row r="162">
      <x:c r="A162" s="37" t="str">
        <x:v>PLN-00200</x:v>
      </x:c>
      <x:c r="B162" s="28" t="str">
        <x:v>Twelve-month operating-expense reforecast</x:v>
      </x:c>
      <x:c r="C162" s="28" t="str">
        <x:v>Approved monthly plan</x:v>
      </x:c>
      <x:c r="D162" s="28" t="str">
        <x:v>Sales</x:v>
      </x:c>
      <x:c r="E162" s="28" t="str">
        <x:v>2027-02</x:v>
      </x:c>
      <x:c r="F162" s="28" t="str">
        <x:v>Approved case</x:v>
      </x:c>
      <x:c r="G162" s="28" t="str">
        <x:v>Controllable operating expense</x:v>
      </x:c>
      <x:c r="H162" s="31" t="n">
        <x:v>0.015</x:v>
      </x:c>
      <x:c r="I162" s="28" t="str"/>
      <x:c r="J162" s="28" t="str">
        <x:v>ledger allocation factor</x:v>
      </x:c>
      <x:c r="K162" s="28" t="str">
        <x:v>Board-approved FY27 operating plan</x:v>
      </x:c>
      <x:c r="L162" s="34" t="str">
        <x:v>2026-06-30</x:v>
      </x:c>
      <x:c r="M162" s="28" t="str">
        <x:v>Vista ERP P&amp;L, 2025-07-01 through 2026-06-30; Operating Expense total</x:v>
      </x:c>
    </x:row>
    <x:row r="163">
      <x:c r="A163" s="37" t="str">
        <x:v>PLN-00201</x:v>
      </x:c>
      <x:c r="B163" s="28" t="str">
        <x:v>Twelve-month operating-expense reforecast</x:v>
      </x:c>
      <x:c r="C163" s="28" t="str">
        <x:v>Approved reforecast events</x:v>
      </x:c>
      <x:c r="D163" s="28" t="str">
        <x:v>Sales</x:v>
      </x:c>
      <x:c r="E163" s="28" t="str">
        <x:v>2027-02</x:v>
      </x:c>
      <x:c r="F163" s="28" t="str">
        <x:v>Approved case</x:v>
      </x:c>
      <x:c r="G163" s="28" t="str">
        <x:v>Net approved run-rate and timing adjustment</x:v>
      </x:c>
      <x:c r="H163" s="31" t="n">
        <x:v>16.923076923076923</x:v>
      </x:c>
      <x:c r="I163" s="28" t="str"/>
      <x:c r="J163" s="28" t="str">
        <x:v>USD thousands</x:v>
      </x:c>
      <x:c r="K163" s="28" t="str">
        <x:v>Approved hire, contract, savings, and one-time event register</x:v>
      </x:c>
      <x:c r="L163" s="34" t="str">
        <x:v>2026-06-30</x:v>
      </x:c>
      <x:c r="M163" s="28" t="str"/>
    </x:row>
    <x:row r="164">
      <x:c r="A164" s="37" t="str">
        <x:v>PLN-00202</x:v>
      </x:c>
      <x:c r="B164" s="28" t="str">
        <x:v>Twelve-month operating-expense reforecast</x:v>
      </x:c>
      <x:c r="C164" s="28" t="str">
        <x:v>Approved monthly plan</x:v>
      </x:c>
      <x:c r="D164" s="28" t="str">
        <x:v>Sales</x:v>
      </x:c>
      <x:c r="E164" s="28" t="str">
        <x:v>2027-03</x:v>
      </x:c>
      <x:c r="F164" s="28" t="str">
        <x:v>Approved case</x:v>
      </x:c>
      <x:c r="G164" s="28" t="str">
        <x:v>Controllable operating expense</x:v>
      </x:c>
      <x:c r="H164" s="31" t="n">
        <x:v>0.015</x:v>
      </x:c>
      <x:c r="I164" s="28" t="str"/>
      <x:c r="J164" s="28" t="str">
        <x:v>ledger allocation factor</x:v>
      </x:c>
      <x:c r="K164" s="28" t="str">
        <x:v>Board-approved FY27 operating plan</x:v>
      </x:c>
      <x:c r="L164" s="34" t="str">
        <x:v>2026-06-30</x:v>
      </x:c>
      <x:c r="M164" s="28" t="str">
        <x:v>Vista ERP P&amp;L, 2025-07-01 through 2026-06-30; Operating Expense total</x:v>
      </x:c>
    </x:row>
    <x:row r="165">
      <x:c r="A165" s="37" t="str">
        <x:v>PLN-00203</x:v>
      </x:c>
      <x:c r="B165" s="28" t="str">
        <x:v>Twelve-month operating-expense reforecast</x:v>
      </x:c>
      <x:c r="C165" s="28" t="str">
        <x:v>Approved reforecast events</x:v>
      </x:c>
      <x:c r="D165" s="28" t="str">
        <x:v>Sales</x:v>
      </x:c>
      <x:c r="E165" s="28" t="str">
        <x:v>2027-03</x:v>
      </x:c>
      <x:c r="F165" s="28" t="str">
        <x:v>Approved case</x:v>
      </x:c>
      <x:c r="G165" s="28" t="str">
        <x:v>Net approved run-rate and timing adjustment</x:v>
      </x:c>
      <x:c r="H165" s="31" t="n">
        <x:v>19038.46153846154</x:v>
      </x:c>
      <x:c r="I165" s="28" t="str"/>
      <x:c r="J165" s="28" t="str">
        <x:v>USD</x:v>
      </x:c>
      <x:c r="K165" s="28" t="str">
        <x:v>Approved hire, contract, savings, and one-time event register</x:v>
      </x:c>
      <x:c r="L165" s="34" t="str">
        <x:v>2026-06-30</x:v>
      </x:c>
      <x:c r="M165" s="28" t="str"/>
    </x:row>
    <x:row r="166">
      <x:c r="A166" s="37" t="str">
        <x:v>PLN-00204</x:v>
      </x:c>
      <x:c r="B166" s="28" t="str">
        <x:v>Twelve-month operating-expense reforecast</x:v>
      </x:c>
      <x:c r="C166" s="28" t="str">
        <x:v>Approved monthly plan</x:v>
      </x:c>
      <x:c r="D166" s="28" t="str">
        <x:v>Sales</x:v>
      </x:c>
      <x:c r="E166" s="28" t="str">
        <x:v>2027-04</x:v>
      </x:c>
      <x:c r="F166" s="28" t="str">
        <x:v>Approved case</x:v>
      </x:c>
      <x:c r="G166" s="28" t="str">
        <x:v>Controllable operating expense</x:v>
      </x:c>
      <x:c r="H166" s="31" t="n">
        <x:v>0.015</x:v>
      </x:c>
      <x:c r="I166" s="28" t="str"/>
      <x:c r="J166" s="28" t="str">
        <x:v>ledger allocation factor</x:v>
      </x:c>
      <x:c r="K166" s="28" t="str">
        <x:v>Board-approved FY27 operating plan</x:v>
      </x:c>
      <x:c r="L166" s="34" t="str">
        <x:v>2026-06-30</x:v>
      </x:c>
      <x:c r="M166" s="28" t="str">
        <x:v>Vista ERP P&amp;L, 2025-07-01 through 2026-06-30; Operating Expense total</x:v>
      </x:c>
    </x:row>
    <x:row r="167">
      <x:c r="A167" s="37" t="str">
        <x:v>PLN-00205</x:v>
      </x:c>
      <x:c r="B167" s="28" t="str">
        <x:v>Twelve-month operating-expense reforecast</x:v>
      </x:c>
      <x:c r="C167" s="28" t="str">
        <x:v>Approved reforecast events</x:v>
      </x:c>
      <x:c r="D167" s="28" t="str">
        <x:v>Sales</x:v>
      </x:c>
      <x:c r="E167" s="28" t="str">
        <x:v>2027-04</x:v>
      </x:c>
      <x:c r="F167" s="28" t="str">
        <x:v>Approved case</x:v>
      </x:c>
      <x:c r="G167" s="28" t="str">
        <x:v>Net approved run-rate and timing adjustment</x:v>
      </x:c>
      <x:c r="H167" s="31" t="n">
        <x:v>21.153846153846153</x:v>
      </x:c>
      <x:c r="I167" s="28" t="str"/>
      <x:c r="J167" s="28" t="str">
        <x:v>USD thousands</x:v>
      </x:c>
      <x:c r="K167" s="28" t="str">
        <x:v>Approved hire, contract, savings, and one-time event register</x:v>
      </x:c>
      <x:c r="L167" s="34" t="str">
        <x:v>2026-06-30</x:v>
      </x:c>
      <x:c r="M167" s="28" t="str"/>
    </x:row>
    <x:row r="168">
      <x:c r="A168" s="37" t="str">
        <x:v>PLN-00206</x:v>
      </x:c>
      <x:c r="B168" s="28" t="str">
        <x:v>Twelve-month operating-expense reforecast</x:v>
      </x:c>
      <x:c r="C168" s="28" t="str">
        <x:v>Approved monthly plan</x:v>
      </x:c>
      <x:c r="D168" s="28" t="str">
        <x:v>Sales</x:v>
      </x:c>
      <x:c r="E168" s="28" t="str">
        <x:v>2027-05</x:v>
      </x:c>
      <x:c r="F168" s="28" t="str">
        <x:v>Approved case</x:v>
      </x:c>
      <x:c r="G168" s="28" t="str">
        <x:v>Controllable operating expense</x:v>
      </x:c>
      <x:c r="H168" s="31" t="n">
        <x:v>0.015</x:v>
      </x:c>
      <x:c r="I168" s="28" t="str"/>
      <x:c r="J168" s="28" t="str">
        <x:v>ledger allocation factor</x:v>
      </x:c>
      <x:c r="K168" s="28" t="str">
        <x:v>Board-approved FY27 operating plan</x:v>
      </x:c>
      <x:c r="L168" s="34" t="str">
        <x:v>2026-06-30</x:v>
      </x:c>
      <x:c r="M168" s="28" t="str">
        <x:v>Vista ERP P&amp;L, 2025-07-01 through 2026-06-30; Operating Expense total</x:v>
      </x:c>
    </x:row>
    <x:row r="169">
      <x:c r="A169" s="37" t="str">
        <x:v>PLN-00207</x:v>
      </x:c>
      <x:c r="B169" s="28" t="str">
        <x:v>Twelve-month operating-expense reforecast</x:v>
      </x:c>
      <x:c r="C169" s="28" t="str">
        <x:v>Approved reforecast events</x:v>
      </x:c>
      <x:c r="D169" s="28" t="str">
        <x:v>Sales</x:v>
      </x:c>
      <x:c r="E169" s="28" t="str">
        <x:v>2027-05</x:v>
      </x:c>
      <x:c r="F169" s="28" t="str">
        <x:v>Approved case</x:v>
      </x:c>
      <x:c r="G169" s="28" t="str">
        <x:v>Net approved run-rate and timing adjustment</x:v>
      </x:c>
      <x:c r="H169" s="31" t="n">
        <x:v>23269.23076923077</x:v>
      </x:c>
      <x:c r="I169" s="28" t="str"/>
      <x:c r="J169" s="28" t="str">
        <x:v>USD</x:v>
      </x:c>
      <x:c r="K169" s="28" t="str">
        <x:v>Approved hire, contract, savings, and one-time event register</x:v>
      </x:c>
      <x:c r="L169" s="34" t="str">
        <x:v>2026-06-30</x:v>
      </x:c>
      <x:c r="M169" s="28" t="str"/>
    </x:row>
    <x:row r="170">
      <x:c r="A170" s="37" t="str">
        <x:v>PLN-00208</x:v>
      </x:c>
      <x:c r="B170" s="28" t="str">
        <x:v>Twelve-month operating-expense reforecast</x:v>
      </x:c>
      <x:c r="C170" s="28" t="str">
        <x:v>Approved monthly plan</x:v>
      </x:c>
      <x:c r="D170" s="28" t="str">
        <x:v>Sales</x:v>
      </x:c>
      <x:c r="E170" s="28" t="str">
        <x:v>2027-06</x:v>
      </x:c>
      <x:c r="F170" s="28" t="str">
        <x:v>Approved case</x:v>
      </x:c>
      <x:c r="G170" s="28" t="str">
        <x:v>Controllable operating expense</x:v>
      </x:c>
      <x:c r="H170" s="31" t="n">
        <x:v>0.015</x:v>
      </x:c>
      <x:c r="I170" s="28" t="str"/>
      <x:c r="J170" s="28" t="str">
        <x:v>ledger allocation factor</x:v>
      </x:c>
      <x:c r="K170" s="28" t="str">
        <x:v>Board-approved FY27 operating plan</x:v>
      </x:c>
      <x:c r="L170" s="34" t="str">
        <x:v>2026-06-30</x:v>
      </x:c>
      <x:c r="M170" s="28" t="str">
        <x:v>Vista ERP P&amp;L, 2025-07-01 through 2026-06-30; Operating Expense total</x:v>
      </x:c>
    </x:row>
    <x:row r="171">
      <x:c r="A171" s="37" t="str">
        <x:v>PLN-00209</x:v>
      </x:c>
      <x:c r="B171" s="28" t="str">
        <x:v>Twelve-month operating-expense reforecast</x:v>
      </x:c>
      <x:c r="C171" s="28" t="str">
        <x:v>Approved reforecast events</x:v>
      </x:c>
      <x:c r="D171" s="28" t="str">
        <x:v>Sales</x:v>
      </x:c>
      <x:c r="E171" s="28" t="str">
        <x:v>2027-06</x:v>
      </x:c>
      <x:c r="F171" s="28" t="str">
        <x:v>Approved case</x:v>
      </x:c>
      <x:c r="G171" s="28" t="str">
        <x:v>Net approved run-rate and timing adjustment</x:v>
      </x:c>
      <x:c r="H171" s="31" t="n">
        <x:v>25.384615384615387</x:v>
      </x:c>
      <x:c r="I171" s="28" t="str"/>
      <x:c r="J171" s="28" t="str">
        <x:v>USD thousands</x:v>
      </x:c>
      <x:c r="K171" s="28" t="str">
        <x:v>Approved hire, contract, savings, and one-time event register</x:v>
      </x:c>
      <x:c r="L171" s="34" t="str">
        <x:v>2026-06-30</x:v>
      </x:c>
      <x:c r="M171" s="28" t="str"/>
    </x:row>
    <x:row r="172">
      <x:c r="A172" s="37" t="str">
        <x:v>PLN-00210</x:v>
      </x:c>
      <x:c r="B172" s="28" t="str">
        <x:v>Twelve-month operating-expense reforecast</x:v>
      </x:c>
      <x:c r="C172" s="28" t="str">
        <x:v>Approved monthly plan</x:v>
      </x:c>
      <x:c r="D172" s="28" t="str">
        <x:v>Finance</x:v>
      </x:c>
      <x:c r="E172" s="28" t="str">
        <x:v>2026-07</x:v>
      </x:c>
      <x:c r="F172" s="28" t="str">
        <x:v>Approved case</x:v>
      </x:c>
      <x:c r="G172" s="28" t="str">
        <x:v>Controllable operating expense</x:v>
      </x:c>
      <x:c r="H172" s="31" t="n">
        <x:v>0.011550000000000001</x:v>
      </x:c>
      <x:c r="I172" s="28" t="str"/>
      <x:c r="J172" s="28" t="str">
        <x:v>ledger allocation factor</x:v>
      </x:c>
      <x:c r="K172" s="28" t="str">
        <x:v>Board-approved FY27 operating plan</x:v>
      </x:c>
      <x:c r="L172" s="34" t="str">
        <x:v>2026-06-30</x:v>
      </x:c>
      <x:c r="M172" s="28" t="str">
        <x:v>Vista ERP P&amp;L, 2025-07-01 through 2026-06-30; Operating Expense total</x:v>
      </x:c>
    </x:row>
    <x:row r="173">
      <x:c r="A173" s="37" t="str">
        <x:v>PLN-00211</x:v>
      </x:c>
      <x:c r="B173" s="28" t="str">
        <x:v>Twelve-month operating-expense reforecast</x:v>
      </x:c>
      <x:c r="C173" s="28" t="str">
        <x:v>Approved reforecast events</x:v>
      </x:c>
      <x:c r="D173" s="28" t="str">
        <x:v>Finance</x:v>
      </x:c>
      <x:c r="E173" s="28" t="str">
        <x:v>2026-07</x:v>
      </x:c>
      <x:c r="F173" s="28" t="str">
        <x:v>Approved case</x:v>
      </x:c>
      <x:c r="G173" s="28" t="str">
        <x:v>Net approved run-rate and timing adjustment</x:v>
      </x:c>
      <x:c r="H173" s="31" t="n">
        <x:v>-923.0769230769231</x:v>
      </x:c>
      <x:c r="I173" s="28" t="str"/>
      <x:c r="J173" s="28" t="str">
        <x:v>USD</x:v>
      </x:c>
      <x:c r="K173" s="28" t="str">
        <x:v>Approved hire, contract, savings, and one-time event register</x:v>
      </x:c>
      <x:c r="L173" s="34" t="str">
        <x:v>2026-06-30</x:v>
      </x:c>
      <x:c r="M173" s="28" t="str"/>
    </x:row>
    <x:row r="174">
      <x:c r="A174" s="37" t="str">
        <x:v>PLN-00212</x:v>
      </x:c>
      <x:c r="B174" s="28" t="str">
        <x:v>Twelve-month operating-expense reforecast</x:v>
      </x:c>
      <x:c r="C174" s="28" t="str">
        <x:v>Approved monthly plan</x:v>
      </x:c>
      <x:c r="D174" s="28" t="str">
        <x:v>Finance</x:v>
      </x:c>
      <x:c r="E174" s="28" t="str">
        <x:v>2026-08</x:v>
      </x:c>
      <x:c r="F174" s="28" t="str">
        <x:v>Approved case</x:v>
      </x:c>
      <x:c r="G174" s="28" t="str">
        <x:v>Controllable operating expense</x:v>
      </x:c>
      <x:c r="H174" s="31" t="n">
        <x:v>0.011550000000000001</x:v>
      </x:c>
      <x:c r="I174" s="28" t="str"/>
      <x:c r="J174" s="28" t="str">
        <x:v>ledger allocation factor</x:v>
      </x:c>
      <x:c r="K174" s="28" t="str">
        <x:v>Board-approved FY27 operating plan</x:v>
      </x:c>
      <x:c r="L174" s="34" t="str">
        <x:v>2026-06-30</x:v>
      </x:c>
      <x:c r="M174" s="28" t="str">
        <x:v>Vista ERP P&amp;L, 2025-07-01 through 2026-06-30; Operating Expense total</x:v>
      </x:c>
    </x:row>
    <x:row r="175">
      <x:c r="A175" s="37" t="str">
        <x:v>PLN-00213</x:v>
      </x:c>
      <x:c r="B175" s="28" t="str">
        <x:v>Twelve-month operating-expense reforecast</x:v>
      </x:c>
      <x:c r="C175" s="28" t="str">
        <x:v>Approved reforecast events</x:v>
      </x:c>
      <x:c r="D175" s="28" t="str">
        <x:v>Finance</x:v>
      </x:c>
      <x:c r="E175" s="28" t="str">
        <x:v>2026-08</x:v>
      </x:c>
      <x:c r="F175" s="28" t="str">
        <x:v>Approved case</x:v>
      </x:c>
      <x:c r="G175" s="28" t="str">
        <x:v>Net approved run-rate and timing adjustment</x:v>
      </x:c>
      <x:c r="H175" s="31" t="n">
        <x:v>-1846.1538461538462</x:v>
      </x:c>
      <x:c r="I175" s="28" t="str"/>
      <x:c r="J175" s="28" t="str">
        <x:v>USD</x:v>
      </x:c>
      <x:c r="K175" s="28" t="str">
        <x:v>Approved hire, contract, savings, and one-time event register</x:v>
      </x:c>
      <x:c r="L175" s="34" t="str">
        <x:v>2026-06-30</x:v>
      </x:c>
      <x:c r="M175" s="28" t="str"/>
    </x:row>
    <x:row r="176">
      <x:c r="A176" s="37" t="str">
        <x:v>PLN-00214</x:v>
      </x:c>
      <x:c r="B176" s="28" t="str">
        <x:v>Twelve-month operating-expense reforecast</x:v>
      </x:c>
      <x:c r="C176" s="28" t="str">
        <x:v>Approved monthly plan</x:v>
      </x:c>
      <x:c r="D176" s="28" t="str">
        <x:v>Finance</x:v>
      </x:c>
      <x:c r="E176" s="28" t="str">
        <x:v>2026-09</x:v>
      </x:c>
      <x:c r="F176" s="28" t="str">
        <x:v>Approved case</x:v>
      </x:c>
      <x:c r="G176" s="28" t="str">
        <x:v>Controllable operating expense</x:v>
      </x:c>
      <x:c r="H176" s="31" t="n">
        <x:v>0.011666666666666667</x:v>
      </x:c>
      <x:c r="I176" s="28" t="str"/>
      <x:c r="J176" s="28" t="str">
        <x:v>ledger allocation factor</x:v>
      </x:c>
      <x:c r="K176" s="28" t="str">
        <x:v>Board-approved FY27 operating plan</x:v>
      </x:c>
      <x:c r="L176" s="34" t="str">
        <x:v>2026-06-30</x:v>
      </x:c>
      <x:c r="M176" s="28" t="str">
        <x:v>Vista ERP P&amp;L, 2025-07-01 through 2026-06-30; Operating Expense total</x:v>
      </x:c>
    </x:row>
    <x:row r="177">
      <x:c r="A177" s="37" t="str">
        <x:v>PLN-00215</x:v>
      </x:c>
      <x:c r="B177" s="28" t="str">
        <x:v>Twelve-month operating-expense reforecast</x:v>
      </x:c>
      <x:c r="C177" s="28" t="str">
        <x:v>Approved reforecast events</x:v>
      </x:c>
      <x:c r="D177" s="28" t="str">
        <x:v>Finance</x:v>
      </x:c>
      <x:c r="E177" s="28" t="str">
        <x:v>2026-09</x:v>
      </x:c>
      <x:c r="F177" s="28" t="str">
        <x:v>Approved case</x:v>
      </x:c>
      <x:c r="G177" s="28" t="str">
        <x:v>Net approved run-rate and timing adjustment</x:v>
      </x:c>
      <x:c r="H177" s="31" t="n">
        <x:v>-2769.2307692307695</x:v>
      </x:c>
      <x:c r="I177" s="28" t="str"/>
      <x:c r="J177" s="28" t="str">
        <x:v>USD</x:v>
      </x:c>
      <x:c r="K177" s="28" t="str">
        <x:v>Approved hire, contract, savings, and one-time event register</x:v>
      </x:c>
      <x:c r="L177" s="34" t="str">
        <x:v>2026-06-30</x:v>
      </x:c>
      <x:c r="M177" s="28" t="str"/>
    </x:row>
    <x:row r="178">
      <x:c r="A178" s="37" t="str">
        <x:v>PLN-00216</x:v>
      </x:c>
      <x:c r="B178" s="28" t="str">
        <x:v>Twelve-month operating-expense reforecast</x:v>
      </x:c>
      <x:c r="C178" s="28" t="str">
        <x:v>Approved monthly plan</x:v>
      </x:c>
      <x:c r="D178" s="28" t="str">
        <x:v>Finance</x:v>
      </x:c>
      <x:c r="E178" s="28" t="str">
        <x:v>2026-10</x:v>
      </x:c>
      <x:c r="F178" s="28" t="str">
        <x:v>Approved case</x:v>
      </x:c>
      <x:c r="G178" s="28" t="str">
        <x:v>Controllable operating expense</x:v>
      </x:c>
      <x:c r="H178" s="31" t="n">
        <x:v>0.011666666666666667</x:v>
      </x:c>
      <x:c r="I178" s="28" t="str"/>
      <x:c r="J178" s="28" t="str">
        <x:v>ledger allocation factor</x:v>
      </x:c>
      <x:c r="K178" s="28" t="str">
        <x:v>Board-approved FY27 operating plan</x:v>
      </x:c>
      <x:c r="L178" s="34" t="str">
        <x:v>2026-06-30</x:v>
      </x:c>
      <x:c r="M178" s="28" t="str">
        <x:v>Vista ERP P&amp;L, 2025-07-01 through 2026-06-30; Operating Expense total</x:v>
      </x:c>
    </x:row>
    <x:row r="179">
      <x:c r="A179" s="37" t="str">
        <x:v>PLN-00217</x:v>
      </x:c>
      <x:c r="B179" s="28" t="str">
        <x:v>Twelve-month operating-expense reforecast</x:v>
      </x:c>
      <x:c r="C179" s="28" t="str">
        <x:v>Approved reforecast events</x:v>
      </x:c>
      <x:c r="D179" s="28" t="str">
        <x:v>Finance</x:v>
      </x:c>
      <x:c r="E179" s="28" t="str">
        <x:v>2026-10</x:v>
      </x:c>
      <x:c r="F179" s="28" t="str">
        <x:v>Approved case</x:v>
      </x:c>
      <x:c r="G179" s="28" t="str">
        <x:v>Net approved run-rate and timing adjustment</x:v>
      </x:c>
      <x:c r="H179" s="31" t="n">
        <x:v>-3692.3076923076924</x:v>
      </x:c>
      <x:c r="I179" s="28" t="str"/>
      <x:c r="J179" s="28" t="str">
        <x:v>USD</x:v>
      </x:c>
      <x:c r="K179" s="28" t="str">
        <x:v>Approved hire, contract, savings, and one-time event register</x:v>
      </x:c>
      <x:c r="L179" s="34" t="str">
        <x:v>2026-06-30</x:v>
      </x:c>
      <x:c r="M179" s="28" t="str"/>
    </x:row>
    <x:row r="180">
      <x:c r="A180" s="37" t="str">
        <x:v>PLN-00218</x:v>
      </x:c>
      <x:c r="B180" s="28" t="str">
        <x:v>Twelve-month operating-expense reforecast</x:v>
      </x:c>
      <x:c r="C180" s="28" t="str">
        <x:v>Approved monthly plan</x:v>
      </x:c>
      <x:c r="D180" s="28" t="str">
        <x:v>Finance</x:v>
      </x:c>
      <x:c r="E180" s="28" t="str">
        <x:v>2026-11</x:v>
      </x:c>
      <x:c r="F180" s="28" t="str">
        <x:v>Approved case</x:v>
      </x:c>
      <x:c r="G180" s="28" t="str">
        <x:v>Controllable operating expense</x:v>
      </x:c>
      <x:c r="H180" s="31" t="n">
        <x:v>0.011666666666666667</x:v>
      </x:c>
      <x:c r="I180" s="28" t="str"/>
      <x:c r="J180" s="28" t="str">
        <x:v>ledger allocation factor</x:v>
      </x:c>
      <x:c r="K180" s="28" t="str">
        <x:v>Board-approved FY27 operating plan</x:v>
      </x:c>
      <x:c r="L180" s="34" t="str">
        <x:v>2026-06-30</x:v>
      </x:c>
      <x:c r="M180" s="28" t="str">
        <x:v>Vista ERP P&amp;L, 2025-07-01 through 2026-06-30; Operating Expense total</x:v>
      </x:c>
    </x:row>
    <x:row r="181">
      <x:c r="A181" s="37" t="str">
        <x:v>PLN-00219</x:v>
      </x:c>
      <x:c r="B181" s="28" t="str">
        <x:v>Twelve-month operating-expense reforecast</x:v>
      </x:c>
      <x:c r="C181" s="28" t="str">
        <x:v>Approved reforecast events</x:v>
      </x:c>
      <x:c r="D181" s="28" t="str">
        <x:v>Finance</x:v>
      </x:c>
      <x:c r="E181" s="28" t="str">
        <x:v>2026-11</x:v>
      </x:c>
      <x:c r="F181" s="28" t="str">
        <x:v>Approved case</x:v>
      </x:c>
      <x:c r="G181" s="28" t="str">
        <x:v>Net approved run-rate and timing adjustment</x:v>
      </x:c>
      <x:c r="H181" s="31" t="n">
        <x:v>-4615.384615384615</x:v>
      </x:c>
      <x:c r="I181" s="28" t="str"/>
      <x:c r="J181" s="28" t="str">
        <x:v>USD</x:v>
      </x:c>
      <x:c r="K181" s="28" t="str">
        <x:v>Approved hire, contract, savings, and one-time event register</x:v>
      </x:c>
      <x:c r="L181" s="34" t="str">
        <x:v>2026-06-30</x:v>
      </x:c>
      <x:c r="M181" s="28" t="str"/>
    </x:row>
    <x:row r="182">
      <x:c r="A182" s="37" t="str">
        <x:v>PLN-00220</x:v>
      </x:c>
      <x:c r="B182" s="28" t="str">
        <x:v>Twelve-month operating-expense reforecast</x:v>
      </x:c>
      <x:c r="C182" s="28" t="str">
        <x:v>Approved monthly plan</x:v>
      </x:c>
      <x:c r="D182" s="28" t="str">
        <x:v>Finance</x:v>
      </x:c>
      <x:c r="E182" s="28" t="str">
        <x:v>2026-12</x:v>
      </x:c>
      <x:c r="F182" s="28" t="str">
        <x:v>Approved case</x:v>
      </x:c>
      <x:c r="G182" s="28" t="str">
        <x:v>Controllable operating expense</x:v>
      </x:c>
      <x:c r="H182" s="31" t="n">
        <x:v>0.011958333333333333</x:v>
      </x:c>
      <x:c r="I182" s="28" t="str"/>
      <x:c r="J182" s="28" t="str">
        <x:v>ledger allocation factor</x:v>
      </x:c>
      <x:c r="K182" s="28" t="str">
        <x:v>Board-approved FY27 operating plan</x:v>
      </x:c>
      <x:c r="L182" s="34" t="str">
        <x:v>2026-06-30</x:v>
      </x:c>
      <x:c r="M182" s="28" t="str">
        <x:v>Vista ERP P&amp;L, 2025-07-01 through 2026-06-30; Operating Expense total</x:v>
      </x:c>
    </x:row>
    <x:row r="183">
      <x:c r="A183" s="37" t="str">
        <x:v>PLN-00221</x:v>
      </x:c>
      <x:c r="B183" s="28" t="str">
        <x:v>Twelve-month operating-expense reforecast</x:v>
      </x:c>
      <x:c r="C183" s="28" t="str">
        <x:v>Approved reforecast events</x:v>
      </x:c>
      <x:c r="D183" s="28" t="str">
        <x:v>Finance</x:v>
      </x:c>
      <x:c r="E183" s="28" t="str">
        <x:v>2026-12</x:v>
      </x:c>
      <x:c r="F183" s="28" t="str">
        <x:v>Approved case</x:v>
      </x:c>
      <x:c r="G183" s="28" t="str">
        <x:v>Net approved run-rate and timing adjustment</x:v>
      </x:c>
      <x:c r="H183" s="31" t="n">
        <x:v>-5538.461538461539</x:v>
      </x:c>
      <x:c r="I183" s="28" t="str"/>
      <x:c r="J183" s="28" t="str">
        <x:v>USD</x:v>
      </x:c>
      <x:c r="K183" s="28" t="str">
        <x:v>Approved hire, contract, savings, and one-time event register</x:v>
      </x:c>
      <x:c r="L183" s="34" t="str">
        <x:v>2026-06-30</x:v>
      </x:c>
      <x:c r="M183" s="28" t="str"/>
    </x:row>
    <x:row r="184">
      <x:c r="A184" s="37" t="str">
        <x:v>PLN-00222</x:v>
      </x:c>
      <x:c r="B184" s="28" t="str">
        <x:v>Twelve-month operating-expense reforecast</x:v>
      </x:c>
      <x:c r="C184" s="28" t="str">
        <x:v>Approved monthly plan</x:v>
      </x:c>
      <x:c r="D184" s="28" t="str">
        <x:v>Finance</x:v>
      </x:c>
      <x:c r="E184" s="28" t="str">
        <x:v>2027-01</x:v>
      </x:c>
      <x:c r="F184" s="28" t="str">
        <x:v>Approved case</x:v>
      </x:c>
      <x:c r="G184" s="28" t="str">
        <x:v>Controllable operating expense</x:v>
      </x:c>
      <x:c r="H184" s="31" t="n">
        <x:v>0.011958333333333333</x:v>
      </x:c>
      <x:c r="I184" s="28" t="str"/>
      <x:c r="J184" s="28" t="str">
        <x:v>ledger allocation factor</x:v>
      </x:c>
      <x:c r="K184" s="28" t="str">
        <x:v>Board-approved FY27 operating plan</x:v>
      </x:c>
      <x:c r="L184" s="34" t="str">
        <x:v>2026-06-30</x:v>
      </x:c>
      <x:c r="M184" s="28" t="str">
        <x:v>Vista ERP P&amp;L, 2025-07-01 through 2026-06-30; Operating Expense total</x:v>
      </x:c>
    </x:row>
    <x:row r="185">
      <x:c r="A185" s="37" t="str">
        <x:v>PLN-00223</x:v>
      </x:c>
      <x:c r="B185" s="28" t="str">
        <x:v>Twelve-month operating-expense reforecast</x:v>
      </x:c>
      <x:c r="C185" s="28" t="str">
        <x:v>Approved reforecast events</x:v>
      </x:c>
      <x:c r="D185" s="28" t="str">
        <x:v>Finance</x:v>
      </x:c>
      <x:c r="E185" s="28" t="str">
        <x:v>2027-01</x:v>
      </x:c>
      <x:c r="F185" s="28" t="str">
        <x:v>Approved case</x:v>
      </x:c>
      <x:c r="G185" s="28" t="str">
        <x:v>Net approved run-rate and timing adjustment</x:v>
      </x:c>
      <x:c r="H185" s="31" t="n">
        <x:v>-6461.538461538462</x:v>
      </x:c>
      <x:c r="I185" s="28" t="str"/>
      <x:c r="J185" s="28" t="str">
        <x:v>USD</x:v>
      </x:c>
      <x:c r="K185" s="28" t="str">
        <x:v>Approved hire, contract, savings, and one-time event register</x:v>
      </x:c>
      <x:c r="L185" s="34" t="str">
        <x:v>2026-06-30</x:v>
      </x:c>
      <x:c r="M185" s="28" t="str"/>
    </x:row>
    <x:row r="186">
      <x:c r="A186" s="37" t="str">
        <x:v>PLN-00224</x:v>
      </x:c>
      <x:c r="B186" s="28" t="str">
        <x:v>Twelve-month operating-expense reforecast</x:v>
      </x:c>
      <x:c r="C186" s="28" t="str">
        <x:v>Approved monthly plan</x:v>
      </x:c>
      <x:c r="D186" s="28" t="str">
        <x:v>Finance</x:v>
      </x:c>
      <x:c r="E186" s="28" t="str">
        <x:v>2027-02</x:v>
      </x:c>
      <x:c r="F186" s="28" t="str">
        <x:v>Approved case</x:v>
      </x:c>
      <x:c r="G186" s="28" t="str">
        <x:v>Controllable operating expense</x:v>
      </x:c>
      <x:c r="H186" s="31" t="n">
        <x:v>0.011666666666666667</x:v>
      </x:c>
      <x:c r="I186" s="28" t="str"/>
      <x:c r="J186" s="28" t="str">
        <x:v>ledger allocation factor</x:v>
      </x:c>
      <x:c r="K186" s="28" t="str">
        <x:v>Board-approved FY27 operating plan</x:v>
      </x:c>
      <x:c r="L186" s="34" t="str">
        <x:v>2026-06-30</x:v>
      </x:c>
      <x:c r="M186" s="28" t="str">
        <x:v>Vista ERP P&amp;L, 2025-07-01 through 2026-06-30; Operating Expense total</x:v>
      </x:c>
    </x:row>
    <x:row r="187">
      <x:c r="A187" s="37" t="str">
        <x:v>PLN-00225</x:v>
      </x:c>
      <x:c r="B187" s="28" t="str">
        <x:v>Twelve-month operating-expense reforecast</x:v>
      </x:c>
      <x:c r="C187" s="28" t="str">
        <x:v>Approved reforecast events</x:v>
      </x:c>
      <x:c r="D187" s="28" t="str">
        <x:v>Finance</x:v>
      </x:c>
      <x:c r="E187" s="28" t="str">
        <x:v>2027-02</x:v>
      </x:c>
      <x:c r="F187" s="28" t="str">
        <x:v>Approved case</x:v>
      </x:c>
      <x:c r="G187" s="28" t="str">
        <x:v>Net approved run-rate and timing adjustment</x:v>
      </x:c>
      <x:c r="H187" s="31" t="n">
        <x:v>-7384.615384615385</x:v>
      </x:c>
      <x:c r="I187" s="28" t="str"/>
      <x:c r="J187" s="28" t="str">
        <x:v>USD</x:v>
      </x:c>
      <x:c r="K187" s="28" t="str">
        <x:v>Approved hire, contract, savings, and one-time event register</x:v>
      </x:c>
      <x:c r="L187" s="34" t="str">
        <x:v>2026-06-30</x:v>
      </x:c>
      <x:c r="M187" s="28" t="str"/>
    </x:row>
    <x:row r="188">
      <x:c r="A188" s="37" t="str">
        <x:v>PLN-00226</x:v>
      </x:c>
      <x:c r="B188" s="28" t="str">
        <x:v>Twelve-month operating-expense reforecast</x:v>
      </x:c>
      <x:c r="C188" s="28" t="str">
        <x:v>Approved monthly plan</x:v>
      </x:c>
      <x:c r="D188" s="28" t="str">
        <x:v>Finance</x:v>
      </x:c>
      <x:c r="E188" s="28" t="str">
        <x:v>2027-03</x:v>
      </x:c>
      <x:c r="F188" s="28" t="str">
        <x:v>Approved case</x:v>
      </x:c>
      <x:c r="G188" s="28" t="str">
        <x:v>Controllable operating expense</x:v>
      </x:c>
      <x:c r="H188" s="31" t="n">
        <x:v>0.011666666666666667</x:v>
      </x:c>
      <x:c r="I188" s="28" t="str"/>
      <x:c r="J188" s="28" t="str">
        <x:v>ledger allocation factor</x:v>
      </x:c>
      <x:c r="K188" s="28" t="str">
        <x:v>Board-approved FY27 operating plan</x:v>
      </x:c>
      <x:c r="L188" s="34" t="str">
        <x:v>2026-06-30</x:v>
      </x:c>
      <x:c r="M188" s="28" t="str">
        <x:v>Vista ERP P&amp;L, 2025-07-01 through 2026-06-30; Operating Expense total</x:v>
      </x:c>
    </x:row>
    <x:row r="189">
      <x:c r="A189" s="37" t="str">
        <x:v>PLN-00227</x:v>
      </x:c>
      <x:c r="B189" s="28" t="str">
        <x:v>Twelve-month operating-expense reforecast</x:v>
      </x:c>
      <x:c r="C189" s="28" t="str">
        <x:v>Approved reforecast events</x:v>
      </x:c>
      <x:c r="D189" s="28" t="str">
        <x:v>Finance</x:v>
      </x:c>
      <x:c r="E189" s="28" t="str">
        <x:v>2027-03</x:v>
      </x:c>
      <x:c r="F189" s="28" t="str">
        <x:v>Approved case</x:v>
      </x:c>
      <x:c r="G189" s="28" t="str">
        <x:v>Net approved run-rate and timing adjustment</x:v>
      </x:c>
      <x:c r="H189" s="31" t="n">
        <x:v>-8307.692307692309</x:v>
      </x:c>
      <x:c r="I189" s="28" t="str"/>
      <x:c r="J189" s="28" t="str">
        <x:v>USD</x:v>
      </x:c>
      <x:c r="K189" s="28" t="str">
        <x:v>Approved hire, contract, savings, and one-time event register</x:v>
      </x:c>
      <x:c r="L189" s="34" t="str">
        <x:v>2026-06-30</x:v>
      </x:c>
      <x:c r="M189" s="28" t="str"/>
    </x:row>
    <x:row r="190">
      <x:c r="A190" s="37" t="str">
        <x:v>PLN-00228</x:v>
      </x:c>
      <x:c r="B190" s="28" t="str">
        <x:v>Twelve-month operating-expense reforecast</x:v>
      </x:c>
      <x:c r="C190" s="28" t="str">
        <x:v>Approved monthly plan</x:v>
      </x:c>
      <x:c r="D190" s="28" t="str">
        <x:v>Finance</x:v>
      </x:c>
      <x:c r="E190" s="28" t="str">
        <x:v>2027-04</x:v>
      </x:c>
      <x:c r="F190" s="28" t="str">
        <x:v>Approved case</x:v>
      </x:c>
      <x:c r="G190" s="28" t="str">
        <x:v>Controllable operating expense</x:v>
      </x:c>
      <x:c r="H190" s="31" t="n">
        <x:v>0.011666666666666667</x:v>
      </x:c>
      <x:c r="I190" s="28" t="str"/>
      <x:c r="J190" s="28" t="str">
        <x:v>ledger allocation factor</x:v>
      </x:c>
      <x:c r="K190" s="28" t="str">
        <x:v>Board-approved FY27 operating plan</x:v>
      </x:c>
      <x:c r="L190" s="34" t="str">
        <x:v>2026-06-30</x:v>
      </x:c>
      <x:c r="M190" s="28" t="str">
        <x:v>Vista ERP P&amp;L, 2025-07-01 through 2026-06-30; Operating Expense total</x:v>
      </x:c>
    </x:row>
    <x:row r="191">
      <x:c r="A191" s="37" t="str">
        <x:v>PLN-00229</x:v>
      </x:c>
      <x:c r="B191" s="28" t="str">
        <x:v>Twelve-month operating-expense reforecast</x:v>
      </x:c>
      <x:c r="C191" s="28" t="str">
        <x:v>Approved reforecast events</x:v>
      </x:c>
      <x:c r="D191" s="28" t="str">
        <x:v>Finance</x:v>
      </x:c>
      <x:c r="E191" s="28" t="str">
        <x:v>2027-04</x:v>
      </x:c>
      <x:c r="F191" s="28" t="str">
        <x:v>Approved case</x:v>
      </x:c>
      <x:c r="G191" s="28" t="str">
        <x:v>Net approved run-rate and timing adjustment</x:v>
      </x:c>
      <x:c r="H191" s="31" t="n">
        <x:v>-9230.76923076923</x:v>
      </x:c>
      <x:c r="I191" s="28" t="str"/>
      <x:c r="J191" s="28" t="str">
        <x:v>USD</x:v>
      </x:c>
      <x:c r="K191" s="28" t="str">
        <x:v>Approved hire, contract, savings, and one-time event register</x:v>
      </x:c>
      <x:c r="L191" s="34" t="str">
        <x:v>2026-06-30</x:v>
      </x:c>
      <x:c r="M191" s="28" t="str"/>
    </x:row>
    <x:row r="192">
      <x:c r="A192" s="37" t="str">
        <x:v>PLN-00230</x:v>
      </x:c>
      <x:c r="B192" s="28" t="str">
        <x:v>Twelve-month operating-expense reforecast</x:v>
      </x:c>
      <x:c r="C192" s="28" t="str">
        <x:v>Approved monthly plan</x:v>
      </x:c>
      <x:c r="D192" s="28" t="str">
        <x:v>Finance</x:v>
      </x:c>
      <x:c r="E192" s="28" t="str">
        <x:v>2027-05</x:v>
      </x:c>
      <x:c r="F192" s="28" t="str">
        <x:v>Approved case</x:v>
      </x:c>
      <x:c r="G192" s="28" t="str">
        <x:v>Controllable operating expense</x:v>
      </x:c>
      <x:c r="H192" s="31" t="n">
        <x:v>0.011666666666666667</x:v>
      </x:c>
      <x:c r="I192" s="28" t="str"/>
      <x:c r="J192" s="28" t="str">
        <x:v>ledger allocation factor</x:v>
      </x:c>
      <x:c r="K192" s="28" t="str">
        <x:v>Board-approved FY27 operating plan</x:v>
      </x:c>
      <x:c r="L192" s="34" t="str">
        <x:v>2026-06-30</x:v>
      </x:c>
      <x:c r="M192" s="28" t="str">
        <x:v>Vista ERP P&amp;L, 2025-07-01 through 2026-06-30; Operating Expense total</x:v>
      </x:c>
    </x:row>
    <x:row r="193">
      <x:c r="A193" s="37" t="str">
        <x:v>PLN-00231</x:v>
      </x:c>
      <x:c r="B193" s="28" t="str">
        <x:v>Twelve-month operating-expense reforecast</x:v>
      </x:c>
      <x:c r="C193" s="28" t="str">
        <x:v>Approved reforecast events</x:v>
      </x:c>
      <x:c r="D193" s="28" t="str">
        <x:v>Finance</x:v>
      </x:c>
      <x:c r="E193" s="28" t="str">
        <x:v>2027-05</x:v>
      </x:c>
      <x:c r="F193" s="28" t="str">
        <x:v>Approved case</x:v>
      </x:c>
      <x:c r="G193" s="28" t="str">
        <x:v>Net approved run-rate and timing adjustment</x:v>
      </x:c>
      <x:c r="H193" s="31" t="n">
        <x:v>-10153.846153846154</x:v>
      </x:c>
      <x:c r="I193" s="28" t="str"/>
      <x:c r="J193" s="28" t="str">
        <x:v>USD</x:v>
      </x:c>
      <x:c r="K193" s="28" t="str">
        <x:v>Approved hire, contract, savings, and one-time event register</x:v>
      </x:c>
      <x:c r="L193" s="34" t="str">
        <x:v>2026-06-30</x:v>
      </x:c>
      <x:c r="M193" s="28" t="str"/>
    </x:row>
    <x:row r="194">
      <x:c r="A194" s="37" t="str">
        <x:v>PLN-00232</x:v>
      </x:c>
      <x:c r="B194" s="28" t="str">
        <x:v>Twelve-month operating-expense reforecast</x:v>
      </x:c>
      <x:c r="C194" s="28" t="str">
        <x:v>Approved monthly plan</x:v>
      </x:c>
      <x:c r="D194" s="28" t="str">
        <x:v>Finance</x:v>
      </x:c>
      <x:c r="E194" s="28" t="str">
        <x:v>2027-06</x:v>
      </x:c>
      <x:c r="F194" s="28" t="str">
        <x:v>Approved case</x:v>
      </x:c>
      <x:c r="G194" s="28" t="str">
        <x:v>Controllable operating expense</x:v>
      </x:c>
      <x:c r="H194" s="31" t="n">
        <x:v>0.011666666666666667</x:v>
      </x:c>
      <x:c r="I194" s="28" t="str"/>
      <x:c r="J194" s="28" t="str">
        <x:v>ledger allocation factor</x:v>
      </x:c>
      <x:c r="K194" s="28" t="str">
        <x:v>Board-approved FY27 operating plan</x:v>
      </x:c>
      <x:c r="L194" s="34" t="str">
        <x:v>2026-06-30</x:v>
      </x:c>
      <x:c r="M194" s="28" t="str">
        <x:v>Vista ERP P&amp;L, 2025-07-01 through 2026-06-30; Operating Expense total</x:v>
      </x:c>
    </x:row>
    <x:row r="195">
      <x:c r="A195" s="37" t="str">
        <x:v>PLN-00233</x:v>
      </x:c>
      <x:c r="B195" s="28" t="str">
        <x:v>Twelve-month operating-expense reforecast</x:v>
      </x:c>
      <x:c r="C195" s="28" t="str">
        <x:v>Approved reforecast events</x:v>
      </x:c>
      <x:c r="D195" s="28" t="str">
        <x:v>Finance</x:v>
      </x:c>
      <x:c r="E195" s="28" t="str">
        <x:v>2027-06</x:v>
      </x:c>
      <x:c r="F195" s="28" t="str">
        <x:v>Approved case</x:v>
      </x:c>
      <x:c r="G195" s="28" t="str">
        <x:v>Net approved run-rate and timing adjustment</x:v>
      </x:c>
      <x:c r="H195" s="31" t="n">
        <x:v>-11.076923076923078</x:v>
      </x:c>
      <x:c r="I195" s="28" t="str"/>
      <x:c r="J195" s="28" t="str">
        <x:v>USD thousands</x:v>
      </x:c>
      <x:c r="K195" s="28" t="str">
        <x:v>Approved hire, contract, savings, and one-time event register</x:v>
      </x:c>
      <x:c r="L195" s="34" t="str">
        <x:v>2026-06-30</x:v>
      </x:c>
      <x:c r="M195" s="28" t="str"/>
    </x:row>
    <x:row r="196">
      <x:c r="A196" s="37" t="str">
        <x:v>PLN-00234</x:v>
      </x:c>
      <x:c r="B196" s="28" t="str">
        <x:v>Twelve-month operating-expense reforecast</x:v>
      </x:c>
      <x:c r="C196" s="28" t="str">
        <x:v>Approved monthly plan</x:v>
      </x:c>
      <x:c r="D196" s="28" t="str">
        <x:v>People</x:v>
      </x:c>
      <x:c r="E196" s="28" t="str">
        <x:v>2026-07</x:v>
      </x:c>
      <x:c r="F196" s="28" t="str">
        <x:v>Approved case</x:v>
      </x:c>
      <x:c r="G196" s="28" t="str">
        <x:v>Controllable operating expense</x:v>
      </x:c>
      <x:c r="H196" s="31" t="n">
        <x:v>0.00825</x:v>
      </x:c>
      <x:c r="I196" s="28" t="str"/>
      <x:c r="J196" s="28" t="str">
        <x:v>ledger allocation factor</x:v>
      </x:c>
      <x:c r="K196" s="28" t="str">
        <x:v>Board-approved FY27 operating plan</x:v>
      </x:c>
      <x:c r="L196" s="34" t="str">
        <x:v>2026-06-30</x:v>
      </x:c>
      <x:c r="M196" s="28" t="str">
        <x:v>Vista ERP P&amp;L, 2025-07-01 through 2026-06-30; Operating Expense total</x:v>
      </x:c>
    </x:row>
    <x:row r="197">
      <x:c r="A197" s="37" t="str">
        <x:v>PLN-00235</x:v>
      </x:c>
      <x:c r="B197" s="28" t="str">
        <x:v>Twelve-month operating-expense reforecast</x:v>
      </x:c>
      <x:c r="C197" s="28" t="str">
        <x:v>Approved reforecast events</x:v>
      </x:c>
      <x:c r="D197" s="28" t="str">
        <x:v>People</x:v>
      </x:c>
      <x:c r="E197" s="28" t="str">
        <x:v>2026-07</x:v>
      </x:c>
      <x:c r="F197" s="28" t="str">
        <x:v>Approved case</x:v>
      </x:c>
      <x:c r="G197" s="28" t="str">
        <x:v>Net approved run-rate and timing adjustment</x:v>
      </x:c>
      <x:c r="H197" s="31" t="n">
        <x:v>-743.5897435897435</x:v>
      </x:c>
      <x:c r="I197" s="28" t="str"/>
      <x:c r="J197" s="28" t="str">
        <x:v>USD</x:v>
      </x:c>
      <x:c r="K197" s="28" t="str">
        <x:v>Approved hire, contract, savings, and one-time event register</x:v>
      </x:c>
      <x:c r="L197" s="34" t="str">
        <x:v>2026-06-30</x:v>
      </x:c>
      <x:c r="M197" s="28" t="str"/>
    </x:row>
    <x:row r="198">
      <x:c r="A198" s="37" t="str">
        <x:v>PLN-00236</x:v>
      </x:c>
      <x:c r="B198" s="28" t="str">
        <x:v>Twelve-month operating-expense reforecast</x:v>
      </x:c>
      <x:c r="C198" s="28" t="str">
        <x:v>Approved monthly plan</x:v>
      </x:c>
      <x:c r="D198" s="28" t="str">
        <x:v>People</x:v>
      </x:c>
      <x:c r="E198" s="28" t="str">
        <x:v>2026-08</x:v>
      </x:c>
      <x:c r="F198" s="28" t="str">
        <x:v>Approved case</x:v>
      </x:c>
      <x:c r="G198" s="28" t="str">
        <x:v>Controllable operating expense</x:v>
      </x:c>
      <x:c r="H198" s="31" t="n">
        <x:v>0.00825</x:v>
      </x:c>
      <x:c r="I198" s="28" t="str"/>
      <x:c r="J198" s="28" t="str">
        <x:v>ledger allocation factor</x:v>
      </x:c>
      <x:c r="K198" s="28" t="str">
        <x:v>Board-approved FY27 operating plan</x:v>
      </x:c>
      <x:c r="L198" s="34" t="str">
        <x:v>2026-06-30</x:v>
      </x:c>
      <x:c r="M198" s="28" t="str">
        <x:v>Vista ERP P&amp;L, 2025-07-01 through 2026-06-30; Operating Expense total</x:v>
      </x:c>
    </x:row>
    <x:row r="199">
      <x:c r="A199" s="37" t="str">
        <x:v>PLN-00237</x:v>
      </x:c>
      <x:c r="B199" s="28" t="str">
        <x:v>Twelve-month operating-expense reforecast</x:v>
      </x:c>
      <x:c r="C199" s="28" t="str">
        <x:v>Approved reforecast events</x:v>
      </x:c>
      <x:c r="D199" s="28" t="str">
        <x:v>People</x:v>
      </x:c>
      <x:c r="E199" s="28" t="str">
        <x:v>2026-08</x:v>
      </x:c>
      <x:c r="F199" s="28" t="str">
        <x:v>Approved case</x:v>
      </x:c>
      <x:c r="G199" s="28" t="str">
        <x:v>Net approved run-rate and timing adjustment</x:v>
      </x:c>
      <x:c r="H199" s="31" t="n">
        <x:v>-1487.179487179487</x:v>
      </x:c>
      <x:c r="I199" s="28" t="str"/>
      <x:c r="J199" s="28" t="str">
        <x:v>USD</x:v>
      </x:c>
      <x:c r="K199" s="28" t="str">
        <x:v>Approved hire, contract, savings, and one-time event register</x:v>
      </x:c>
      <x:c r="L199" s="34" t="str">
        <x:v>2026-06-30</x:v>
      </x:c>
      <x:c r="M199" s="28" t="str"/>
    </x:row>
    <x:row r="200">
      <x:c r="A200" s="37" t="str">
        <x:v>PLN-00238</x:v>
      </x:c>
      <x:c r="B200" s="28" t="str">
        <x:v>Twelve-month operating-expense reforecast</x:v>
      </x:c>
      <x:c r="C200" s="28" t="str">
        <x:v>Approved monthly plan</x:v>
      </x:c>
      <x:c r="D200" s="28" t="str">
        <x:v>People</x:v>
      </x:c>
      <x:c r="E200" s="28" t="str">
        <x:v>2026-09</x:v>
      </x:c>
      <x:c r="F200" s="28" t="str">
        <x:v>Approved case</x:v>
      </x:c>
      <x:c r="G200" s="28" t="str">
        <x:v>Controllable operating expense</x:v>
      </x:c>
      <x:c r="H200" s="31" t="n">
        <x:v>0.008333333333333333</x:v>
      </x:c>
      <x:c r="I200" s="28" t="str"/>
      <x:c r="J200" s="28" t="str">
        <x:v>ledger allocation factor</x:v>
      </x:c>
      <x:c r="K200" s="28" t="str">
        <x:v>Board-approved FY27 operating plan</x:v>
      </x:c>
      <x:c r="L200" s="34" t="str">
        <x:v>2026-06-30</x:v>
      </x:c>
      <x:c r="M200" s="28" t="str">
        <x:v>Vista ERP P&amp;L, 2025-07-01 through 2026-06-30; Operating Expense total</x:v>
      </x:c>
    </x:row>
    <x:row r="201">
      <x:c r="A201" s="37" t="str">
        <x:v>PLN-00239</x:v>
      </x:c>
      <x:c r="B201" s="28" t="str">
        <x:v>Twelve-month operating-expense reforecast</x:v>
      </x:c>
      <x:c r="C201" s="28" t="str">
        <x:v>Approved reforecast events</x:v>
      </x:c>
      <x:c r="D201" s="28" t="str">
        <x:v>People</x:v>
      </x:c>
      <x:c r="E201" s="28" t="str">
        <x:v>2026-09</x:v>
      </x:c>
      <x:c r="F201" s="28" t="str">
        <x:v>Approved case</x:v>
      </x:c>
      <x:c r="G201" s="28" t="str">
        <x:v>Net approved run-rate and timing adjustment</x:v>
      </x:c>
      <x:c r="H201" s="31" t="n">
        <x:v>-2230.769230769231</x:v>
      </x:c>
      <x:c r="I201" s="28" t="str"/>
      <x:c r="J201" s="28" t="str">
        <x:v>USD</x:v>
      </x:c>
      <x:c r="K201" s="28" t="str">
        <x:v>Approved hire, contract, savings, and one-time event register</x:v>
      </x:c>
      <x:c r="L201" s="34" t="str">
        <x:v>2026-06-30</x:v>
      </x:c>
      <x:c r="M201" s="28" t="str"/>
    </x:row>
    <x:row r="202">
      <x:c r="A202" s="37" t="str">
        <x:v>PLN-00240</x:v>
      </x:c>
      <x:c r="B202" s="28" t="str">
        <x:v>Twelve-month operating-expense reforecast</x:v>
      </x:c>
      <x:c r="C202" s="28" t="str">
        <x:v>Approved monthly plan</x:v>
      </x:c>
      <x:c r="D202" s="28" t="str">
        <x:v>People</x:v>
      </x:c>
      <x:c r="E202" s="28" t="str">
        <x:v>2026-10</x:v>
      </x:c>
      <x:c r="F202" s="28" t="str">
        <x:v>Approved case</x:v>
      </x:c>
      <x:c r="G202" s="28" t="str">
        <x:v>Controllable operating expense</x:v>
      </x:c>
      <x:c r="H202" s="31" t="n">
        <x:v>0.008333333333333333</x:v>
      </x:c>
      <x:c r="I202" s="28" t="str"/>
      <x:c r="J202" s="28" t="str">
        <x:v>ledger allocation factor</x:v>
      </x:c>
      <x:c r="K202" s="28" t="str">
        <x:v>Board-approved FY27 operating plan</x:v>
      </x:c>
      <x:c r="L202" s="34" t="str">
        <x:v>2026-06-30</x:v>
      </x:c>
      <x:c r="M202" s="28" t="str">
        <x:v>Vista ERP P&amp;L, 2025-07-01 through 2026-06-30; Operating Expense total</x:v>
      </x:c>
    </x:row>
    <x:row r="203">
      <x:c r="A203" s="37" t="str">
        <x:v>PLN-00241</x:v>
      </x:c>
      <x:c r="B203" s="28" t="str">
        <x:v>Twelve-month operating-expense reforecast</x:v>
      </x:c>
      <x:c r="C203" s="28" t="str">
        <x:v>Approved reforecast events</x:v>
      </x:c>
      <x:c r="D203" s="28" t="str">
        <x:v>People</x:v>
      </x:c>
      <x:c r="E203" s="28" t="str">
        <x:v>2026-10</x:v>
      </x:c>
      <x:c r="F203" s="28" t="str">
        <x:v>Approved case</x:v>
      </x:c>
      <x:c r="G203" s="28" t="str">
        <x:v>Net approved run-rate and timing adjustment</x:v>
      </x:c>
      <x:c r="H203" s="31" t="n">
        <x:v>-2974.358974358974</x:v>
      </x:c>
      <x:c r="I203" s="28" t="str"/>
      <x:c r="J203" s="28" t="str">
        <x:v>USD</x:v>
      </x:c>
      <x:c r="K203" s="28" t="str">
        <x:v>Approved hire, contract, savings, and one-time event register</x:v>
      </x:c>
      <x:c r="L203" s="34" t="str">
        <x:v>2026-06-30</x:v>
      </x:c>
      <x:c r="M203" s="28" t="str"/>
    </x:row>
    <x:row r="204">
      <x:c r="A204" s="37" t="str">
        <x:v>PLN-00242</x:v>
      </x:c>
      <x:c r="B204" s="28" t="str">
        <x:v>Twelve-month operating-expense reforecast</x:v>
      </x:c>
      <x:c r="C204" s="28" t="str">
        <x:v>Approved monthly plan</x:v>
      </x:c>
      <x:c r="D204" s="28" t="str">
        <x:v>People</x:v>
      </x:c>
      <x:c r="E204" s="28" t="str">
        <x:v>2026-11</x:v>
      </x:c>
      <x:c r="F204" s="28" t="str">
        <x:v>Approved case</x:v>
      </x:c>
      <x:c r="G204" s="28" t="str">
        <x:v>Controllable operating expense</x:v>
      </x:c>
      <x:c r="H204" s="31" t="n">
        <x:v>0.008333333333333333</x:v>
      </x:c>
      <x:c r="I204" s="28" t="str"/>
      <x:c r="J204" s="28" t="str">
        <x:v>ledger allocation factor</x:v>
      </x:c>
      <x:c r="K204" s="28" t="str">
        <x:v>Board-approved FY27 operating plan</x:v>
      </x:c>
      <x:c r="L204" s="34" t="str">
        <x:v>2026-06-30</x:v>
      </x:c>
      <x:c r="M204" s="28" t="str">
        <x:v>Vista ERP P&amp;L, 2025-07-01 through 2026-06-30; Operating Expense total</x:v>
      </x:c>
    </x:row>
    <x:row r="205">
      <x:c r="A205" s="37" t="str">
        <x:v>PLN-00243</x:v>
      </x:c>
      <x:c r="B205" s="28" t="str">
        <x:v>Twelve-month operating-expense reforecast</x:v>
      </x:c>
      <x:c r="C205" s="28" t="str">
        <x:v>Approved reforecast events</x:v>
      </x:c>
      <x:c r="D205" s="28" t="str">
        <x:v>People</x:v>
      </x:c>
      <x:c r="E205" s="28" t="str">
        <x:v>2026-11</x:v>
      </x:c>
      <x:c r="F205" s="28" t="str">
        <x:v>Approved case</x:v>
      </x:c>
      <x:c r="G205" s="28" t="str">
        <x:v>Net approved run-rate and timing adjustment</x:v>
      </x:c>
      <x:c r="H205" s="31" t="n">
        <x:v>-3717.948717948718</x:v>
      </x:c>
      <x:c r="I205" s="28" t="str"/>
      <x:c r="J205" s="28" t="str">
        <x:v>USD</x:v>
      </x:c>
      <x:c r="K205" s="28" t="str">
        <x:v>Approved hire, contract, savings, and one-time event register</x:v>
      </x:c>
      <x:c r="L205" s="34" t="str">
        <x:v>2026-06-30</x:v>
      </x:c>
      <x:c r="M205" s="28" t="str"/>
    </x:row>
    <x:row r="206">
      <x:c r="A206" s="37" t="str">
        <x:v>PLN-00244</x:v>
      </x:c>
      <x:c r="B206" s="28" t="str">
        <x:v>Twelve-month operating-expense reforecast</x:v>
      </x:c>
      <x:c r="C206" s="28" t="str">
        <x:v>Approved monthly plan</x:v>
      </x:c>
      <x:c r="D206" s="28" t="str">
        <x:v>People</x:v>
      </x:c>
      <x:c r="E206" s="28" t="str">
        <x:v>2026-12</x:v>
      </x:c>
      <x:c r="F206" s="28" t="str">
        <x:v>Approved case</x:v>
      </x:c>
      <x:c r="G206" s="28" t="str">
        <x:v>Controllable operating expense</x:v>
      </x:c>
      <x:c r="H206" s="31" t="n">
        <x:v>0.008541666666666666</x:v>
      </x:c>
      <x:c r="I206" s="28" t="str"/>
      <x:c r="J206" s="28" t="str">
        <x:v>ledger allocation factor</x:v>
      </x:c>
      <x:c r="K206" s="28" t="str">
        <x:v>Board-approved FY27 operating plan</x:v>
      </x:c>
      <x:c r="L206" s="34" t="str">
        <x:v>2026-06-30</x:v>
      </x:c>
      <x:c r="M206" s="28" t="str">
        <x:v>Vista ERP P&amp;L, 2025-07-01 through 2026-06-30; Operating Expense total</x:v>
      </x:c>
    </x:row>
    <x:row r="207">
      <x:c r="A207" s="37" t="str">
        <x:v>PLN-00245</x:v>
      </x:c>
      <x:c r="B207" s="28" t="str">
        <x:v>Twelve-month operating-expense reforecast</x:v>
      </x:c>
      <x:c r="C207" s="28" t="str">
        <x:v>Approved reforecast events</x:v>
      </x:c>
      <x:c r="D207" s="28" t="str">
        <x:v>People</x:v>
      </x:c>
      <x:c r="E207" s="28" t="str">
        <x:v>2026-12</x:v>
      </x:c>
      <x:c r="F207" s="28" t="str">
        <x:v>Approved case</x:v>
      </x:c>
      <x:c r="G207" s="28" t="str">
        <x:v>Net approved run-rate and timing adjustment</x:v>
      </x:c>
      <x:c r="H207" s="31" t="n">
        <x:v>-4461.538461538462</x:v>
      </x:c>
      <x:c r="I207" s="28" t="str"/>
      <x:c r="J207" s="28" t="str">
        <x:v>USD</x:v>
      </x:c>
      <x:c r="K207" s="28" t="str">
        <x:v>Approved hire, contract, savings, and one-time event register</x:v>
      </x:c>
      <x:c r="L207" s="34" t="str">
        <x:v>2026-06-30</x:v>
      </x:c>
      <x:c r="M207" s="28" t="str"/>
    </x:row>
    <x:row r="208">
      <x:c r="A208" s="37" t="str">
        <x:v>PLN-00246</x:v>
      </x:c>
      <x:c r="B208" s="28" t="str">
        <x:v>Twelve-month operating-expense reforecast</x:v>
      </x:c>
      <x:c r="C208" s="28" t="str">
        <x:v>Approved monthly plan</x:v>
      </x:c>
      <x:c r="D208" s="28" t="str">
        <x:v>People</x:v>
      </x:c>
      <x:c r="E208" s="28" t="str">
        <x:v>2027-01</x:v>
      </x:c>
      <x:c r="F208" s="28" t="str">
        <x:v>Approved case</x:v>
      </x:c>
      <x:c r="G208" s="28" t="str">
        <x:v>Controllable operating expense</x:v>
      </x:c>
      <x:c r="H208" s="31" t="n">
        <x:v>0.008541666666666666</x:v>
      </x:c>
      <x:c r="I208" s="28" t="str"/>
      <x:c r="J208" s="28" t="str">
        <x:v>ledger allocation factor</x:v>
      </x:c>
      <x:c r="K208" s="28" t="str">
        <x:v>Board-approved FY27 operating plan</x:v>
      </x:c>
      <x:c r="L208" s="34" t="str">
        <x:v>2026-06-30</x:v>
      </x:c>
      <x:c r="M208" s="28" t="str">
        <x:v>Vista ERP P&amp;L, 2025-07-01 through 2026-06-30; Operating Expense total</x:v>
      </x:c>
    </x:row>
    <x:row r="209">
      <x:c r="A209" s="37" t="str">
        <x:v>PLN-00247</x:v>
      </x:c>
      <x:c r="B209" s="28" t="str">
        <x:v>Twelve-month operating-expense reforecast</x:v>
      </x:c>
      <x:c r="C209" s="28" t="str">
        <x:v>Approved reforecast events</x:v>
      </x:c>
      <x:c r="D209" s="28" t="str">
        <x:v>People</x:v>
      </x:c>
      <x:c r="E209" s="28" t="str">
        <x:v>2027-01</x:v>
      </x:c>
      <x:c r="F209" s="28" t="str">
        <x:v>Approved case</x:v>
      </x:c>
      <x:c r="G209" s="28" t="str">
        <x:v>Net approved run-rate and timing adjustment</x:v>
      </x:c>
      <x:c r="H209" s="31" t="n">
        <x:v>-5205.128205128205</x:v>
      </x:c>
      <x:c r="I209" s="28" t="str"/>
      <x:c r="J209" s="28" t="str">
        <x:v>USD</x:v>
      </x:c>
      <x:c r="K209" s="28" t="str">
        <x:v>Approved hire, contract, savings, and one-time event register</x:v>
      </x:c>
      <x:c r="L209" s="34" t="str">
        <x:v>2026-06-30</x:v>
      </x:c>
      <x:c r="M209" s="28" t="str"/>
    </x:row>
    <x:row r="210">
      <x:c r="A210" s="37" t="str">
        <x:v>PLN-00248</x:v>
      </x:c>
      <x:c r="B210" s="28" t="str">
        <x:v>Twelve-month operating-expense reforecast</x:v>
      </x:c>
      <x:c r="C210" s="28" t="str">
        <x:v>Approved monthly plan</x:v>
      </x:c>
      <x:c r="D210" s="28" t="str">
        <x:v>People</x:v>
      </x:c>
      <x:c r="E210" s="28" t="str">
        <x:v>2027-02</x:v>
      </x:c>
      <x:c r="F210" s="28" t="str">
        <x:v>Approved case</x:v>
      </x:c>
      <x:c r="G210" s="28" t="str">
        <x:v>Controllable operating expense</x:v>
      </x:c>
      <x:c r="H210" s="31" t="n">
        <x:v>0.008333333333333333</x:v>
      </x:c>
      <x:c r="I210" s="28" t="str"/>
      <x:c r="J210" s="28" t="str">
        <x:v>ledger allocation factor</x:v>
      </x:c>
      <x:c r="K210" s="28" t="str">
        <x:v>Board-approved FY27 operating plan</x:v>
      </x:c>
      <x:c r="L210" s="34" t="str">
        <x:v>2026-06-30</x:v>
      </x:c>
      <x:c r="M210" s="28" t="str">
        <x:v>Vista ERP P&amp;L, 2025-07-01 through 2026-06-30; Operating Expense total</x:v>
      </x:c>
    </x:row>
    <x:row r="211">
      <x:c r="A211" s="37" t="str">
        <x:v>PLN-00249</x:v>
      </x:c>
      <x:c r="B211" s="28" t="str">
        <x:v>Twelve-month operating-expense reforecast</x:v>
      </x:c>
      <x:c r="C211" s="28" t="str">
        <x:v>Approved reforecast events</x:v>
      </x:c>
      <x:c r="D211" s="28" t="str">
        <x:v>People</x:v>
      </x:c>
      <x:c r="E211" s="28" t="str">
        <x:v>2027-02</x:v>
      </x:c>
      <x:c r="F211" s="28" t="str">
        <x:v>Approved case</x:v>
      </x:c>
      <x:c r="G211" s="28" t="str">
        <x:v>Net approved run-rate and timing adjustment</x:v>
      </x:c>
      <x:c r="H211" s="31" t="n">
        <x:v>-5948.717948717948</x:v>
      </x:c>
      <x:c r="I211" s="28" t="str"/>
      <x:c r="J211" s="28" t="str">
        <x:v>USD</x:v>
      </x:c>
      <x:c r="K211" s="28" t="str">
        <x:v>Approved hire, contract, savings, and one-time event register</x:v>
      </x:c>
      <x:c r="L211" s="34" t="str">
        <x:v>2026-06-30</x:v>
      </x:c>
      <x:c r="M211" s="28" t="str"/>
    </x:row>
    <x:row r="212">
      <x:c r="A212" s="37" t="str">
        <x:v>PLN-00250</x:v>
      </x:c>
      <x:c r="B212" s="28" t="str">
        <x:v>Twelve-month operating-expense reforecast</x:v>
      </x:c>
      <x:c r="C212" s="28" t="str">
        <x:v>Approved monthly plan</x:v>
      </x:c>
      <x:c r="D212" s="28" t="str">
        <x:v>People</x:v>
      </x:c>
      <x:c r="E212" s="28" t="str">
        <x:v>2027-03</x:v>
      </x:c>
      <x:c r="F212" s="28" t="str">
        <x:v>Approved case</x:v>
      </x:c>
      <x:c r="G212" s="28" t="str">
        <x:v>Controllable operating expense</x:v>
      </x:c>
      <x:c r="H212" s="31" t="n">
        <x:v>0.008333333333333333</x:v>
      </x:c>
      <x:c r="I212" s="28" t="str"/>
      <x:c r="J212" s="28" t="str">
        <x:v>ledger allocation factor</x:v>
      </x:c>
      <x:c r="K212" s="28" t="str">
        <x:v>Board-approved FY27 operating plan</x:v>
      </x:c>
      <x:c r="L212" s="34" t="str">
        <x:v>2026-06-30</x:v>
      </x:c>
      <x:c r="M212" s="28" t="str">
        <x:v>Vista ERP P&amp;L, 2025-07-01 through 2026-06-30; Operating Expense total</x:v>
      </x:c>
    </x:row>
    <x:row r="213">
      <x:c r="A213" s="37" t="str">
        <x:v>PLN-00251</x:v>
      </x:c>
      <x:c r="B213" s="28" t="str">
        <x:v>Twelve-month operating-expense reforecast</x:v>
      </x:c>
      <x:c r="C213" s="28" t="str">
        <x:v>Approved reforecast events</x:v>
      </x:c>
      <x:c r="D213" s="28" t="str">
        <x:v>People</x:v>
      </x:c>
      <x:c r="E213" s="28" t="str">
        <x:v>2027-03</x:v>
      </x:c>
      <x:c r="F213" s="28" t="str">
        <x:v>Approved case</x:v>
      </x:c>
      <x:c r="G213" s="28" t="str">
        <x:v>Net approved run-rate and timing adjustment</x:v>
      </x:c>
      <x:c r="H213" s="31" t="n">
        <x:v>-6692.307692307692</x:v>
      </x:c>
      <x:c r="I213" s="28" t="str"/>
      <x:c r="J213" s="28" t="str">
        <x:v>USD</x:v>
      </x:c>
      <x:c r="K213" s="28" t="str">
        <x:v>Approved hire, contract, savings, and one-time event register</x:v>
      </x:c>
      <x:c r="L213" s="34" t="str">
        <x:v>2026-06-30</x:v>
      </x:c>
      <x:c r="M213" s="28" t="str"/>
    </x:row>
    <x:row r="214">
      <x:c r="A214" s="37" t="str">
        <x:v>PLN-00252</x:v>
      </x:c>
      <x:c r="B214" s="28" t="str">
        <x:v>Twelve-month operating-expense reforecast</x:v>
      </x:c>
      <x:c r="C214" s="28" t="str">
        <x:v>Approved monthly plan</x:v>
      </x:c>
      <x:c r="D214" s="28" t="str">
        <x:v>People</x:v>
      </x:c>
      <x:c r="E214" s="28" t="str">
        <x:v>2027-04</x:v>
      </x:c>
      <x:c r="F214" s="28" t="str">
        <x:v>Approved case</x:v>
      </x:c>
      <x:c r="G214" s="28" t="str">
        <x:v>Controllable operating expense</x:v>
      </x:c>
      <x:c r="H214" s="31" t="n">
        <x:v>0.008333333333333333</x:v>
      </x:c>
      <x:c r="I214" s="28" t="str"/>
      <x:c r="J214" s="28" t="str">
        <x:v>ledger allocation factor</x:v>
      </x:c>
      <x:c r="K214" s="28" t="str">
        <x:v>Board-approved FY27 operating plan</x:v>
      </x:c>
      <x:c r="L214" s="34" t="str">
        <x:v>2026-06-30</x:v>
      </x:c>
      <x:c r="M214" s="28" t="str">
        <x:v>Vista ERP P&amp;L, 2025-07-01 through 2026-06-30; Operating Expense total</x:v>
      </x:c>
    </x:row>
    <x:row r="215">
      <x:c r="A215" s="37" t="str">
        <x:v>PLN-00253</x:v>
      </x:c>
      <x:c r="B215" s="28" t="str">
        <x:v>Twelve-month operating-expense reforecast</x:v>
      </x:c>
      <x:c r="C215" s="28" t="str">
        <x:v>Approved reforecast events</x:v>
      </x:c>
      <x:c r="D215" s="28" t="str">
        <x:v>People</x:v>
      </x:c>
      <x:c r="E215" s="28" t="str">
        <x:v>2027-04</x:v>
      </x:c>
      <x:c r="F215" s="28" t="str">
        <x:v>Approved case</x:v>
      </x:c>
      <x:c r="G215" s="28" t="str">
        <x:v>Net approved run-rate and timing adjustment</x:v>
      </x:c>
      <x:c r="H215" s="31" t="n">
        <x:v>-7435.897435897436</x:v>
      </x:c>
      <x:c r="I215" s="28" t="str"/>
      <x:c r="J215" s="28" t="str">
        <x:v>USD</x:v>
      </x:c>
      <x:c r="K215" s="28" t="str">
        <x:v>Approved hire, contract, savings, and one-time event register</x:v>
      </x:c>
      <x:c r="L215" s="34" t="str">
        <x:v>2026-06-30</x:v>
      </x:c>
      <x:c r="M215" s="28" t="str"/>
    </x:row>
    <x:row r="216">
      <x:c r="A216" s="37" t="str">
        <x:v>PLN-00254</x:v>
      </x:c>
      <x:c r="B216" s="28" t="str">
        <x:v>Twelve-month operating-expense reforecast</x:v>
      </x:c>
      <x:c r="C216" s="28" t="str">
        <x:v>Approved monthly plan</x:v>
      </x:c>
      <x:c r="D216" s="28" t="str">
        <x:v>People</x:v>
      </x:c>
      <x:c r="E216" s="28" t="str">
        <x:v>2027-05</x:v>
      </x:c>
      <x:c r="F216" s="28" t="str">
        <x:v>Approved case</x:v>
      </x:c>
      <x:c r="G216" s="28" t="str">
        <x:v>Controllable operating expense</x:v>
      </x:c>
      <x:c r="H216" s="31" t="n">
        <x:v>0.008333333333333333</x:v>
      </x:c>
      <x:c r="I216" s="28" t="str"/>
      <x:c r="J216" s="28" t="str">
        <x:v>ledger allocation factor</x:v>
      </x:c>
      <x:c r="K216" s="28" t="str">
        <x:v>Board-approved FY27 operating plan</x:v>
      </x:c>
      <x:c r="L216" s="34" t="str">
        <x:v>2026-06-30</x:v>
      </x:c>
      <x:c r="M216" s="28" t="str">
        <x:v>Vista ERP P&amp;L, 2025-07-01 through 2026-06-30; Operating Expense total</x:v>
      </x:c>
    </x:row>
    <x:row r="217">
      <x:c r="A217" s="37" t="str">
        <x:v>PLN-00255</x:v>
      </x:c>
      <x:c r="B217" s="28" t="str">
        <x:v>Twelve-month operating-expense reforecast</x:v>
      </x:c>
      <x:c r="C217" s="28" t="str">
        <x:v>Approved reforecast events</x:v>
      </x:c>
      <x:c r="D217" s="28" t="str">
        <x:v>People</x:v>
      </x:c>
      <x:c r="E217" s="28" t="str">
        <x:v>2027-05</x:v>
      </x:c>
      <x:c r="F217" s="28" t="str">
        <x:v>Approved case</x:v>
      </x:c>
      <x:c r="G217" s="28" t="str">
        <x:v>Net approved run-rate and timing adjustment</x:v>
      </x:c>
      <x:c r="H217" s="31" t="n">
        <x:v>-8179.48717948718</x:v>
      </x:c>
      <x:c r="I217" s="28" t="str"/>
      <x:c r="J217" s="28" t="str">
        <x:v>USD</x:v>
      </x:c>
      <x:c r="K217" s="28" t="str">
        <x:v>Approved hire, contract, savings, and one-time event register</x:v>
      </x:c>
      <x:c r="L217" s="34" t="str">
        <x:v>2026-06-30</x:v>
      </x:c>
      <x:c r="M217" s="28" t="str"/>
    </x:row>
    <x:row r="218">
      <x:c r="A218" s="37" t="str">
        <x:v>PLN-00256</x:v>
      </x:c>
      <x:c r="B218" s="28" t="str">
        <x:v>Twelve-month operating-expense reforecast</x:v>
      </x:c>
      <x:c r="C218" s="28" t="str">
        <x:v>Approved monthly plan</x:v>
      </x:c>
      <x:c r="D218" s="28" t="str">
        <x:v>People</x:v>
      </x:c>
      <x:c r="E218" s="28" t="str">
        <x:v>2027-06</x:v>
      </x:c>
      <x:c r="F218" s="28" t="str">
        <x:v>Approved case</x:v>
      </x:c>
      <x:c r="G218" s="28" t="str">
        <x:v>Controllable operating expense</x:v>
      </x:c>
      <x:c r="H218" s="31" t="n">
        <x:v>0.008333333333333333</x:v>
      </x:c>
      <x:c r="I218" s="28" t="str"/>
      <x:c r="J218" s="28" t="str">
        <x:v>ledger allocation factor</x:v>
      </x:c>
      <x:c r="K218" s="28" t="str">
        <x:v>Board-approved FY27 operating plan</x:v>
      </x:c>
      <x:c r="L218" s="34" t="str">
        <x:v>2026-06-30</x:v>
      </x:c>
      <x:c r="M218" s="28" t="str">
        <x:v>Vista ERP P&amp;L, 2025-07-01 through 2026-06-30; Operating Expense total</x:v>
      </x:c>
    </x:row>
    <x:row r="219">
      <x:c r="A219" s="37" t="str">
        <x:v>PLN-00257</x:v>
      </x:c>
      <x:c r="B219" s="28" t="str">
        <x:v>Twelve-month operating-expense reforecast</x:v>
      </x:c>
      <x:c r="C219" s="28" t="str">
        <x:v>Approved reforecast events</x:v>
      </x:c>
      <x:c r="D219" s="28" t="str">
        <x:v>People</x:v>
      </x:c>
      <x:c r="E219" s="28" t="str">
        <x:v>2027-06</x:v>
      </x:c>
      <x:c r="F219" s="28" t="str">
        <x:v>Approved case</x:v>
      </x:c>
      <x:c r="G219" s="28" t="str">
        <x:v>Net approved run-rate and timing adjustment</x:v>
      </x:c>
      <x:c r="H219" s="31" t="n">
        <x:v>-8923.076923076924</x:v>
      </x:c>
      <x:c r="I219" s="28" t="str"/>
      <x:c r="J219" s="28" t="str">
        <x:v>USD</x:v>
      </x:c>
      <x:c r="K219" s="28" t="str">
        <x:v>Approved hire, contract, savings, and one-time event register</x:v>
      </x:c>
      <x:c r="L219" s="34" t="str">
        <x:v>2026-06-30</x:v>
      </x:c>
      <x:c r="M219" s="28" t="str"/>
    </x:row>
    <x:row r="220">
      <x:c r="A220" s="37" t="str">
        <x:v>PLN-00258</x:v>
      </x:c>
      <x:c r="B220" s="28" t="str">
        <x:v>Twelve-month operating-expense reforecast</x:v>
      </x:c>
      <x:c r="C220" s="28" t="str">
        <x:v>Approved monthly plan</x:v>
      </x:c>
      <x:c r="D220" s="28" t="str">
        <x:v>Executive</x:v>
      </x:c>
      <x:c r="E220" s="28" t="str">
        <x:v>2026-07</x:v>
      </x:c>
      <x:c r="F220" s="28" t="str">
        <x:v>Approved case</x:v>
      </x:c>
      <x:c r="G220" s="28" t="str">
        <x:v>Controllable operating expense</x:v>
      </x:c>
      <x:c r="H220" s="31" t="n">
        <x:v>0.010725</x:v>
      </x:c>
      <x:c r="I220" s="28" t="str"/>
      <x:c r="J220" s="28" t="str">
        <x:v>ledger allocation factor</x:v>
      </x:c>
      <x:c r="K220" s="28" t="str">
        <x:v>Board-approved FY27 operating plan</x:v>
      </x:c>
      <x:c r="L220" s="34" t="str">
        <x:v>2026-06-30</x:v>
      </x:c>
      <x:c r="M220" s="28" t="str">
        <x:v>Vista ERP P&amp;L, 2025-07-01 through 2026-06-30; Operating Expense total</x:v>
      </x:c>
    </x:row>
    <x:row r="221">
      <x:c r="A221" s="37" t="str">
        <x:v>PLN-00259</x:v>
      </x:c>
      <x:c r="B221" s="28" t="str">
        <x:v>Twelve-month operating-expense reforecast</x:v>
      </x:c>
      <x:c r="C221" s="28" t="str">
        <x:v>Approved reforecast events</x:v>
      </x:c>
      <x:c r="D221" s="28" t="str">
        <x:v>Executive</x:v>
      </x:c>
      <x:c r="E221" s="28" t="str">
        <x:v>2026-07</x:v>
      </x:c>
      <x:c r="F221" s="28" t="str">
        <x:v>Approved case</x:v>
      </x:c>
      <x:c r="G221" s="28" t="str">
        <x:v>Net approved run-rate and timing adjustment</x:v>
      </x:c>
      <x:c r="H221" s="31" t="n">
        <x:v>512.8205128205128</x:v>
      </x:c>
      <x:c r="I221" s="28" t="str"/>
      <x:c r="J221" s="28" t="str">
        <x:v>USD</x:v>
      </x:c>
      <x:c r="K221" s="28" t="str">
        <x:v>Approved hire, contract, savings, and one-time event register</x:v>
      </x:c>
      <x:c r="L221" s="34" t="str">
        <x:v>2026-06-30</x:v>
      </x:c>
      <x:c r="M221" s="28" t="str"/>
    </x:row>
    <x:row r="222">
      <x:c r="A222" s="37" t="str">
        <x:v>PLN-00260</x:v>
      </x:c>
      <x:c r="B222" s="28" t="str">
        <x:v>Twelve-month operating-expense reforecast</x:v>
      </x:c>
      <x:c r="C222" s="28" t="str">
        <x:v>Approved monthly plan</x:v>
      </x:c>
      <x:c r="D222" s="28" t="str">
        <x:v>Executive</x:v>
      </x:c>
      <x:c r="E222" s="28" t="str">
        <x:v>2026-08</x:v>
      </x:c>
      <x:c r="F222" s="28" t="str">
        <x:v>Approved case</x:v>
      </x:c>
      <x:c r="G222" s="28" t="str">
        <x:v>Controllable operating expense</x:v>
      </x:c>
      <x:c r="H222" s="31" t="n">
        <x:v>0.010725</x:v>
      </x:c>
      <x:c r="I222" s="28" t="str"/>
      <x:c r="J222" s="28" t="str">
        <x:v>ledger allocation factor</x:v>
      </x:c>
      <x:c r="K222" s="28" t="str">
        <x:v>Board-approved FY27 operating plan</x:v>
      </x:c>
      <x:c r="L222" s="34" t="str">
        <x:v>2026-06-30</x:v>
      </x:c>
      <x:c r="M222" s="28" t="str">
        <x:v>Vista ERP P&amp;L, 2025-07-01 through 2026-06-30; Operating Expense total</x:v>
      </x:c>
    </x:row>
    <x:row r="223">
      <x:c r="A223" s="37" t="str">
        <x:v>PLN-00261</x:v>
      </x:c>
      <x:c r="B223" s="28" t="str">
        <x:v>Twelve-month operating-expense reforecast</x:v>
      </x:c>
      <x:c r="C223" s="28" t="str">
        <x:v>Approved reforecast events</x:v>
      </x:c>
      <x:c r="D223" s="28" t="str">
        <x:v>Executive</x:v>
      </x:c>
      <x:c r="E223" s="28" t="str">
        <x:v>2026-08</x:v>
      </x:c>
      <x:c r="F223" s="28" t="str">
        <x:v>Approved case</x:v>
      </x:c>
      <x:c r="G223" s="28" t="str">
        <x:v>Net approved run-rate and timing adjustment</x:v>
      </x:c>
      <x:c r="H223" s="31" t="n">
        <x:v>1025.6410256410256</x:v>
      </x:c>
      <x:c r="I223" s="28" t="str"/>
      <x:c r="J223" s="28" t="str">
        <x:v>USD</x:v>
      </x:c>
      <x:c r="K223" s="28" t="str">
        <x:v>Approved hire, contract, savings, and one-time event register</x:v>
      </x:c>
      <x:c r="L223" s="34" t="str">
        <x:v>2026-06-30</x:v>
      </x:c>
      <x:c r="M223" s="28" t="str"/>
    </x:row>
    <x:row r="224">
      <x:c r="A224" s="37" t="str">
        <x:v>PLN-00262</x:v>
      </x:c>
      <x:c r="B224" s="28" t="str">
        <x:v>Twelve-month operating-expense reforecast</x:v>
      </x:c>
      <x:c r="C224" s="28" t="str">
        <x:v>Approved monthly plan</x:v>
      </x:c>
      <x:c r="D224" s="28" t="str">
        <x:v>Executive</x:v>
      </x:c>
      <x:c r="E224" s="28" t="str">
        <x:v>2026-09</x:v>
      </x:c>
      <x:c r="F224" s="28" t="str">
        <x:v>Approved case</x:v>
      </x:c>
      <x:c r="G224" s="28" t="str">
        <x:v>Controllable operating expense</x:v>
      </x:c>
      <x:c r="H224" s="31" t="n">
        <x:v>0.010833333333333334</x:v>
      </x:c>
      <x:c r="I224" s="28" t="str"/>
      <x:c r="J224" s="28" t="str">
        <x:v>ledger allocation factor</x:v>
      </x:c>
      <x:c r="K224" s="28" t="str">
        <x:v>Board-approved FY27 operating plan</x:v>
      </x:c>
      <x:c r="L224" s="34" t="str">
        <x:v>2026-06-30</x:v>
      </x:c>
      <x:c r="M224" s="28" t="str">
        <x:v>Vista ERP P&amp;L, 2025-07-01 through 2026-06-30; Operating Expense total</x:v>
      </x:c>
    </x:row>
    <x:row r="225">
      <x:c r="A225" s="37" t="str">
        <x:v>PLN-00263</x:v>
      </x:c>
      <x:c r="B225" s="28" t="str">
        <x:v>Twelve-month operating-expense reforecast</x:v>
      </x:c>
      <x:c r="C225" s="28" t="str">
        <x:v>Approved reforecast events</x:v>
      </x:c>
      <x:c r="D225" s="28" t="str">
        <x:v>Executive</x:v>
      </x:c>
      <x:c r="E225" s="28" t="str">
        <x:v>2026-09</x:v>
      </x:c>
      <x:c r="F225" s="28" t="str">
        <x:v>Approved case</x:v>
      </x:c>
      <x:c r="G225" s="28" t="str">
        <x:v>Net approved run-rate and timing adjustment</x:v>
      </x:c>
      <x:c r="H225" s="31" t="n">
        <x:v>1538.4615384615386</x:v>
      </x:c>
      <x:c r="I225" s="28" t="str"/>
      <x:c r="J225" s="28" t="str">
        <x:v>USD</x:v>
      </x:c>
      <x:c r="K225" s="28" t="str">
        <x:v>Approved hire, contract, savings, and one-time event register</x:v>
      </x:c>
      <x:c r="L225" s="34" t="str">
        <x:v>2026-06-30</x:v>
      </x:c>
      <x:c r="M225" s="28" t="str"/>
    </x:row>
    <x:row r="226">
      <x:c r="A226" s="37" t="str">
        <x:v>PLN-00264</x:v>
      </x:c>
      <x:c r="B226" s="28" t="str">
        <x:v>Twelve-month operating-expense reforecast</x:v>
      </x:c>
      <x:c r="C226" s="28" t="str">
        <x:v>Approved monthly plan</x:v>
      </x:c>
      <x:c r="D226" s="28" t="str">
        <x:v>Executive</x:v>
      </x:c>
      <x:c r="E226" s="28" t="str">
        <x:v>2026-10</x:v>
      </x:c>
      <x:c r="F226" s="28" t="str">
        <x:v>Approved case</x:v>
      </x:c>
      <x:c r="G226" s="28" t="str">
        <x:v>Controllable operating expense</x:v>
      </x:c>
      <x:c r="H226" s="31" t="n">
        <x:v>0.010833333333333334</x:v>
      </x:c>
      <x:c r="I226" s="28" t="str"/>
      <x:c r="J226" s="28" t="str">
        <x:v>ledger allocation factor</x:v>
      </x:c>
      <x:c r="K226" s="28" t="str">
        <x:v>Board-approved FY27 operating plan</x:v>
      </x:c>
      <x:c r="L226" s="34" t="str">
        <x:v>2026-06-30</x:v>
      </x:c>
      <x:c r="M226" s="28" t="str">
        <x:v>Vista ERP P&amp;L, 2025-07-01 through 2026-06-30; Operating Expense total</x:v>
      </x:c>
    </x:row>
    <x:row r="227">
      <x:c r="A227" s="37" t="str">
        <x:v>PLN-00265</x:v>
      </x:c>
      <x:c r="B227" s="28" t="str">
        <x:v>Twelve-month operating-expense reforecast</x:v>
      </x:c>
      <x:c r="C227" s="28" t="str">
        <x:v>Approved reforecast events</x:v>
      </x:c>
      <x:c r="D227" s="28" t="str">
        <x:v>Executive</x:v>
      </x:c>
      <x:c r="E227" s="28" t="str">
        <x:v>2026-10</x:v>
      </x:c>
      <x:c r="F227" s="28" t="str">
        <x:v>Approved case</x:v>
      </x:c>
      <x:c r="G227" s="28" t="str">
        <x:v>Net approved run-rate and timing adjustment</x:v>
      </x:c>
      <x:c r="H227" s="31" t="n">
        <x:v>2051.2820512820513</x:v>
      </x:c>
      <x:c r="I227" s="28" t="str"/>
      <x:c r="J227" s="28" t="str">
        <x:v>USD</x:v>
      </x:c>
      <x:c r="K227" s="28" t="str">
        <x:v>Approved hire, contract, savings, and one-time event register</x:v>
      </x:c>
      <x:c r="L227" s="34" t="str">
        <x:v>2026-06-30</x:v>
      </x:c>
      <x:c r="M227" s="28" t="str"/>
    </x:row>
    <x:row r="228">
      <x:c r="A228" s="37" t="str">
        <x:v>PLN-00266</x:v>
      </x:c>
      <x:c r="B228" s="28" t="str">
        <x:v>Twelve-month operating-expense reforecast</x:v>
      </x:c>
      <x:c r="C228" s="28" t="str">
        <x:v>Approved monthly plan</x:v>
      </x:c>
      <x:c r="D228" s="28" t="str">
        <x:v>Executive</x:v>
      </x:c>
      <x:c r="E228" s="28" t="str">
        <x:v>2026-11</x:v>
      </x:c>
      <x:c r="F228" s="28" t="str">
        <x:v>Approved case</x:v>
      </x:c>
      <x:c r="G228" s="28" t="str">
        <x:v>Controllable operating expense</x:v>
      </x:c>
      <x:c r="H228" s="31" t="n">
        <x:v>0.010833333333333334</x:v>
      </x:c>
      <x:c r="I228" s="28" t="str"/>
      <x:c r="J228" s="28" t="str">
        <x:v>ledger allocation factor</x:v>
      </x:c>
      <x:c r="K228" s="28" t="str">
        <x:v>Board-approved FY27 operating plan</x:v>
      </x:c>
      <x:c r="L228" s="34" t="str">
        <x:v>2026-06-30</x:v>
      </x:c>
      <x:c r="M228" s="28" t="str">
        <x:v>Vista ERP P&amp;L, 2025-07-01 through 2026-06-30; Operating Expense total</x:v>
      </x:c>
    </x:row>
    <x:row r="229">
      <x:c r="A229" s="37" t="str">
        <x:v>PLN-00267</x:v>
      </x:c>
      <x:c r="B229" s="28" t="str">
        <x:v>Twelve-month operating-expense reforecast</x:v>
      </x:c>
      <x:c r="C229" s="28" t="str">
        <x:v>Approved reforecast events</x:v>
      </x:c>
      <x:c r="D229" s="28" t="str">
        <x:v>Executive</x:v>
      </x:c>
      <x:c r="E229" s="28" t="str">
        <x:v>2026-11</x:v>
      </x:c>
      <x:c r="F229" s="28" t="str">
        <x:v>Approved case</x:v>
      </x:c>
      <x:c r="G229" s="28" t="str">
        <x:v>Net approved run-rate and timing adjustment</x:v>
      </x:c>
      <x:c r="H229" s="31" t="n">
        <x:v>2564.102564102564</x:v>
      </x:c>
      <x:c r="I229" s="28" t="str"/>
      <x:c r="J229" s="28" t="str">
        <x:v>USD</x:v>
      </x:c>
      <x:c r="K229" s="28" t="str">
        <x:v>Approved hire, contract, savings, and one-time event register</x:v>
      </x:c>
      <x:c r="L229" s="34" t="str">
        <x:v>2026-06-30</x:v>
      </x:c>
      <x:c r="M229" s="28" t="str"/>
    </x:row>
    <x:row r="230">
      <x:c r="A230" s="37" t="str">
        <x:v>PLN-00268</x:v>
      </x:c>
      <x:c r="B230" s="28" t="str">
        <x:v>Twelve-month operating-expense reforecast</x:v>
      </x:c>
      <x:c r="C230" s="28" t="str">
        <x:v>Approved monthly plan</x:v>
      </x:c>
      <x:c r="D230" s="28" t="str">
        <x:v>Executive</x:v>
      </x:c>
      <x:c r="E230" s="28" t="str">
        <x:v>2026-12</x:v>
      </x:c>
      <x:c r="F230" s="28" t="str">
        <x:v>Approved case</x:v>
      </x:c>
      <x:c r="G230" s="28" t="str">
        <x:v>Controllable operating expense</x:v>
      </x:c>
      <x:c r="H230" s="31" t="n">
        <x:v>0.011104166666666667</x:v>
      </x:c>
      <x:c r="I230" s="28" t="str"/>
      <x:c r="J230" s="28" t="str">
        <x:v>ledger allocation factor</x:v>
      </x:c>
      <x:c r="K230" s="28" t="str">
        <x:v>Board-approved FY27 operating plan</x:v>
      </x:c>
      <x:c r="L230" s="34" t="str">
        <x:v>2026-06-30</x:v>
      </x:c>
      <x:c r="M230" s="28" t="str">
        <x:v>Vista ERP P&amp;L, 2025-07-01 through 2026-06-30; Operating Expense total</x:v>
      </x:c>
    </x:row>
    <x:row r="231">
      <x:c r="A231" s="37" t="str">
        <x:v>PLN-00269</x:v>
      </x:c>
      <x:c r="B231" s="28" t="str">
        <x:v>Twelve-month operating-expense reforecast</x:v>
      </x:c>
      <x:c r="C231" s="28" t="str">
        <x:v>Approved reforecast events</x:v>
      </x:c>
      <x:c r="D231" s="28" t="str">
        <x:v>Executive</x:v>
      </x:c>
      <x:c r="E231" s="28" t="str">
        <x:v>2026-12</x:v>
      </x:c>
      <x:c r="F231" s="28" t="str">
        <x:v>Approved case</x:v>
      </x:c>
      <x:c r="G231" s="28" t="str">
        <x:v>Net approved run-rate and timing adjustment</x:v>
      </x:c>
      <x:c r="H231" s="31" t="n">
        <x:v>3076.923076923077</x:v>
      </x:c>
      <x:c r="I231" s="28" t="str"/>
      <x:c r="J231" s="28" t="str">
        <x:v>USD</x:v>
      </x:c>
      <x:c r="K231" s="28" t="str">
        <x:v>Approved hire, contract, savings, and one-time event register</x:v>
      </x:c>
      <x:c r="L231" s="34" t="str">
        <x:v>2026-06-30</x:v>
      </x:c>
      <x:c r="M231" s="28" t="str"/>
    </x:row>
    <x:row r="232">
      <x:c r="A232" s="37" t="str">
        <x:v>PLN-00270</x:v>
      </x:c>
      <x:c r="B232" s="28" t="str">
        <x:v>Twelve-month operating-expense reforecast</x:v>
      </x:c>
      <x:c r="C232" s="28" t="str">
        <x:v>Approved monthly plan</x:v>
      </x:c>
      <x:c r="D232" s="28" t="str">
        <x:v>Executive</x:v>
      </x:c>
      <x:c r="E232" s="28" t="str">
        <x:v>2027-01</x:v>
      </x:c>
      <x:c r="F232" s="28" t="str">
        <x:v>Approved case</x:v>
      </x:c>
      <x:c r="G232" s="28" t="str">
        <x:v>Controllable operating expense</x:v>
      </x:c>
      <x:c r="H232" s="31" t="n">
        <x:v>0.011104166666666667</x:v>
      </x:c>
      <x:c r="I232" s="28" t="str"/>
      <x:c r="J232" s="28" t="str">
        <x:v>ledger allocation factor</x:v>
      </x:c>
      <x:c r="K232" s="28" t="str">
        <x:v>Board-approved FY27 operating plan</x:v>
      </x:c>
      <x:c r="L232" s="34" t="str">
        <x:v>2026-06-30</x:v>
      </x:c>
      <x:c r="M232" s="28" t="str">
        <x:v>Vista ERP P&amp;L, 2025-07-01 through 2026-06-30; Operating Expense total</x:v>
      </x:c>
    </x:row>
    <x:row r="233">
      <x:c r="A233" s="37" t="str">
        <x:v>PLN-00271</x:v>
      </x:c>
      <x:c r="B233" s="28" t="str">
        <x:v>Twelve-month operating-expense reforecast</x:v>
      </x:c>
      <x:c r="C233" s="28" t="str">
        <x:v>Approved reforecast events</x:v>
      </x:c>
      <x:c r="D233" s="28" t="str">
        <x:v>Executive</x:v>
      </x:c>
      <x:c r="E233" s="28" t="str">
        <x:v>2027-01</x:v>
      </x:c>
      <x:c r="F233" s="28" t="str">
        <x:v>Approved case</x:v>
      </x:c>
      <x:c r="G233" s="28" t="str">
        <x:v>Net approved run-rate and timing adjustment</x:v>
      </x:c>
      <x:c r="H233" s="31" t="n">
        <x:v>3589.74358974359</x:v>
      </x:c>
      <x:c r="I233" s="28" t="str"/>
      <x:c r="J233" s="28" t="str">
        <x:v>USD</x:v>
      </x:c>
      <x:c r="K233" s="28" t="str">
        <x:v>Approved hire, contract, savings, and one-time event register</x:v>
      </x:c>
      <x:c r="L233" s="34" t="str">
        <x:v>2026-06-30</x:v>
      </x:c>
      <x:c r="M233" s="28" t="str"/>
    </x:row>
    <x:row r="234">
      <x:c r="A234" s="37" t="str">
        <x:v>PLN-00272</x:v>
      </x:c>
      <x:c r="B234" s="28" t="str">
        <x:v>Twelve-month operating-expense reforecast</x:v>
      </x:c>
      <x:c r="C234" s="28" t="str">
        <x:v>Approved monthly plan</x:v>
      </x:c>
      <x:c r="D234" s="28" t="str">
        <x:v>Executive</x:v>
      </x:c>
      <x:c r="E234" s="28" t="str">
        <x:v>2027-02</x:v>
      </x:c>
      <x:c r="F234" s="28" t="str">
        <x:v>Approved case</x:v>
      </x:c>
      <x:c r="G234" s="28" t="str">
        <x:v>Controllable operating expense</x:v>
      </x:c>
      <x:c r="H234" s="31" t="n">
        <x:v>0.010833333333333334</x:v>
      </x:c>
      <x:c r="I234" s="28" t="str"/>
      <x:c r="J234" s="28" t="str">
        <x:v>ledger allocation factor</x:v>
      </x:c>
      <x:c r="K234" s="28" t="str">
        <x:v>Board-approved FY27 operating plan</x:v>
      </x:c>
      <x:c r="L234" s="34" t="str">
        <x:v>2026-06-30</x:v>
      </x:c>
      <x:c r="M234" s="28" t="str">
        <x:v>Vista ERP P&amp;L, 2025-07-01 through 2026-06-30; Operating Expense total</x:v>
      </x:c>
    </x:row>
    <x:row r="235">
      <x:c r="A235" s="37" t="str">
        <x:v>PLN-00273</x:v>
      </x:c>
      <x:c r="B235" s="28" t="str">
        <x:v>Twelve-month operating-expense reforecast</x:v>
      </x:c>
      <x:c r="C235" s="28" t="str">
        <x:v>Approved reforecast events</x:v>
      </x:c>
      <x:c r="D235" s="28" t="str">
        <x:v>Executive</x:v>
      </x:c>
      <x:c r="E235" s="28" t="str">
        <x:v>2027-02</x:v>
      </x:c>
      <x:c r="F235" s="28" t="str">
        <x:v>Approved case</x:v>
      </x:c>
      <x:c r="G235" s="28" t="str">
        <x:v>Net approved run-rate and timing adjustment</x:v>
      </x:c>
      <x:c r="H235" s="31" t="n">
        <x:v>4102.5641025641025</x:v>
      </x:c>
      <x:c r="I235" s="28" t="str"/>
      <x:c r="J235" s="28" t="str">
        <x:v>USD</x:v>
      </x:c>
      <x:c r="K235" s="28" t="str">
        <x:v>Approved hire, contract, savings, and one-time event register</x:v>
      </x:c>
      <x:c r="L235" s="34" t="str">
        <x:v>2026-06-30</x:v>
      </x:c>
      <x:c r="M235" s="28" t="str"/>
    </x:row>
    <x:row r="236">
      <x:c r="A236" s="37" t="str">
        <x:v>PLN-00274</x:v>
      </x:c>
      <x:c r="B236" s="28" t="str">
        <x:v>Twelve-month operating-expense reforecast</x:v>
      </x:c>
      <x:c r="C236" s="28" t="str">
        <x:v>Approved monthly plan</x:v>
      </x:c>
      <x:c r="D236" s="28" t="str">
        <x:v>Executive</x:v>
      </x:c>
      <x:c r="E236" s="28" t="str">
        <x:v>2027-03</x:v>
      </x:c>
      <x:c r="F236" s="28" t="str">
        <x:v>Approved case</x:v>
      </x:c>
      <x:c r="G236" s="28" t="str">
        <x:v>Controllable operating expense</x:v>
      </x:c>
      <x:c r="H236" s="31" t="n">
        <x:v>0.010833333333333334</x:v>
      </x:c>
      <x:c r="I236" s="28" t="str"/>
      <x:c r="J236" s="28" t="str">
        <x:v>ledger allocation factor</x:v>
      </x:c>
      <x:c r="K236" s="28" t="str">
        <x:v>Board-approved FY27 operating plan</x:v>
      </x:c>
      <x:c r="L236" s="34" t="str">
        <x:v>2026-06-30</x:v>
      </x:c>
      <x:c r="M236" s="28" t="str">
        <x:v>Vista ERP P&amp;L, 2025-07-01 through 2026-06-30; Operating Expense total</x:v>
      </x:c>
    </x:row>
    <x:row r="237">
      <x:c r="A237" s="37" t="str">
        <x:v>PLN-00275</x:v>
      </x:c>
      <x:c r="B237" s="28" t="str">
        <x:v>Twelve-month operating-expense reforecast</x:v>
      </x:c>
      <x:c r="C237" s="28" t="str">
        <x:v>Approved reforecast events</x:v>
      </x:c>
      <x:c r="D237" s="28" t="str">
        <x:v>Executive</x:v>
      </x:c>
      <x:c r="E237" s="28" t="str">
        <x:v>2027-03</x:v>
      </x:c>
      <x:c r="F237" s="28" t="str">
        <x:v>Approved case</x:v>
      </x:c>
      <x:c r="G237" s="28" t="str">
        <x:v>Net approved run-rate and timing adjustment</x:v>
      </x:c>
      <x:c r="H237" s="31" t="n">
        <x:v>4615.384615384615</x:v>
      </x:c>
      <x:c r="I237" s="28" t="str"/>
      <x:c r="J237" s="28" t="str">
        <x:v>USD</x:v>
      </x:c>
      <x:c r="K237" s="28" t="str">
        <x:v>Approved hire, contract, savings, and one-time event register</x:v>
      </x:c>
      <x:c r="L237" s="34" t="str">
        <x:v>2026-06-30</x:v>
      </x:c>
      <x:c r="M237" s="28" t="str"/>
    </x:row>
    <x:row r="238">
      <x:c r="A238" s="37" t="str">
        <x:v>PLN-00276</x:v>
      </x:c>
      <x:c r="B238" s="28" t="str">
        <x:v>Twelve-month operating-expense reforecast</x:v>
      </x:c>
      <x:c r="C238" s="28" t="str">
        <x:v>Approved monthly plan</x:v>
      </x:c>
      <x:c r="D238" s="28" t="str">
        <x:v>Executive</x:v>
      </x:c>
      <x:c r="E238" s="28" t="str">
        <x:v>2027-04</x:v>
      </x:c>
      <x:c r="F238" s="28" t="str">
        <x:v>Approved case</x:v>
      </x:c>
      <x:c r="G238" s="28" t="str">
        <x:v>Controllable operating expense</x:v>
      </x:c>
      <x:c r="H238" s="31" t="n">
        <x:v>0.010833333333333334</x:v>
      </x:c>
      <x:c r="I238" s="28" t="str"/>
      <x:c r="J238" s="28" t="str">
        <x:v>ledger allocation factor</x:v>
      </x:c>
      <x:c r="K238" s="28" t="str">
        <x:v>Board-approved FY27 operating plan</x:v>
      </x:c>
      <x:c r="L238" s="34" t="str">
        <x:v>2026-06-30</x:v>
      </x:c>
      <x:c r="M238" s="28" t="str">
        <x:v>Vista ERP P&amp;L, 2025-07-01 through 2026-06-30; Operating Expense total</x:v>
      </x:c>
    </x:row>
    <x:row r="239">
      <x:c r="A239" s="37" t="str">
        <x:v>PLN-00277</x:v>
      </x:c>
      <x:c r="B239" s="28" t="str">
        <x:v>Twelve-month operating-expense reforecast</x:v>
      </x:c>
      <x:c r="C239" s="28" t="str">
        <x:v>Approved reforecast events</x:v>
      </x:c>
      <x:c r="D239" s="28" t="str">
        <x:v>Executive</x:v>
      </x:c>
      <x:c r="E239" s="28" t="str">
        <x:v>2027-04</x:v>
      </x:c>
      <x:c r="F239" s="28" t="str">
        <x:v>Approved case</x:v>
      </x:c>
      <x:c r="G239" s="28" t="str">
        <x:v>Net approved run-rate and timing adjustment</x:v>
      </x:c>
      <x:c r="H239" s="31" t="n">
        <x:v>5128.205128205128</x:v>
      </x:c>
      <x:c r="I239" s="28" t="str"/>
      <x:c r="J239" s="28" t="str">
        <x:v>USD</x:v>
      </x:c>
      <x:c r="K239" s="28" t="str">
        <x:v>Approved hire, contract, savings, and one-time event register</x:v>
      </x:c>
      <x:c r="L239" s="34" t="str">
        <x:v>2026-06-30</x:v>
      </x:c>
      <x:c r="M239" s="28" t="str"/>
    </x:row>
    <x:row r="240">
      <x:c r="A240" s="37" t="str">
        <x:v>PLN-00278</x:v>
      </x:c>
      <x:c r="B240" s="28" t="str">
        <x:v>Twelve-month operating-expense reforecast</x:v>
      </x:c>
      <x:c r="C240" s="28" t="str">
        <x:v>Approved monthly plan</x:v>
      </x:c>
      <x:c r="D240" s="28" t="str">
        <x:v>Executive</x:v>
      </x:c>
      <x:c r="E240" s="28" t="str">
        <x:v>2027-05</x:v>
      </x:c>
      <x:c r="F240" s="28" t="str">
        <x:v>Approved case</x:v>
      </x:c>
      <x:c r="G240" s="28" t="str">
        <x:v>Controllable operating expense</x:v>
      </x:c>
      <x:c r="H240" s="31" t="n">
        <x:v>0.010833333333333334</x:v>
      </x:c>
      <x:c r="I240" s="28" t="str"/>
      <x:c r="J240" s="28" t="str">
        <x:v>ledger allocation factor</x:v>
      </x:c>
      <x:c r="K240" s="28" t="str">
        <x:v>Board-approved FY27 operating plan</x:v>
      </x:c>
      <x:c r="L240" s="34" t="str">
        <x:v>2026-06-30</x:v>
      </x:c>
      <x:c r="M240" s="28" t="str">
        <x:v>Vista ERP P&amp;L, 2025-07-01 through 2026-06-30; Operating Expense total</x:v>
      </x:c>
    </x:row>
    <x:row r="241">
      <x:c r="A241" s="37" t="str">
        <x:v>PLN-00279</x:v>
      </x:c>
      <x:c r="B241" s="28" t="str">
        <x:v>Twelve-month operating-expense reforecast</x:v>
      </x:c>
      <x:c r="C241" s="28" t="str">
        <x:v>Approved reforecast events</x:v>
      </x:c>
      <x:c r="D241" s="28" t="str">
        <x:v>Executive</x:v>
      </x:c>
      <x:c r="E241" s="28" t="str">
        <x:v>2027-05</x:v>
      </x:c>
      <x:c r="F241" s="28" t="str">
        <x:v>Approved case</x:v>
      </x:c>
      <x:c r="G241" s="28" t="str">
        <x:v>Net approved run-rate and timing adjustment</x:v>
      </x:c>
      <x:c r="H241" s="31" t="n">
        <x:v>5641.025641025641</x:v>
      </x:c>
      <x:c r="I241" s="28" t="str"/>
      <x:c r="J241" s="28" t="str">
        <x:v>USD</x:v>
      </x:c>
      <x:c r="K241" s="28" t="str">
        <x:v>Approved hire, contract, savings, and one-time event register</x:v>
      </x:c>
      <x:c r="L241" s="34" t="str">
        <x:v>2026-06-30</x:v>
      </x:c>
      <x:c r="M241" s="28" t="str"/>
    </x:row>
    <x:row r="242">
      <x:c r="A242" s="37" t="str">
        <x:v>PLN-00280</x:v>
      </x:c>
      <x:c r="B242" s="28" t="str">
        <x:v>Twelve-month operating-expense reforecast</x:v>
      </x:c>
      <x:c r="C242" s="28" t="str">
        <x:v>Approved monthly plan</x:v>
      </x:c>
      <x:c r="D242" s="28" t="str">
        <x:v>Executive</x:v>
      </x:c>
      <x:c r="E242" s="28" t="str">
        <x:v>2027-06</x:v>
      </x:c>
      <x:c r="F242" s="28" t="str">
        <x:v>Approved case</x:v>
      </x:c>
      <x:c r="G242" s="28" t="str">
        <x:v>Controllable operating expense</x:v>
      </x:c>
      <x:c r="H242" s="31" t="n">
        <x:v>0.010833333333333334</x:v>
      </x:c>
      <x:c r="I242" s="28" t="str"/>
      <x:c r="J242" s="28" t="str">
        <x:v>ledger allocation factor</x:v>
      </x:c>
      <x:c r="K242" s="28" t="str">
        <x:v>Board-approved FY27 operating plan</x:v>
      </x:c>
      <x:c r="L242" s="34" t="str">
        <x:v>2026-06-30</x:v>
      </x:c>
      <x:c r="M242" s="28" t="str">
        <x:v>Vista ERP P&amp;L, 2025-07-01 through 2026-06-30; Operating Expense total</x:v>
      </x:c>
    </x:row>
    <x:row r="243">
      <x:c r="A243" s="37" t="str">
        <x:v>PLN-00281</x:v>
      </x:c>
      <x:c r="B243" s="28" t="str">
        <x:v>Twelve-month operating-expense reforecast</x:v>
      </x:c>
      <x:c r="C243" s="28" t="str">
        <x:v>Approved reforecast events</x:v>
      </x:c>
      <x:c r="D243" s="28" t="str">
        <x:v>Executive</x:v>
      </x:c>
      <x:c r="E243" s="28" t="str">
        <x:v>2027-06</x:v>
      </x:c>
      <x:c r="F243" s="28" t="str">
        <x:v>Approved case</x:v>
      </x:c>
      <x:c r="G243" s="28" t="str">
        <x:v>Net approved run-rate and timing adjustment</x:v>
      </x:c>
      <x:c r="H243" s="31" t="n">
        <x:v>6153.846153846154</x:v>
      </x:c>
      <x:c r="I243" s="28" t="str"/>
      <x:c r="J243" s="28" t="str">
        <x:v>USD</x:v>
      </x:c>
      <x:c r="K243" s="28" t="str">
        <x:v>Approved hire, contract, savings, and one-time event register</x:v>
      </x:c>
      <x:c r="L243" s="34" t="str">
        <x:v>2026-06-30</x:v>
      </x:c>
      <x:c r="M243" s="28" t="str"/>
    </x:row>
    <x:row r="244">
      <x:c r="A244" s="37" t="str">
        <x:v>PLN-00282</x:v>
      </x:c>
      <x:c r="B244" s="28" t="str">
        <x:v>Twelve-month operating-expense reforecast</x:v>
      </x:c>
      <x:c r="C244" s="28" t="str">
        <x:v>Scope exclusions</x:v>
      </x:c>
      <x:c r="D244" s="28" t="str">
        <x:v>Depreciation</x:v>
      </x:c>
      <x:c r="E244" s="28" t="str">
        <x:v>FY27</x:v>
      </x:c>
      <x:c r="F244" s="28" t="str">
        <x:v>Approved case</x:v>
      </x:c>
      <x:c r="G244" s="28" t="str">
        <x:v>Excluded non-controllable expense</x:v>
      </x:c>
      <x:c r="H244" s="31" t="n">
        <x:v>420000</x:v>
      </x:c>
      <x:c r="I244" s="28" t="str"/>
      <x:c r="J244" s="28" t="str">
        <x:v>USD</x:v>
      </x:c>
      <x:c r="K244" s="28" t="str">
        <x:v>Finance operating schedule</x:v>
      </x:c>
      <x:c r="L244" s="34" t="str">
        <x:v>2026-06-30</x:v>
      </x:c>
      <x:c r="M244" s="28" t="str"/>
    </x:row>
    <x:row r="245">
      <x:c r="A245" s="37" t="str">
        <x:v>PLN-00283</x:v>
      </x:c>
      <x:c r="B245" s="28" t="str">
        <x:v>Twelve-month operating-expense reforecast</x:v>
      </x:c>
      <x:c r="C245" s="28" t="str">
        <x:v>Scope exclusions</x:v>
      </x:c>
      <x:c r="D245" s="28" t="str">
        <x:v>Interest</x:v>
      </x:c>
      <x:c r="E245" s="28" t="str">
        <x:v>FY27</x:v>
      </x:c>
      <x:c r="F245" s="28" t="str">
        <x:v>Approved case</x:v>
      </x:c>
      <x:c r="G245" s="28" t="str">
        <x:v>Excluded non-controllable expense</x:v>
      </x:c>
      <x:c r="H245" s="31" t="n">
        <x:v>310000</x:v>
      </x:c>
      <x:c r="I245" s="28" t="str"/>
      <x:c r="J245" s="28" t="str">
        <x:v>USD</x:v>
      </x:c>
      <x:c r="K245" s="28" t="str">
        <x:v>Finance operating schedule</x:v>
      </x:c>
      <x:c r="L245" s="34" t="str">
        <x:v>2026-06-30</x:v>
      </x:c>
      <x:c r="M245" s="28" t="str"/>
    </x:row>
    <x:row r="246">
      <x:c r="A246" s="37" t="str">
        <x:v>PLN-00378</x:v>
      </x:c>
      <x:c r="B246" s="28" t="str">
        <x:v>Complete the FY27 field workforce plan</x:v>
      </x:c>
      <x:c r="C246" s="28" t="str">
        <x:v>Monthly productive-hour demand</x:v>
      </x:c>
      <x:c r="D246" s="28" t="str">
        <x:v>Journey</x:v>
      </x:c>
      <x:c r="E246" s="28" t="str">
        <x:v>2026-07</x:v>
      </x:c>
      <x:c r="F246" s="28" t="str">
        <x:v>Approved case</x:v>
      </x:c>
      <x:c r="G246" s="28" t="str">
        <x:v>Required productive hours</x:v>
      </x:c>
      <x:c r="H246" s="31" t="n">
        <x:v>10204.416000000001</x:v>
      </x:c>
      <x:c r="I246" s="28" t="str"/>
      <x:c r="J246" s="28" t="str">
        <x:v>hours</x:v>
      </x:c>
      <x:c r="K246" s="28" t="str">
        <x:v>Signed backlog labor-demand conversion</x:v>
      </x:c>
      <x:c r="L246" s="34" t="str">
        <x:v>2026-06-30</x:v>
      </x:c>
      <x:c r="M246" s="28" t="str"/>
    </x:row>
    <x:row r="247">
      <x:c r="A247" s="37" t="str">
        <x:v>PLN-00379</x:v>
      </x:c>
      <x:c r="B247" s="28" t="str">
        <x:v>Complete the FY27 field workforce plan</x:v>
      </x:c>
      <x:c r="C247" s="28" t="str">
        <x:v>Monthly productive-hour demand</x:v>
      </x:c>
      <x:c r="D247" s="28" t="str">
        <x:v>Journey</x:v>
      </x:c>
      <x:c r="E247" s="28" t="str">
        <x:v>2026-08</x:v>
      </x:c>
      <x:c r="F247" s="28" t="str">
        <x:v>Approved case</x:v>
      </x:c>
      <x:c r="G247" s="28" t="str">
        <x:v>Required productive hours</x:v>
      </x:c>
      <x:c r="H247" s="31" t="n">
        <x:v>10323.3024</x:v>
      </x:c>
      <x:c r="I247" s="28" t="str"/>
      <x:c r="J247" s="28" t="str">
        <x:v>hours</x:v>
      </x:c>
      <x:c r="K247" s="28" t="str">
        <x:v>Signed backlog labor-demand conversion</x:v>
      </x:c>
      <x:c r="L247" s="34" t="str">
        <x:v>2026-06-30</x:v>
      </x:c>
      <x:c r="M247" s="28" t="str"/>
    </x:row>
    <x:row r="248">
      <x:c r="A248" s="37" t="str">
        <x:v>PLN-00380</x:v>
      </x:c>
      <x:c r="B248" s="28" t="str">
        <x:v>Complete the FY27 field workforce plan</x:v>
      </x:c>
      <x:c r="C248" s="28" t="str">
        <x:v>Monthly productive-hour demand</x:v>
      </x:c>
      <x:c r="D248" s="28" t="str">
        <x:v>Journey</x:v>
      </x:c>
      <x:c r="E248" s="28" t="str">
        <x:v>2026-09</x:v>
      </x:c>
      <x:c r="F248" s="28" t="str">
        <x:v>Approved case</x:v>
      </x:c>
      <x:c r="G248" s="28" t="str">
        <x:v>Required productive hours</x:v>
      </x:c>
      <x:c r="H248" s="31" t="n">
        <x:v>10442.188800000002</x:v>
      </x:c>
      <x:c r="I248" s="28" t="str"/>
      <x:c r="J248" s="28" t="str">
        <x:v>hours</x:v>
      </x:c>
      <x:c r="K248" s="28" t="str">
        <x:v>Signed backlog labor-demand conversion</x:v>
      </x:c>
      <x:c r="L248" s="34" t="str">
        <x:v>2026-06-30</x:v>
      </x:c>
      <x:c r="M248" s="28" t="str"/>
    </x:row>
    <x:row r="249">
      <x:c r="A249" s="37" t="str">
        <x:v>PLN-00381</x:v>
      </x:c>
      <x:c r="B249" s="28" t="str">
        <x:v>Complete the FY27 field workforce plan</x:v>
      </x:c>
      <x:c r="C249" s="28" t="str">
        <x:v>Monthly productive-hour demand</x:v>
      </x:c>
      <x:c r="D249" s="28" t="str">
        <x:v>Journey</x:v>
      </x:c>
      <x:c r="E249" s="28" t="str">
        <x:v>2026-10</x:v>
      </x:c>
      <x:c r="F249" s="28" t="str">
        <x:v>Approved case</x:v>
      </x:c>
      <x:c r="G249" s="28" t="str">
        <x:v>Required productive hours</x:v>
      </x:c>
      <x:c r="H249" s="31" t="n">
        <x:v>10561.075200000001</x:v>
      </x:c>
      <x:c r="I249" s="28" t="str"/>
      <x:c r="J249" s="28" t="str">
        <x:v>hours</x:v>
      </x:c>
      <x:c r="K249" s="28" t="str">
        <x:v>Signed backlog labor-demand conversion</x:v>
      </x:c>
      <x:c r="L249" s="34" t="str">
        <x:v>2026-06-30</x:v>
      </x:c>
      <x:c r="M249" s="28" t="str"/>
    </x:row>
    <x:row r="250">
      <x:c r="A250" s="37" t="str">
        <x:v>PLN-00382</x:v>
      </x:c>
      <x:c r="B250" s="28" t="str">
        <x:v>Complete the FY27 field workforce plan</x:v>
      </x:c>
      <x:c r="C250" s="28" t="str">
        <x:v>Monthly productive-hour demand</x:v>
      </x:c>
      <x:c r="D250" s="28" t="str">
        <x:v>Journey</x:v>
      </x:c>
      <x:c r="E250" s="28" t="str">
        <x:v>2026-11</x:v>
      </x:c>
      <x:c r="F250" s="28" t="str">
        <x:v>Approved case</x:v>
      </x:c>
      <x:c r="G250" s="28" t="str">
        <x:v>Required productive hours</x:v>
      </x:c>
      <x:c r="H250" s="31" t="n">
        <x:v>10679.961600000002</x:v>
      </x:c>
      <x:c r="I250" s="28" t="str"/>
      <x:c r="J250" s="28" t="str">
        <x:v>hours</x:v>
      </x:c>
      <x:c r="K250" s="28" t="str">
        <x:v>Signed backlog labor-demand conversion</x:v>
      </x:c>
      <x:c r="L250" s="34" t="str">
        <x:v>2026-06-30</x:v>
      </x:c>
      <x:c r="M250" s="28" t="str"/>
    </x:row>
    <x:row r="251">
      <x:c r="A251" s="37" t="str">
        <x:v>PLN-00383</x:v>
      </x:c>
      <x:c r="B251" s="28" t="str">
        <x:v>Complete the FY27 field workforce plan</x:v>
      </x:c>
      <x:c r="C251" s="28" t="str">
        <x:v>Monthly productive-hour demand</x:v>
      </x:c>
      <x:c r="D251" s="28" t="str">
        <x:v>Journey</x:v>
      </x:c>
      <x:c r="E251" s="28" t="str">
        <x:v>2026-12</x:v>
      </x:c>
      <x:c r="F251" s="28" t="str">
        <x:v>Approved case</x:v>
      </x:c>
      <x:c r="G251" s="28" t="str">
        <x:v>Required productive hours</x:v>
      </x:c>
      <x:c r="H251" s="31" t="n">
        <x:v>10798.848000000002</x:v>
      </x:c>
      <x:c r="I251" s="28" t="str"/>
      <x:c r="J251" s="28" t="str">
        <x:v>hours</x:v>
      </x:c>
      <x:c r="K251" s="28" t="str">
        <x:v>Signed backlog labor-demand conversion</x:v>
      </x:c>
      <x:c r="L251" s="34" t="str">
        <x:v>2026-06-30</x:v>
      </x:c>
      <x:c r="M251" s="28" t="str"/>
    </x:row>
    <x:row r="252">
      <x:c r="A252" s="37" t="str">
        <x:v>PLN-00384</x:v>
      </x:c>
      <x:c r="B252" s="28" t="str">
        <x:v>Complete the FY27 field workforce plan</x:v>
      </x:c>
      <x:c r="C252" s="28" t="str">
        <x:v>Monthly productive-hour demand</x:v>
      </x:c>
      <x:c r="D252" s="28" t="str">
        <x:v>Journey</x:v>
      </x:c>
      <x:c r="E252" s="28" t="str">
        <x:v>2027-01</x:v>
      </x:c>
      <x:c r="F252" s="28" t="str">
        <x:v>Approved case</x:v>
      </x:c>
      <x:c r="G252" s="28" t="str">
        <x:v>Required productive hours</x:v>
      </x:c>
      <x:c r="H252" s="31" t="n">
        <x:v>10917.734400000001</x:v>
      </x:c>
      <x:c r="I252" s="28" t="str"/>
      <x:c r="J252" s="28" t="str">
        <x:v>hours</x:v>
      </x:c>
      <x:c r="K252" s="28" t="str">
        <x:v>Signed backlog labor-demand conversion</x:v>
      </x:c>
      <x:c r="L252" s="34" t="str">
        <x:v>2026-06-30</x:v>
      </x:c>
      <x:c r="M252" s="28" t="str"/>
    </x:row>
    <x:row r="253">
      <x:c r="A253" s="37" t="str">
        <x:v>PLN-00385</x:v>
      </x:c>
      <x:c r="B253" s="28" t="str">
        <x:v>Complete the FY27 field workforce plan</x:v>
      </x:c>
      <x:c r="C253" s="28" t="str">
        <x:v>Monthly productive-hour demand</x:v>
      </x:c>
      <x:c r="D253" s="28" t="str">
        <x:v>Journey</x:v>
      </x:c>
      <x:c r="E253" s="28" t="str">
        <x:v>2027-02</x:v>
      </x:c>
      <x:c r="F253" s="28" t="str">
        <x:v>Approved case</x:v>
      </x:c>
      <x:c r="G253" s="28" t="str">
        <x:v>Required productive hours</x:v>
      </x:c>
      <x:c r="H253" s="31" t="n">
        <x:v>12027.3408</x:v>
      </x:c>
      <x:c r="I253" s="28" t="str"/>
      <x:c r="J253" s="28" t="str">
        <x:v>hours</x:v>
      </x:c>
      <x:c r="K253" s="28" t="str">
        <x:v>Signed backlog labor-demand conversion</x:v>
      </x:c>
      <x:c r="L253" s="34" t="str">
        <x:v>2026-06-30</x:v>
      </x:c>
      <x:c r="M253" s="28" t="str"/>
    </x:row>
    <x:row r="254">
      <x:c r="A254" s="37" t="str">
        <x:v>PLN-00386</x:v>
      </x:c>
      <x:c r="B254" s="28" t="str">
        <x:v>Complete the FY27 field workforce plan</x:v>
      </x:c>
      <x:c r="C254" s="28" t="str">
        <x:v>Monthly productive-hour demand</x:v>
      </x:c>
      <x:c r="D254" s="28" t="str">
        <x:v>Journey</x:v>
      </x:c>
      <x:c r="E254" s="28" t="str">
        <x:v>2027-03</x:v>
      </x:c>
      <x:c r="F254" s="28" t="str">
        <x:v>Approved case</x:v>
      </x:c>
      <x:c r="G254" s="28" t="str">
        <x:v>Required productive hours</x:v>
      </x:c>
      <x:c r="H254" s="31" t="n">
        <x:v>12146.227200000001</x:v>
      </x:c>
      <x:c r="I254" s="28" t="str"/>
      <x:c r="J254" s="28" t="str">
        <x:v>hours</x:v>
      </x:c>
      <x:c r="K254" s="28" t="str">
        <x:v>Signed backlog labor-demand conversion</x:v>
      </x:c>
      <x:c r="L254" s="34" t="str">
        <x:v>2026-06-30</x:v>
      </x:c>
      <x:c r="M254" s="28" t="str"/>
    </x:row>
    <x:row r="255">
      <x:c r="A255" s="37" t="str">
        <x:v>PLN-00387</x:v>
      </x:c>
      <x:c r="B255" s="28" t="str">
        <x:v>Complete the FY27 field workforce plan</x:v>
      </x:c>
      <x:c r="C255" s="28" t="str">
        <x:v>Monthly productive-hour demand</x:v>
      </x:c>
      <x:c r="D255" s="28" t="str">
        <x:v>Journey</x:v>
      </x:c>
      <x:c r="E255" s="28" t="str">
        <x:v>2027-04</x:v>
      </x:c>
      <x:c r="F255" s="28" t="str">
        <x:v>Approved case</x:v>
      </x:c>
      <x:c r="G255" s="28" t="str">
        <x:v>Required productive hours</x:v>
      </x:c>
      <x:c r="H255" s="31" t="n">
        <x:v>12265.1136</x:v>
      </x:c>
      <x:c r="I255" s="28" t="str"/>
      <x:c r="J255" s="28" t="str">
        <x:v>hours</x:v>
      </x:c>
      <x:c r="K255" s="28" t="str">
        <x:v>Signed backlog labor-demand conversion</x:v>
      </x:c>
      <x:c r="L255" s="34" t="str">
        <x:v>2026-06-30</x:v>
      </x:c>
      <x:c r="M255" s="28" t="str"/>
    </x:row>
    <x:row r="256">
      <x:c r="A256" s="37" t="str">
        <x:v>PLN-00388</x:v>
      </x:c>
      <x:c r="B256" s="28" t="str">
        <x:v>Complete the FY27 field workforce plan</x:v>
      </x:c>
      <x:c r="C256" s="28" t="str">
        <x:v>Monthly productive-hour demand</x:v>
      </x:c>
      <x:c r="D256" s="28" t="str">
        <x:v>Journey</x:v>
      </x:c>
      <x:c r="E256" s="28" t="str">
        <x:v>2027-05</x:v>
      </x:c>
      <x:c r="F256" s="28" t="str">
        <x:v>Approved case</x:v>
      </x:c>
      <x:c r="G256" s="28" t="str">
        <x:v>Required productive hours</x:v>
      </x:c>
      <x:c r="H256" s="31" t="n">
        <x:v>11393.28</x:v>
      </x:c>
      <x:c r="I256" s="28" t="str"/>
      <x:c r="J256" s="28" t="str">
        <x:v>hours</x:v>
      </x:c>
      <x:c r="K256" s="28" t="str">
        <x:v>Signed backlog labor-demand conversion</x:v>
      </x:c>
      <x:c r="L256" s="34" t="str">
        <x:v>2026-06-30</x:v>
      </x:c>
      <x:c r="M256" s="28" t="str"/>
    </x:row>
    <x:row r="257">
      <x:c r="A257" s="37" t="str">
        <x:v>PLN-00389</x:v>
      </x:c>
      <x:c r="B257" s="28" t="str">
        <x:v>Complete the FY27 field workforce plan</x:v>
      </x:c>
      <x:c r="C257" s="28" t="str">
        <x:v>Monthly productive-hour demand</x:v>
      </x:c>
      <x:c r="D257" s="28" t="str">
        <x:v>Journey</x:v>
      </x:c>
      <x:c r="E257" s="28" t="str">
        <x:v>2027-06</x:v>
      </x:c>
      <x:c r="F257" s="28" t="str">
        <x:v>Approved case</x:v>
      </x:c>
      <x:c r="G257" s="28" t="str">
        <x:v>Required productive hours</x:v>
      </x:c>
      <x:c r="H257" s="31" t="n">
        <x:v>11512.1664</x:v>
      </x:c>
      <x:c r="I257" s="28" t="str"/>
      <x:c r="J257" s="28" t="str">
        <x:v>hours</x:v>
      </x:c>
      <x:c r="K257" s="28" t="str">
        <x:v>Signed backlog labor-demand conversion</x:v>
      </x:c>
      <x:c r="L257" s="34" t="str">
        <x:v>2026-06-30</x:v>
      </x:c>
      <x:c r="M257" s="28" t="str"/>
    </x:row>
    <x:row r="258">
      <x:c r="A258" s="37" t="str">
        <x:v>PLN-00395</x:v>
      </x:c>
      <x:c r="B258" s="28" t="str">
        <x:v>Complete the FY27 field workforce plan</x:v>
      </x:c>
      <x:c r="C258" s="28" t="str">
        <x:v>Monthly productive-hour demand</x:v>
      </x:c>
      <x:c r="D258" s="28" t="str">
        <x:v>Apprentice</x:v>
      </x:c>
      <x:c r="E258" s="28" t="str">
        <x:v>2026-07</x:v>
      </x:c>
      <x:c r="F258" s="28" t="str">
        <x:v>Approved case</x:v>
      </x:c>
      <x:c r="G258" s="28" t="str">
        <x:v>Required productive hours</x:v>
      </x:c>
      <x:c r="H258" s="31" t="n">
        <x:v>3141.48352</x:v>
      </x:c>
      <x:c r="I258" s="28" t="str"/>
      <x:c r="J258" s="28" t="str">
        <x:v>hours</x:v>
      </x:c>
      <x:c r="K258" s="28" t="str">
        <x:v>Signed backlog labor-demand conversion</x:v>
      </x:c>
      <x:c r="L258" s="34" t="str">
        <x:v>2026-06-30</x:v>
      </x:c>
      <x:c r="M258" s="28" t="str"/>
    </x:row>
    <x:row r="259">
      <x:c r="A259" s="37" t="str">
        <x:v>PLN-00396</x:v>
      </x:c>
      <x:c r="B259" s="28" t="str">
        <x:v>Complete the FY27 field workforce plan</x:v>
      </x:c>
      <x:c r="C259" s="28" t="str">
        <x:v>Monthly productive-hour demand</x:v>
      </x:c>
      <x:c r="D259" s="28" t="str">
        <x:v>Apprentice</x:v>
      </x:c>
      <x:c r="E259" s="28" t="str">
        <x:v>2026-08</x:v>
      </x:c>
      <x:c r="F259" s="28" t="str">
        <x:v>Approved case</x:v>
      </x:c>
      <x:c r="G259" s="28" t="str">
        <x:v>Required productive hours</x:v>
      </x:c>
      <x:c r="H259" s="31" t="n">
        <x:v>3178.083328</x:v>
      </x:c>
      <x:c r="I259" s="28" t="str"/>
      <x:c r="J259" s="28" t="str">
        <x:v>hours</x:v>
      </x:c>
      <x:c r="K259" s="28" t="str">
        <x:v>Signed backlog labor-demand conversion</x:v>
      </x:c>
      <x:c r="L259" s="34" t="str">
        <x:v>2026-06-30</x:v>
      </x:c>
      <x:c r="M259" s="28" t="str"/>
    </x:row>
    <x:row r="260">
      <x:c r="A260" s="37" t="str">
        <x:v>PLN-00397</x:v>
      </x:c>
      <x:c r="B260" s="28" t="str">
        <x:v>Complete the FY27 field workforce plan</x:v>
      </x:c>
      <x:c r="C260" s="28" t="str">
        <x:v>Monthly productive-hour demand</x:v>
      </x:c>
      <x:c r="D260" s="28" t="str">
        <x:v>Apprentice</x:v>
      </x:c>
      <x:c r="E260" s="28" t="str">
        <x:v>2026-09</x:v>
      </x:c>
      <x:c r="F260" s="28" t="str">
        <x:v>Approved case</x:v>
      </x:c>
      <x:c r="G260" s="28" t="str">
        <x:v>Required productive hours</x:v>
      </x:c>
      <x:c r="H260" s="31" t="n">
        <x:v>3214.683136</x:v>
      </x:c>
      <x:c r="I260" s="28" t="str"/>
      <x:c r="J260" s="28" t="str">
        <x:v>hours</x:v>
      </x:c>
      <x:c r="K260" s="28" t="str">
        <x:v>Signed backlog labor-demand conversion</x:v>
      </x:c>
      <x:c r="L260" s="34" t="str">
        <x:v>2026-06-30</x:v>
      </x:c>
      <x:c r="M260" s="28" t="str"/>
    </x:row>
    <x:row r="261">
      <x:c r="A261" s="37" t="str">
        <x:v>PLN-00398</x:v>
      </x:c>
      <x:c r="B261" s="28" t="str">
        <x:v>Complete the FY27 field workforce plan</x:v>
      </x:c>
      <x:c r="C261" s="28" t="str">
        <x:v>Monthly productive-hour demand</x:v>
      </x:c>
      <x:c r="D261" s="28" t="str">
        <x:v>Apprentice</x:v>
      </x:c>
      <x:c r="E261" s="28" t="str">
        <x:v>2026-10</x:v>
      </x:c>
      <x:c r="F261" s="28" t="str">
        <x:v>Approved case</x:v>
      </x:c>
      <x:c r="G261" s="28" t="str">
        <x:v>Required productive hours</x:v>
      </x:c>
      <x:c r="H261" s="31" t="n">
        <x:v>3251.282944</x:v>
      </x:c>
      <x:c r="I261" s="28" t="str"/>
      <x:c r="J261" s="28" t="str">
        <x:v>hours</x:v>
      </x:c>
      <x:c r="K261" s="28" t="str">
        <x:v>Signed backlog labor-demand conversion</x:v>
      </x:c>
      <x:c r="L261" s="34" t="str">
        <x:v>2026-06-30</x:v>
      </x:c>
      <x:c r="M261" s="28" t="str"/>
    </x:row>
    <x:row r="262">
      <x:c r="A262" s="37" t="str">
        <x:v>PLN-00399</x:v>
      </x:c>
      <x:c r="B262" s="28" t="str">
        <x:v>Complete the FY27 field workforce plan</x:v>
      </x:c>
      <x:c r="C262" s="28" t="str">
        <x:v>Monthly productive-hour demand</x:v>
      </x:c>
      <x:c r="D262" s="28" t="str">
        <x:v>Apprentice</x:v>
      </x:c>
      <x:c r="E262" s="28" t="str">
        <x:v>2026-11</x:v>
      </x:c>
      <x:c r="F262" s="28" t="str">
        <x:v>Approved case</x:v>
      </x:c>
      <x:c r="G262" s="28" t="str">
        <x:v>Required productive hours</x:v>
      </x:c>
      <x:c r="H262" s="31" t="n">
        <x:v>3287.8827520000004</x:v>
      </x:c>
      <x:c r="I262" s="28" t="str"/>
      <x:c r="J262" s="28" t="str">
        <x:v>hours</x:v>
      </x:c>
      <x:c r="K262" s="28" t="str">
        <x:v>Signed backlog labor-demand conversion</x:v>
      </x:c>
      <x:c r="L262" s="34" t="str">
        <x:v>2026-06-30</x:v>
      </x:c>
      <x:c r="M262" s="28" t="str"/>
    </x:row>
    <x:row r="263">
      <x:c r="A263" s="37" t="str">
        <x:v>PLN-00400</x:v>
      </x:c>
      <x:c r="B263" s="28" t="str">
        <x:v>Complete the FY27 field workforce plan</x:v>
      </x:c>
      <x:c r="C263" s="28" t="str">
        <x:v>Monthly productive-hour demand</x:v>
      </x:c>
      <x:c r="D263" s="28" t="str">
        <x:v>Apprentice</x:v>
      </x:c>
      <x:c r="E263" s="28" t="str">
        <x:v>2026-12</x:v>
      </x:c>
      <x:c r="F263" s="28" t="str">
        <x:v>Approved case</x:v>
      </x:c>
      <x:c r="G263" s="28" t="str">
        <x:v>Required productive hours</x:v>
      </x:c>
      <x:c r="H263" s="31" t="n">
        <x:v>3324.4825600000004</x:v>
      </x:c>
      <x:c r="I263" s="28" t="str"/>
      <x:c r="J263" s="28" t="str">
        <x:v>hours</x:v>
      </x:c>
      <x:c r="K263" s="28" t="str">
        <x:v>Signed backlog labor-demand conversion</x:v>
      </x:c>
      <x:c r="L263" s="34" t="str">
        <x:v>2026-06-30</x:v>
      </x:c>
      <x:c r="M263" s="28" t="str"/>
    </x:row>
    <x:row r="264">
      <x:c r="A264" s="37" t="str">
        <x:v>PLN-00401</x:v>
      </x:c>
      <x:c r="B264" s="28" t="str">
        <x:v>Complete the FY27 field workforce plan</x:v>
      </x:c>
      <x:c r="C264" s="28" t="str">
        <x:v>Monthly productive-hour demand</x:v>
      </x:c>
      <x:c r="D264" s="28" t="str">
        <x:v>Apprentice</x:v>
      </x:c>
      <x:c r="E264" s="28" t="str">
        <x:v>2027-01</x:v>
      </x:c>
      <x:c r="F264" s="28" t="str">
        <x:v>Approved case</x:v>
      </x:c>
      <x:c r="G264" s="28" t="str">
        <x:v>Required productive hours</x:v>
      </x:c>
      <x:c r="H264" s="31" t="n">
        <x:v>3361.0823680000003</x:v>
      </x:c>
      <x:c r="I264" s="28" t="str"/>
      <x:c r="J264" s="28" t="str">
        <x:v>hours</x:v>
      </x:c>
      <x:c r="K264" s="28" t="str">
        <x:v>Signed backlog labor-demand conversion</x:v>
      </x:c>
      <x:c r="L264" s="34" t="str">
        <x:v>2026-06-30</x:v>
      </x:c>
      <x:c r="M264" s="28" t="str"/>
    </x:row>
    <x:row r="265">
      <x:c r="A265" s="37" t="str">
        <x:v>PLN-00402</x:v>
      </x:c>
      <x:c r="B265" s="28" t="str">
        <x:v>Complete the FY27 field workforce plan</x:v>
      </x:c>
      <x:c r="C265" s="28" t="str">
        <x:v>Monthly productive-hour demand</x:v>
      </x:c>
      <x:c r="D265" s="28" t="str">
        <x:v>Apprentice</x:v>
      </x:c>
      <x:c r="E265" s="28" t="str">
        <x:v>2027-02</x:v>
      </x:c>
      <x:c r="F265" s="28" t="str">
        <x:v>Approved case</x:v>
      </x:c>
      <x:c r="G265" s="28" t="str">
        <x:v>Required productive hours</x:v>
      </x:c>
      <x:c r="H265" s="31" t="n">
        <x:v>3702.680576</x:v>
      </x:c>
      <x:c r="I265" s="28" t="str"/>
      <x:c r="J265" s="28" t="str">
        <x:v>hours</x:v>
      </x:c>
      <x:c r="K265" s="28" t="str">
        <x:v>Signed backlog labor-demand conversion</x:v>
      </x:c>
      <x:c r="L265" s="34" t="str">
        <x:v>2026-06-30</x:v>
      </x:c>
      <x:c r="M265" s="28" t="str"/>
    </x:row>
    <x:row r="266">
      <x:c r="A266" s="37" t="str">
        <x:v>PLN-00403</x:v>
      </x:c>
      <x:c r="B266" s="28" t="str">
        <x:v>Complete the FY27 field workforce plan</x:v>
      </x:c>
      <x:c r="C266" s="28" t="str">
        <x:v>Monthly productive-hour demand</x:v>
      </x:c>
      <x:c r="D266" s="28" t="str">
        <x:v>Apprentice</x:v>
      </x:c>
      <x:c r="E266" s="28" t="str">
        <x:v>2027-03</x:v>
      </x:c>
      <x:c r="F266" s="28" t="str">
        <x:v>Approved case</x:v>
      </x:c>
      <x:c r="G266" s="28" t="str">
        <x:v>Required productive hours</x:v>
      </x:c>
      <x:c r="H266" s="31" t="n">
        <x:v>3739.280384</x:v>
      </x:c>
      <x:c r="I266" s="28" t="str"/>
      <x:c r="J266" s="28" t="str">
        <x:v>hours</x:v>
      </x:c>
      <x:c r="K266" s="28" t="str">
        <x:v>Signed backlog labor-demand conversion</x:v>
      </x:c>
      <x:c r="L266" s="34" t="str">
        <x:v>2026-06-30</x:v>
      </x:c>
      <x:c r="M266" s="28" t="str"/>
    </x:row>
    <x:row r="267">
      <x:c r="A267" s="37" t="str">
        <x:v>PLN-00404</x:v>
      </x:c>
      <x:c r="B267" s="28" t="str">
        <x:v>Complete the FY27 field workforce plan</x:v>
      </x:c>
      <x:c r="C267" s="28" t="str">
        <x:v>Monthly productive-hour demand</x:v>
      </x:c>
      <x:c r="D267" s="28" t="str">
        <x:v>Apprentice</x:v>
      </x:c>
      <x:c r="E267" s="28" t="str">
        <x:v>2027-04</x:v>
      </x:c>
      <x:c r="F267" s="28" t="str">
        <x:v>Approved case</x:v>
      </x:c>
      <x:c r="G267" s="28" t="str">
        <x:v>Required productive hours</x:v>
      </x:c>
      <x:c r="H267" s="31" t="n">
        <x:v>3775.880192</x:v>
      </x:c>
      <x:c r="I267" s="28" t="str"/>
      <x:c r="J267" s="28" t="str">
        <x:v>hours</x:v>
      </x:c>
      <x:c r="K267" s="28" t="str">
        <x:v>Signed backlog labor-demand conversion</x:v>
      </x:c>
      <x:c r="L267" s="34" t="str">
        <x:v>2026-06-30</x:v>
      </x:c>
      <x:c r="M267" s="28" t="str"/>
    </x:row>
    <x:row r="268">
      <x:c r="A268" s="37" t="str">
        <x:v>PLN-00405</x:v>
      </x:c>
      <x:c r="B268" s="28" t="str">
        <x:v>Complete the FY27 field workforce plan</x:v>
      </x:c>
      <x:c r="C268" s="28" t="str">
        <x:v>Monthly productive-hour demand</x:v>
      </x:c>
      <x:c r="D268" s="28" t="str">
        <x:v>Apprentice</x:v>
      </x:c>
      <x:c r="E268" s="28" t="str">
        <x:v>2027-05</x:v>
      </x:c>
      <x:c r="F268" s="28" t="str">
        <x:v>Approved case</x:v>
      </x:c>
      <x:c r="G268" s="28" t="str">
        <x:v>Required productive hours</x:v>
      </x:c>
      <x:c r="H268" s="31" t="n">
        <x:v>3507.4815999999996</x:v>
      </x:c>
      <x:c r="I268" s="28" t="str"/>
      <x:c r="J268" s="28" t="str">
        <x:v>hours</x:v>
      </x:c>
      <x:c r="K268" s="28" t="str">
        <x:v>Signed backlog labor-demand conversion</x:v>
      </x:c>
      <x:c r="L268" s="34" t="str">
        <x:v>2026-06-30</x:v>
      </x:c>
      <x:c r="M268" s="28" t="str"/>
    </x:row>
    <x:row r="269">
      <x:c r="A269" s="37" t="str">
        <x:v>PLN-00406</x:v>
      </x:c>
      <x:c r="B269" s="28" t="str">
        <x:v>Complete the FY27 field workforce plan</x:v>
      </x:c>
      <x:c r="C269" s="28" t="str">
        <x:v>Monthly productive-hour demand</x:v>
      </x:c>
      <x:c r="D269" s="28" t="str">
        <x:v>Apprentice</x:v>
      </x:c>
      <x:c r="E269" s="28" t="str">
        <x:v>2027-06</x:v>
      </x:c>
      <x:c r="F269" s="28" t="str">
        <x:v>Approved case</x:v>
      </x:c>
      <x:c r="G269" s="28" t="str">
        <x:v>Required productive hours</x:v>
      </x:c>
      <x:c r="H269" s="31" t="n">
        <x:v>3544.081408</x:v>
      </x:c>
      <x:c r="I269" s="28" t="str"/>
      <x:c r="J269" s="28" t="str">
        <x:v>hours</x:v>
      </x:c>
      <x:c r="K269" s="28" t="str">
        <x:v>Signed backlog labor-demand conversion</x:v>
      </x:c>
      <x:c r="L269" s="34" t="str">
        <x:v>2026-06-30</x:v>
      </x:c>
      <x:c r="M269" s="28" t="str"/>
    </x:row>
    <x:row r="270">
      <x:c r="A270" s="37" t="str">
        <x:v>PLN-00412</x:v>
      </x:c>
      <x:c r="B270" s="28" t="str">
        <x:v>Complete the FY27 field workforce plan</x:v>
      </x:c>
      <x:c r="C270" s="28" t="str">
        <x:v>Monthly productive-hour demand</x:v>
      </x:c>
      <x:c r="D270" s="28" t="str">
        <x:v>Controls technician</x:v>
      </x:c>
      <x:c r="E270" s="28" t="str">
        <x:v>2026-07</x:v>
      </x:c>
      <x:c r="F270" s="28" t="str">
        <x:v>Approved case</x:v>
      </x:c>
      <x:c r="G270" s="28" t="str">
        <x:v>Required productive hours</x:v>
      </x:c>
      <x:c r="H270" s="31" t="n">
        <x:v>1621.6319999999998</x:v>
      </x:c>
      <x:c r="I270" s="28" t="str"/>
      <x:c r="J270" s="28" t="str">
        <x:v>hours</x:v>
      </x:c>
      <x:c r="K270" s="28" t="str">
        <x:v>Signed backlog labor-demand conversion</x:v>
      </x:c>
      <x:c r="L270" s="34" t="str">
        <x:v>2026-06-30</x:v>
      </x:c>
      <x:c r="M270" s="28" t="str"/>
    </x:row>
    <x:row r="271">
      <x:c r="A271" s="37" t="str">
        <x:v>PLN-00413</x:v>
      </x:c>
      <x:c r="B271" s="28" t="str">
        <x:v>Complete the FY27 field workforce plan</x:v>
      </x:c>
      <x:c r="C271" s="28" t="str">
        <x:v>Monthly productive-hour demand</x:v>
      </x:c>
      <x:c r="D271" s="28" t="str">
        <x:v>Controls technician</x:v>
      </x:c>
      <x:c r="E271" s="28" t="str">
        <x:v>2026-08</x:v>
      </x:c>
      <x:c r="F271" s="28" t="str">
        <x:v>Approved case</x:v>
      </x:c>
      <x:c r="G271" s="28" t="str">
        <x:v>Required productive hours</x:v>
      </x:c>
      <x:c r="H271" s="31" t="n">
        <x:v>1640.5248</x:v>
      </x:c>
      <x:c r="I271" s="28" t="str"/>
      <x:c r="J271" s="28" t="str">
        <x:v>hours</x:v>
      </x:c>
      <x:c r="K271" s="28" t="str">
        <x:v>Signed backlog labor-demand conversion</x:v>
      </x:c>
      <x:c r="L271" s="34" t="str">
        <x:v>2026-06-30</x:v>
      </x:c>
      <x:c r="M271" s="28" t="str"/>
    </x:row>
    <x:row r="272">
      <x:c r="A272" s="37" t="str">
        <x:v>PLN-00414</x:v>
      </x:c>
      <x:c r="B272" s="28" t="str">
        <x:v>Complete the FY27 field workforce plan</x:v>
      </x:c>
      <x:c r="C272" s="28" t="str">
        <x:v>Monthly productive-hour demand</x:v>
      </x:c>
      <x:c r="D272" s="28" t="str">
        <x:v>Controls technician</x:v>
      </x:c>
      <x:c r="E272" s="28" t="str">
        <x:v>2026-09</x:v>
      </x:c>
      <x:c r="F272" s="28" t="str">
        <x:v>Approved case</x:v>
      </x:c>
      <x:c r="G272" s="28" t="str">
        <x:v>Required productive hours</x:v>
      </x:c>
      <x:c r="H272" s="31" t="n">
        <x:v>1659.4176</x:v>
      </x:c>
      <x:c r="I272" s="28" t="str"/>
      <x:c r="J272" s="28" t="str">
        <x:v>hours</x:v>
      </x:c>
      <x:c r="K272" s="28" t="str">
        <x:v>Signed backlog labor-demand conversion</x:v>
      </x:c>
      <x:c r="L272" s="34" t="str">
        <x:v>2026-06-30</x:v>
      </x:c>
      <x:c r="M272" s="28" t="str"/>
    </x:row>
    <x:row r="273">
      <x:c r="A273" s="37" t="str">
        <x:v>PLN-00415</x:v>
      </x:c>
      <x:c r="B273" s="28" t="str">
        <x:v>Complete the FY27 field workforce plan</x:v>
      </x:c>
      <x:c r="C273" s="28" t="str">
        <x:v>Monthly productive-hour demand</x:v>
      </x:c>
      <x:c r="D273" s="28" t="str">
        <x:v>Controls technician</x:v>
      </x:c>
      <x:c r="E273" s="28" t="str">
        <x:v>2026-10</x:v>
      </x:c>
      <x:c r="F273" s="28" t="str">
        <x:v>Approved case</x:v>
      </x:c>
      <x:c r="G273" s="28" t="str">
        <x:v>Required productive hours</x:v>
      </x:c>
      <x:c r="H273" s="31" t="n">
        <x:v>1678.3103999999998</x:v>
      </x:c>
      <x:c r="I273" s="28" t="str"/>
      <x:c r="J273" s="28" t="str">
        <x:v>hours</x:v>
      </x:c>
      <x:c r="K273" s="28" t="str">
        <x:v>Signed backlog labor-demand conversion</x:v>
      </x:c>
      <x:c r="L273" s="34" t="str">
        <x:v>2026-06-30</x:v>
      </x:c>
      <x:c r="M273" s="28" t="str"/>
    </x:row>
    <x:row r="274">
      <x:c r="A274" s="37" t="str">
        <x:v>PLN-00416</x:v>
      </x:c>
      <x:c r="B274" s="28" t="str">
        <x:v>Complete the FY27 field workforce plan</x:v>
      </x:c>
      <x:c r="C274" s="28" t="str">
        <x:v>Monthly productive-hour demand</x:v>
      </x:c>
      <x:c r="D274" s="28" t="str">
        <x:v>Controls technician</x:v>
      </x:c>
      <x:c r="E274" s="28" t="str">
        <x:v>2026-11</x:v>
      </x:c>
      <x:c r="F274" s="28" t="str">
        <x:v>Approved case</x:v>
      </x:c>
      <x:c r="G274" s="28" t="str">
        <x:v>Required productive hours</x:v>
      </x:c>
      <x:c r="H274" s="31" t="n">
        <x:v>1697.2032</x:v>
      </x:c>
      <x:c r="I274" s="28" t="str"/>
      <x:c r="J274" s="28" t="str">
        <x:v>hours</x:v>
      </x:c>
      <x:c r="K274" s="28" t="str">
        <x:v>Signed backlog labor-demand conversion</x:v>
      </x:c>
      <x:c r="L274" s="34" t="str">
        <x:v>2026-06-30</x:v>
      </x:c>
      <x:c r="M274" s="28" t="str"/>
    </x:row>
    <x:row r="275">
      <x:c r="A275" s="37" t="str">
        <x:v>PLN-00417</x:v>
      </x:c>
      <x:c r="B275" s="28" t="str">
        <x:v>Complete the FY27 field workforce plan</x:v>
      </x:c>
      <x:c r="C275" s="28" t="str">
        <x:v>Monthly productive-hour demand</x:v>
      </x:c>
      <x:c r="D275" s="28" t="str">
        <x:v>Controls technician</x:v>
      </x:c>
      <x:c r="E275" s="28" t="str">
        <x:v>2026-12</x:v>
      </x:c>
      <x:c r="F275" s="28" t="str">
        <x:v>Approved case</x:v>
      </x:c>
      <x:c r="G275" s="28" t="str">
        <x:v>Required productive hours</x:v>
      </x:c>
      <x:c r="H275" s="31" t="n">
        <x:v>1716.096</x:v>
      </x:c>
      <x:c r="I275" s="28" t="str"/>
      <x:c r="J275" s="28" t="str">
        <x:v>hours</x:v>
      </x:c>
      <x:c r="K275" s="28" t="str">
        <x:v>Signed backlog labor-demand conversion</x:v>
      </x:c>
      <x:c r="L275" s="34" t="str">
        <x:v>2026-06-30</x:v>
      </x:c>
      <x:c r="M275" s="28" t="str"/>
    </x:row>
    <x:row r="276">
      <x:c r="A276" s="37" t="str">
        <x:v>PLN-00418</x:v>
      </x:c>
      <x:c r="B276" s="28" t="str">
        <x:v>Complete the FY27 field workforce plan</x:v>
      </x:c>
      <x:c r="C276" s="28" t="str">
        <x:v>Monthly productive-hour demand</x:v>
      </x:c>
      <x:c r="D276" s="28" t="str">
        <x:v>Controls technician</x:v>
      </x:c>
      <x:c r="E276" s="28" t="str">
        <x:v>2027-01</x:v>
      </x:c>
      <x:c r="F276" s="28" t="str">
        <x:v>Approved case</x:v>
      </x:c>
      <x:c r="G276" s="28" t="str">
        <x:v>Required productive hours</x:v>
      </x:c>
      <x:c r="H276" s="31" t="n">
        <x:v>1734.9888</x:v>
      </x:c>
      <x:c r="I276" s="28" t="str"/>
      <x:c r="J276" s="28" t="str">
        <x:v>hours</x:v>
      </x:c>
      <x:c r="K276" s="28" t="str">
        <x:v>Signed backlog labor-demand conversion</x:v>
      </x:c>
      <x:c r="L276" s="34" t="str">
        <x:v>2026-06-30</x:v>
      </x:c>
      <x:c r="M276" s="28" t="str"/>
    </x:row>
    <x:row r="277">
      <x:c r="A277" s="37" t="str">
        <x:v>PLN-00419</x:v>
      </x:c>
      <x:c r="B277" s="28" t="str">
        <x:v>Complete the FY27 field workforce plan</x:v>
      </x:c>
      <x:c r="C277" s="28" t="str">
        <x:v>Monthly productive-hour demand</x:v>
      </x:c>
      <x:c r="D277" s="28" t="str">
        <x:v>Controls technician</x:v>
      </x:c>
      <x:c r="E277" s="28" t="str">
        <x:v>2027-02</x:v>
      </x:c>
      <x:c r="F277" s="28" t="str">
        <x:v>Approved case</x:v>
      </x:c>
      <x:c r="G277" s="28" t="str">
        <x:v>Required productive hours</x:v>
      </x:c>
      <x:c r="H277" s="31" t="n">
        <x:v>1911.3215999999998</x:v>
      </x:c>
      <x:c r="I277" s="28" t="str"/>
      <x:c r="J277" s="28" t="str">
        <x:v>hours</x:v>
      </x:c>
      <x:c r="K277" s="28" t="str">
        <x:v>Signed backlog labor-demand conversion</x:v>
      </x:c>
      <x:c r="L277" s="34" t="str">
        <x:v>2026-06-30</x:v>
      </x:c>
      <x:c r="M277" s="28" t="str"/>
    </x:row>
    <x:row r="278">
      <x:c r="A278" s="37" t="str">
        <x:v>PLN-00420</x:v>
      </x:c>
      <x:c r="B278" s="28" t="str">
        <x:v>Complete the FY27 field workforce plan</x:v>
      </x:c>
      <x:c r="C278" s="28" t="str">
        <x:v>Monthly productive-hour demand</x:v>
      </x:c>
      <x:c r="D278" s="28" t="str">
        <x:v>Controls technician</x:v>
      </x:c>
      <x:c r="E278" s="28" t="str">
        <x:v>2027-03</x:v>
      </x:c>
      <x:c r="F278" s="28" t="str">
        <x:v>Approved case</x:v>
      </x:c>
      <x:c r="G278" s="28" t="str">
        <x:v>Required productive hours</x:v>
      </x:c>
      <x:c r="H278" s="31" t="n">
        <x:v>1930.2143999999998</x:v>
      </x:c>
      <x:c r="I278" s="28" t="str"/>
      <x:c r="J278" s="28" t="str">
        <x:v>hours</x:v>
      </x:c>
      <x:c r="K278" s="28" t="str">
        <x:v>Signed backlog labor-demand conversion</x:v>
      </x:c>
      <x:c r="L278" s="34" t="str">
        <x:v>2026-06-30</x:v>
      </x:c>
      <x:c r="M278" s="28" t="str"/>
    </x:row>
    <x:row r="279">
      <x:c r="A279" s="37" t="str">
        <x:v>PLN-00421</x:v>
      </x:c>
      <x:c r="B279" s="28" t="str">
        <x:v>Complete the FY27 field workforce plan</x:v>
      </x:c>
      <x:c r="C279" s="28" t="str">
        <x:v>Monthly productive-hour demand</x:v>
      </x:c>
      <x:c r="D279" s="28" t="str">
        <x:v>Controls technician</x:v>
      </x:c>
      <x:c r="E279" s="28" t="str">
        <x:v>2027-04</x:v>
      </x:c>
      <x:c r="F279" s="28" t="str">
        <x:v>Approved case</x:v>
      </x:c>
      <x:c r="G279" s="28" t="str">
        <x:v>Required productive hours</x:v>
      </x:c>
      <x:c r="H279" s="31" t="n">
        <x:v>1949.1072</x:v>
      </x:c>
      <x:c r="I279" s="28" t="str"/>
      <x:c r="J279" s="28" t="str">
        <x:v>hours</x:v>
      </x:c>
      <x:c r="K279" s="28" t="str">
        <x:v>Signed backlog labor-demand conversion</x:v>
      </x:c>
      <x:c r="L279" s="34" t="str">
        <x:v>2026-06-30</x:v>
      </x:c>
      <x:c r="M279" s="28" t="str"/>
    </x:row>
    <x:row r="280">
      <x:c r="A280" s="37" t="str">
        <x:v>PLN-00422</x:v>
      </x:c>
      <x:c r="B280" s="28" t="str">
        <x:v>Complete the FY27 field workforce plan</x:v>
      </x:c>
      <x:c r="C280" s="28" t="str">
        <x:v>Monthly productive-hour demand</x:v>
      </x:c>
      <x:c r="D280" s="28" t="str">
        <x:v>Controls technician</x:v>
      </x:c>
      <x:c r="E280" s="28" t="str">
        <x:v>2027-05</x:v>
      </x:c>
      <x:c r="F280" s="28" t="str">
        <x:v>Approved case</x:v>
      </x:c>
      <x:c r="G280" s="28" t="str">
        <x:v>Required productive hours</x:v>
      </x:c>
      <x:c r="H280" s="31" t="n">
        <x:v>1810.5599999999997</x:v>
      </x:c>
      <x:c r="I280" s="28" t="str"/>
      <x:c r="J280" s="28" t="str">
        <x:v>hours</x:v>
      </x:c>
      <x:c r="K280" s="28" t="str">
        <x:v>Signed backlog labor-demand conversion</x:v>
      </x:c>
      <x:c r="L280" s="34" t="str">
        <x:v>2026-06-30</x:v>
      </x:c>
      <x:c r="M280" s="28" t="str"/>
    </x:row>
    <x:row r="281">
      <x:c r="A281" s="37" t="str">
        <x:v>PLN-00423</x:v>
      </x:c>
      <x:c r="B281" s="28" t="str">
        <x:v>Complete the FY27 field workforce plan</x:v>
      </x:c>
      <x:c r="C281" s="28" t="str">
        <x:v>Monthly productive-hour demand</x:v>
      </x:c>
      <x:c r="D281" s="28" t="str">
        <x:v>Controls technician</x:v>
      </x:c>
      <x:c r="E281" s="28" t="str">
        <x:v>2027-06</x:v>
      </x:c>
      <x:c r="F281" s="28" t="str">
        <x:v>Approved case</x:v>
      </x:c>
      <x:c r="G281" s="28" t="str">
        <x:v>Required productive hours</x:v>
      </x:c>
      <x:c r="H281" s="31" t="n">
        <x:v>1829.4527999999998</x:v>
      </x:c>
      <x:c r="I281" s="28" t="str"/>
      <x:c r="J281" s="28" t="str">
        <x:v>hours</x:v>
      </x:c>
      <x:c r="K281" s="28" t="str">
        <x:v>Signed backlog labor-demand conversion</x:v>
      </x:c>
      <x:c r="L281" s="34" t="str">
        <x:v>2026-06-30</x:v>
      </x:c>
      <x:c r="M281" s="28" t="str"/>
    </x:row>
    <x:row r="282">
      <x:c r="A282" s="37" t="str">
        <x:v>PLN-00424</x:v>
      </x:c>
      <x:c r="B282" s="28" t="str">
        <x:v>Complete the FY27 field workforce plan</x:v>
      </x:c>
      <x:c r="C282" s="28" t="str">
        <x:v>Workforce policy</x:v>
      </x:c>
      <x:c r="D282" s="28" t="str">
        <x:v>All field trades</x:v>
      </x:c>
      <x:c r="E282" s="28" t="str">
        <x:v>FY27</x:v>
      </x:c>
      <x:c r="F282" s="28" t="str">
        <x:v>Approved case</x:v>
      </x:c>
      <x:c r="G282" s="28" t="str">
        <x:v>Annual wage escalation</x:v>
      </x:c>
      <x:c r="H282" s="31" t="n">
        <x:v>0.035</x:v>
      </x:c>
      <x:c r="I282" s="28" t="str"/>
      <x:c r="J282" s="28" t="str">
        <x:v>decimal ratio</x:v>
      </x:c>
      <x:c r="K282" s="28" t="str">
        <x:v>Finance operating schedule</x:v>
      </x:c>
      <x:c r="L282" s="34" t="str">
        <x:v>2026-06-30</x:v>
      </x:c>
      <x:c r="M282" s="28" t="str"/>
    </x:row>
    <x:row r="283">
      <x:c r="A283" s="37" t="str">
        <x:v>PLN-00425</x:v>
      </x:c>
      <x:c r="B283" s="28" t="str">
        <x:v>Complete the FY27 field workforce plan</x:v>
      </x:c>
      <x:c r="C283" s="28" t="str">
        <x:v>Workforce policy</x:v>
      </x:c>
      <x:c r="D283" s="28" t="str">
        <x:v>New hires</x:v>
      </x:c>
      <x:c r="E283" s="28" t="str">
        <x:v>FY27</x:v>
      </x:c>
      <x:c r="F283" s="28" t="str">
        <x:v>Approved case</x:v>
      </x:c>
      <x:c r="G283" s="28" t="str">
        <x:v>Training ramp productive factor</x:v>
      </x:c>
      <x:c r="H283" s="31" t="n">
        <x:v>0.65</x:v>
      </x:c>
      <x:c r="I283" s="28" t="str"/>
      <x:c r="J283" s="28" t="str">
        <x:v>decimal ratio</x:v>
      </x:c>
      <x:c r="K283" s="28" t="str">
        <x:v>Finance operating schedule</x:v>
      </x:c>
      <x:c r="L283" s="34" t="str">
        <x:v>2026-06-30</x:v>
      </x:c>
      <x:c r="M283" s="28" t="str"/>
    </x:row>
    <x:row r="284">
      <x:c r="A284" s="37" t="str">
        <x:v>PLN-00426</x:v>
      </x:c>
      <x:c r="B284" s="28" t="str">
        <x:v>Complete the FY27 field workforce plan</x:v>
      </x:c>
      <x:c r="C284" s="28" t="str">
        <x:v>Workforce policy</x:v>
      </x:c>
      <x:c r="D284" s="28" t="str">
        <x:v>Journey</x:v>
      </x:c>
      <x:c r="E284" s="28" t="str">
        <x:v>FY27</x:v>
      </x:c>
      <x:c r="F284" s="28" t="str">
        <x:v>Approved case</x:v>
      </x:c>
      <x:c r="G284" s="28" t="str">
        <x:v>Maximum overtime share</x:v>
      </x:c>
      <x:c r="H284" s="31" t="n">
        <x:v>0.08</x:v>
      </x:c>
      <x:c r="I284" s="28" t="str"/>
      <x:c r="J284" s="28" t="str">
        <x:v>decimal ratio</x:v>
      </x:c>
      <x:c r="K284" s="28" t="str">
        <x:v>Finance operating schedule</x:v>
      </x:c>
      <x:c r="L284" s="34" t="str">
        <x:v>2026-06-30</x:v>
      </x:c>
      <x:c r="M284" s="28" t="str"/>
    </x:row>
    <x:row r="285">
      <x:c r="A285" s="37" t="str">
        <x:v>PLN-01352</x:v>
      </x:c>
      <x:c r="B285" s="28" t="str">
        <x:v>Create the FY27 budget-reallocation optimizer</x:v>
      </x:c>
      <x:c r="C285" s="28" t="str">
        <x:v>Budget reallocation initiatives</x:v>
      </x:c>
      <x:c r="D285" s="28" t="str">
        <x:v>Field scheduling</x:v>
      </x:c>
      <x:c r="E285" s="28" t="str">
        <x:v>FY27</x:v>
      </x:c>
      <x:c r="F285" s="28" t="str">
        <x:v>Approved case</x:v>
      </x:c>
      <x:c r="G285" s="28" t="str">
        <x:v>FY27 cash spend</x:v>
      </x:c>
      <x:c r="H285" s="31" t="n">
        <x:v>620000</x:v>
      </x:c>
      <x:c r="I285" s="28" t="str"/>
      <x:c r="J285" s="28" t="str">
        <x:v>USD</x:v>
      </x:c>
      <x:c r="K285" s="28" t="str">
        <x:v>Finance operating schedule</x:v>
      </x:c>
      <x:c r="L285" s="34" t="str">
        <x:v>2026-06-30</x:v>
      </x:c>
      <x:c r="M285" s="28" t="str"/>
    </x:row>
    <x:row r="286">
      <x:c r="A286" s="37" t="str">
        <x:v>PLN-01353</x:v>
      </x:c>
      <x:c r="B286" s="28" t="str">
        <x:v>Create the FY27 budget-reallocation optimizer</x:v>
      </x:c>
      <x:c r="C286" s="28" t="str">
        <x:v>Budget reallocation initiatives</x:v>
      </x:c>
      <x:c r="D286" s="28" t="str">
        <x:v>Field scheduling</x:v>
      </x:c>
      <x:c r="E286" s="28" t="str">
        <x:v>FY27</x:v>
      </x:c>
      <x:c r="F286" s="28" t="str">
        <x:v>Approved case</x:v>
      </x:c>
      <x:c r="G286" s="28" t="str">
        <x:v>Annual EBITDA benefit</x:v>
      </x:c>
      <x:c r="H286" s="31" t="n">
        <x:v>1050000</x:v>
      </x:c>
      <x:c r="I286" s="28" t="str"/>
      <x:c r="J286" s="28" t="str">
        <x:v>USD</x:v>
      </x:c>
      <x:c r="K286" s="28" t="str">
        <x:v>Finance operating schedule</x:v>
      </x:c>
      <x:c r="L286" s="34" t="str">
        <x:v>2026-06-30</x:v>
      </x:c>
      <x:c r="M286" s="28" t="str"/>
    </x:row>
    <x:row r="287">
      <x:c r="A287" s="37" t="str">
        <x:v>PLN-01354</x:v>
      </x:c>
      <x:c r="B287" s="28" t="str">
        <x:v>Create the FY27 budget-reallocation optimizer</x:v>
      </x:c>
      <x:c r="C287" s="28" t="str">
        <x:v>Budget reallocation initiatives</x:v>
      </x:c>
      <x:c r="D287" s="28" t="str">
        <x:v>Field scheduling</x:v>
      </x:c>
      <x:c r="E287" s="28" t="str">
        <x:v>FY27</x:v>
      </x:c>
      <x:c r="F287" s="28" t="str">
        <x:v>Approved case</x:v>
      </x:c>
      <x:c r="G287" s="28" t="str">
        <x:v>Realization probability</x:v>
      </x:c>
      <x:c r="H287" s="31" t="n">
        <x:v>0.82</x:v>
      </x:c>
      <x:c r="I287" s="28" t="str"/>
      <x:c r="J287" s="28" t="str">
        <x:v>decimal ratio</x:v>
      </x:c>
      <x:c r="K287" s="28" t="str">
        <x:v>Finance operating schedule</x:v>
      </x:c>
      <x:c r="L287" s="34" t="str">
        <x:v>2026-06-30</x:v>
      </x:c>
      <x:c r="M287" s="28" t="str"/>
    </x:row>
    <x:row r="288">
      <x:c r="A288" s="37" t="str">
        <x:v>PLN-01355</x:v>
      </x:c>
      <x:c r="B288" s="28" t="str">
        <x:v>Create the FY27 budget-reallocation optimizer</x:v>
      </x:c>
      <x:c r="C288" s="28" t="str">
        <x:v>Budget reallocation initiatives</x:v>
      </x:c>
      <x:c r="D288" s="28" t="str">
        <x:v>Field scheduling</x:v>
      </x:c>
      <x:c r="E288" s="28" t="str">
        <x:v>FY27</x:v>
      </x:c>
      <x:c r="F288" s="28" t="str">
        <x:v>Approved case</x:v>
      </x:c>
      <x:c r="G288" s="28" t="str">
        <x:v>Three-year risk-adjusted NPV</x:v>
      </x:c>
      <x:c r="H288" s="31" t="n">
        <x:v>1340</x:v>
      </x:c>
      <x:c r="I288" s="28" t="str"/>
      <x:c r="J288" s="28" t="str">
        <x:v>USD thousands</x:v>
      </x:c>
      <x:c r="K288" s="28" t="str">
        <x:v>Finance operating schedule</x:v>
      </x:c>
      <x:c r="L288" s="34" t="str">
        <x:v>2026-06-30</x:v>
      </x:c>
      <x:c r="M288" s="28" t="str"/>
    </x:row>
    <x:row r="289">
      <x:c r="A289" s="37" t="str">
        <x:v>PLN-01356</x:v>
      </x:c>
      <x:c r="B289" s="28" t="str">
        <x:v>Create the FY27 budget-reallocation optimizer</x:v>
      </x:c>
      <x:c r="C289" s="28" t="str">
        <x:v>Budget reallocation initiatives</x:v>
      </x:c>
      <x:c r="D289" s="28" t="str">
        <x:v>Field scheduling</x:v>
      </x:c>
      <x:c r="E289" s="28" t="str">
        <x:v>FY27</x:v>
      </x:c>
      <x:c r="F289" s="28" t="str">
        <x:v>Approved case</x:v>
      </x:c>
      <x:c r="G289" s="28" t="str">
        <x:v>Dependency</x:v>
      </x:c>
      <x:c r="H289" s="31" t="str"/>
      <x:c r="I289" s="28" t="str"/>
      <x:c r="J289" s="28" t="str">
        <x:v>classification</x:v>
      </x:c>
      <x:c r="K289" s="28" t="str">
        <x:v>Finance operating schedule</x:v>
      </x:c>
      <x:c r="L289" s="34" t="str">
        <x:v>2026-06-30</x:v>
      </x:c>
      <x:c r="M289" s="28" t="str"/>
    </x:row>
    <x:row r="290">
      <x:c r="A290" s="37" t="str">
        <x:v>PLN-01357</x:v>
      </x:c>
      <x:c r="B290" s="28" t="str">
        <x:v>Create the FY27 budget-reallocation optimizer</x:v>
      </x:c>
      <x:c r="C290" s="28" t="str">
        <x:v>Budget reallocation initiatives</x:v>
      </x:c>
      <x:c r="D290" s="28" t="str">
        <x:v>Field scheduling</x:v>
      </x:c>
      <x:c r="E290" s="28" t="str">
        <x:v>FY27</x:v>
      </x:c>
      <x:c r="F290" s="28" t="str">
        <x:v>Approved case</x:v>
      </x:c>
      <x:c r="G290" s="28" t="str">
        <x:v>Status</x:v>
      </x:c>
      <x:c r="H290" s="31" t="str"/>
      <x:c r="I290" s="28" t="str">
        <x:v>Required</x:v>
      </x:c>
      <x:c r="J290" s="28" t="str">
        <x:v>classification</x:v>
      </x:c>
      <x:c r="K290" s="28" t="str">
        <x:v>Finance operating schedule</x:v>
      </x:c>
      <x:c r="L290" s="34" t="str">
        <x:v>2026-06-30</x:v>
      </x:c>
      <x:c r="M290" s="28" t="str"/>
    </x:row>
    <x:row r="291">
      <x:c r="A291" s="37" t="str">
        <x:v>PLN-01358</x:v>
      </x:c>
      <x:c r="B291" s="28" t="str">
        <x:v>Create the FY27 budget-reallocation optimizer</x:v>
      </x:c>
      <x:c r="C291" s="28" t="str">
        <x:v>Budget reallocation initiatives</x:v>
      </x:c>
      <x:c r="D291" s="28" t="str">
        <x:v>Service routing AI</x:v>
      </x:c>
      <x:c r="E291" s="28" t="str">
        <x:v>FY27</x:v>
      </x:c>
      <x:c r="F291" s="28" t="str">
        <x:v>Approved case</x:v>
      </x:c>
      <x:c r="G291" s="28" t="str">
        <x:v>FY27 cash spend</x:v>
      </x:c>
      <x:c r="H291" s="31" t="n">
        <x:v>480000</x:v>
      </x:c>
      <x:c r="I291" s="28" t="str"/>
      <x:c r="J291" s="28" t="str">
        <x:v>USD</x:v>
      </x:c>
      <x:c r="K291" s="28" t="str">
        <x:v>Finance operating schedule</x:v>
      </x:c>
      <x:c r="L291" s="34" t="str">
        <x:v>2026-06-30</x:v>
      </x:c>
      <x:c r="M291" s="28" t="str"/>
    </x:row>
    <x:row r="292">
      <x:c r="A292" s="37" t="str">
        <x:v>PLN-01359</x:v>
      </x:c>
      <x:c r="B292" s="28" t="str">
        <x:v>Create the FY27 budget-reallocation optimizer</x:v>
      </x:c>
      <x:c r="C292" s="28" t="str">
        <x:v>Budget reallocation initiatives</x:v>
      </x:c>
      <x:c r="D292" s="28" t="str">
        <x:v>Service routing AI</x:v>
      </x:c>
      <x:c r="E292" s="28" t="str">
        <x:v>FY27</x:v>
      </x:c>
      <x:c r="F292" s="28" t="str">
        <x:v>Approved case</x:v>
      </x:c>
      <x:c r="G292" s="28" t="str">
        <x:v>Annual EBITDA benefit</x:v>
      </x:c>
      <x:c r="H292" s="31" t="n">
        <x:v>910</x:v>
      </x:c>
      <x:c r="I292" s="28" t="str"/>
      <x:c r="J292" s="28" t="str">
        <x:v>USD thousands</x:v>
      </x:c>
      <x:c r="K292" s="28" t="str">
        <x:v>Finance operating schedule</x:v>
      </x:c>
      <x:c r="L292" s="34" t="str">
        <x:v>2026-06-30</x:v>
      </x:c>
      <x:c r="M292" s="28" t="str"/>
    </x:row>
    <x:row r="293">
      <x:c r="A293" s="37" t="str">
        <x:v>PLN-01360</x:v>
      </x:c>
      <x:c r="B293" s="28" t="str">
        <x:v>Create the FY27 budget-reallocation optimizer</x:v>
      </x:c>
      <x:c r="C293" s="28" t="str">
        <x:v>Budget reallocation initiatives</x:v>
      </x:c>
      <x:c r="D293" s="28" t="str">
        <x:v>Service routing AI</x:v>
      </x:c>
      <x:c r="E293" s="28" t="str">
        <x:v>FY27</x:v>
      </x:c>
      <x:c r="F293" s="28" t="str">
        <x:v>Approved case</x:v>
      </x:c>
      <x:c r="G293" s="28" t="str">
        <x:v>Realization probability</x:v>
      </x:c>
      <x:c r="H293" s="31" t="n">
        <x:v>0.68</x:v>
      </x:c>
      <x:c r="I293" s="28" t="str"/>
      <x:c r="J293" s="28" t="str">
        <x:v>decimal ratio</x:v>
      </x:c>
      <x:c r="K293" s="28" t="str">
        <x:v>Finance operating schedule</x:v>
      </x:c>
      <x:c r="L293" s="34" t="str">
        <x:v>2026-06-30</x:v>
      </x:c>
      <x:c r="M293" s="28" t="str"/>
    </x:row>
    <x:row r="294">
      <x:c r="A294" s="37" t="str">
        <x:v>PLN-01361</x:v>
      </x:c>
      <x:c r="B294" s="28" t="str">
        <x:v>Create the FY27 budget-reallocation optimizer</x:v>
      </x:c>
      <x:c r="C294" s="28" t="str">
        <x:v>Budget reallocation initiatives</x:v>
      </x:c>
      <x:c r="D294" s="28" t="str">
        <x:v>Service routing AI</x:v>
      </x:c>
      <x:c r="E294" s="28" t="str">
        <x:v>FY27</x:v>
      </x:c>
      <x:c r="F294" s="28" t="str">
        <x:v>Approved case</x:v>
      </x:c>
      <x:c r="G294" s="28" t="str">
        <x:v>Three-year risk-adjusted NPV</x:v>
      </x:c>
      <x:c r="H294" s="31" t="n">
        <x:v>1080000</x:v>
      </x:c>
      <x:c r="I294" s="28" t="str"/>
      <x:c r="J294" s="28" t="str">
        <x:v>USD</x:v>
      </x:c>
      <x:c r="K294" s="28" t="str">
        <x:v>Finance operating schedule</x:v>
      </x:c>
      <x:c r="L294" s="34" t="str">
        <x:v>2026-06-30</x:v>
      </x:c>
      <x:c r="M294" s="28" t="str"/>
    </x:row>
    <x:row r="295">
      <x:c r="A295" s="37" t="str">
        <x:v>PLN-01362</x:v>
      </x:c>
      <x:c r="B295" s="28" t="str">
        <x:v>Create the FY27 budget-reallocation optimizer</x:v>
      </x:c>
      <x:c r="C295" s="28" t="str">
        <x:v>Budget reallocation initiatives</x:v>
      </x:c>
      <x:c r="D295" s="28" t="str">
        <x:v>Service routing AI</x:v>
      </x:c>
      <x:c r="E295" s="28" t="str">
        <x:v>FY27</x:v>
      </x:c>
      <x:c r="F295" s="28" t="str">
        <x:v>Approved case</x:v>
      </x:c>
      <x:c r="G295" s="28" t="str">
        <x:v>Dependency</x:v>
      </x:c>
      <x:c r="H295" s="31" t="str"/>
      <x:c r="I295" s="28" t="str">
        <x:v>Field scheduling</x:v>
      </x:c>
      <x:c r="J295" s="28" t="str">
        <x:v>classification</x:v>
      </x:c>
      <x:c r="K295" s="28" t="str">
        <x:v>Finance operating schedule</x:v>
      </x:c>
      <x:c r="L295" s="34" t="str">
        <x:v>2026-06-30</x:v>
      </x:c>
      <x:c r="M295" s="28" t="str"/>
    </x:row>
    <x:row r="296">
      <x:c r="A296" s="37" t="str">
        <x:v>PLN-01363</x:v>
      </x:c>
      <x:c r="B296" s="28" t="str">
        <x:v>Create the FY27 budget-reallocation optimizer</x:v>
      </x:c>
      <x:c r="C296" s="28" t="str">
        <x:v>Budget reallocation initiatives</x:v>
      </x:c>
      <x:c r="D296" s="28" t="str">
        <x:v>Service routing AI</x:v>
      </x:c>
      <x:c r="E296" s="28" t="str">
        <x:v>FY27</x:v>
      </x:c>
      <x:c r="F296" s="28" t="str">
        <x:v>Approved case</x:v>
      </x:c>
      <x:c r="G296" s="28" t="str">
        <x:v>Status</x:v>
      </x:c>
      <x:c r="H296" s="31" t="str"/>
      <x:c r="I296" s="28" t="str">
        <x:v>Optional</x:v>
      </x:c>
      <x:c r="J296" s="28" t="str">
        <x:v>classification</x:v>
      </x:c>
      <x:c r="K296" s="28" t="str">
        <x:v>Finance operating schedule</x:v>
      </x:c>
      <x:c r="L296" s="34" t="str">
        <x:v>2026-06-30</x:v>
      </x:c>
      <x:c r="M296" s="28" t="str"/>
    </x:row>
    <x:row r="297">
      <x:c r="A297" s="37" t="str">
        <x:v>PLN-01364</x:v>
      </x:c>
      <x:c r="B297" s="28" t="str">
        <x:v>Create the FY27 budget-reallocation optimizer</x:v>
      </x:c>
      <x:c r="C297" s="28" t="str">
        <x:v>Budget reallocation initiatives</x:v>
      </x:c>
      <x:c r="D297" s="28" t="str">
        <x:v>Estimator enablement</x:v>
      </x:c>
      <x:c r="E297" s="28" t="str">
        <x:v>FY27</x:v>
      </x:c>
      <x:c r="F297" s="28" t="str">
        <x:v>Approved case</x:v>
      </x:c>
      <x:c r="G297" s="28" t="str">
        <x:v>FY27 cash spend</x:v>
      </x:c>
      <x:c r="H297" s="31" t="n">
        <x:v>350000</x:v>
      </x:c>
      <x:c r="I297" s="28" t="str"/>
      <x:c r="J297" s="28" t="str">
        <x:v>USD</x:v>
      </x:c>
      <x:c r="K297" s="28" t="str">
        <x:v>Finance operating schedule</x:v>
      </x:c>
      <x:c r="L297" s="34" t="str">
        <x:v>2026-06-30</x:v>
      </x:c>
      <x:c r="M297" s="28" t="str"/>
    </x:row>
    <x:row r="298">
      <x:c r="A298" s="37" t="str">
        <x:v>PLN-01365</x:v>
      </x:c>
      <x:c r="B298" s="28" t="str">
        <x:v>Create the FY27 budget-reallocation optimizer</x:v>
      </x:c>
      <x:c r="C298" s="28" t="str">
        <x:v>Budget reallocation initiatives</x:v>
      </x:c>
      <x:c r="D298" s="28" t="str">
        <x:v>Estimator enablement</x:v>
      </x:c>
      <x:c r="E298" s="28" t="str">
        <x:v>FY27</x:v>
      </x:c>
      <x:c r="F298" s="28" t="str">
        <x:v>Approved case</x:v>
      </x:c>
      <x:c r="G298" s="28" t="str">
        <x:v>Annual EBITDA benefit</x:v>
      </x:c>
      <x:c r="H298" s="31" t="n">
        <x:v>620000</x:v>
      </x:c>
      <x:c r="I298" s="28" t="str"/>
      <x:c r="J298" s="28" t="str">
        <x:v>USD</x:v>
      </x:c>
      <x:c r="K298" s="28" t="str">
        <x:v>Finance operating schedule</x:v>
      </x:c>
      <x:c r="L298" s="34" t="str">
        <x:v>2026-06-30</x:v>
      </x:c>
      <x:c r="M298" s="28" t="str"/>
    </x:row>
    <x:row r="299">
      <x:c r="A299" s="37" t="str">
        <x:v>PLN-01366</x:v>
      </x:c>
      <x:c r="B299" s="28" t="str">
        <x:v>Create the FY27 budget-reallocation optimizer</x:v>
      </x:c>
      <x:c r="C299" s="28" t="str">
        <x:v>Budget reallocation initiatives</x:v>
      </x:c>
      <x:c r="D299" s="28" t="str">
        <x:v>Estimator enablement</x:v>
      </x:c>
      <x:c r="E299" s="28" t="str">
        <x:v>FY27</x:v>
      </x:c>
      <x:c r="F299" s="28" t="str">
        <x:v>Approved case</x:v>
      </x:c>
      <x:c r="G299" s="28" t="str">
        <x:v>Realization probability</x:v>
      </x:c>
      <x:c r="H299" s="31" t="n">
        <x:v>0.75</x:v>
      </x:c>
      <x:c r="I299" s="28" t="str"/>
      <x:c r="J299" s="28" t="str">
        <x:v>decimal ratio</x:v>
      </x:c>
      <x:c r="K299" s="28" t="str">
        <x:v>Finance operating schedule</x:v>
      </x:c>
      <x:c r="L299" s="34" t="str">
        <x:v>2026-06-30</x:v>
      </x:c>
      <x:c r="M299" s="28" t="str"/>
    </x:row>
    <x:row r="300">
      <x:c r="A300" s="37" t="str">
        <x:v>PLN-01367</x:v>
      </x:c>
      <x:c r="B300" s="28" t="str">
        <x:v>Create the FY27 budget-reallocation optimizer</x:v>
      </x:c>
      <x:c r="C300" s="28" t="str">
        <x:v>Budget reallocation initiatives</x:v>
      </x:c>
      <x:c r="D300" s="28" t="str">
        <x:v>Estimator enablement</x:v>
      </x:c>
      <x:c r="E300" s="28" t="str">
        <x:v>FY27</x:v>
      </x:c>
      <x:c r="F300" s="28" t="str">
        <x:v>Approved case</x:v>
      </x:c>
      <x:c r="G300" s="28" t="str">
        <x:v>Three-year risk-adjusted NPV</x:v>
      </x:c>
      <x:c r="H300" s="31" t="n">
        <x:v>720</x:v>
      </x:c>
      <x:c r="I300" s="28" t="str"/>
      <x:c r="J300" s="28" t="str">
        <x:v>USD thousands</x:v>
      </x:c>
      <x:c r="K300" s="28" t="str">
        <x:v>Finance operating schedule</x:v>
      </x:c>
      <x:c r="L300" s="34" t="str">
        <x:v>2026-06-30</x:v>
      </x:c>
      <x:c r="M300" s="28" t="str"/>
    </x:row>
    <x:row r="301">
      <x:c r="A301" s="37" t="str">
        <x:v>PLN-01368</x:v>
      </x:c>
      <x:c r="B301" s="28" t="str">
        <x:v>Create the FY27 budget-reallocation optimizer</x:v>
      </x:c>
      <x:c r="C301" s="28" t="str">
        <x:v>Budget reallocation initiatives</x:v>
      </x:c>
      <x:c r="D301" s="28" t="str">
        <x:v>Estimator enablement</x:v>
      </x:c>
      <x:c r="E301" s="28" t="str">
        <x:v>FY27</x:v>
      </x:c>
      <x:c r="F301" s="28" t="str">
        <x:v>Approved case</x:v>
      </x:c>
      <x:c r="G301" s="28" t="str">
        <x:v>Dependency</x:v>
      </x:c>
      <x:c r="H301" s="31" t="str"/>
      <x:c r="I301" s="28" t="str"/>
      <x:c r="J301" s="28" t="str">
        <x:v>classification</x:v>
      </x:c>
      <x:c r="K301" s="28" t="str">
        <x:v>Finance operating schedule</x:v>
      </x:c>
      <x:c r="L301" s="34" t="str">
        <x:v>2026-06-30</x:v>
      </x:c>
      <x:c r="M301" s="28" t="str"/>
    </x:row>
    <x:row r="302">
      <x:c r="A302" s="37" t="str">
        <x:v>PLN-01369</x:v>
      </x:c>
      <x:c r="B302" s="28" t="str">
        <x:v>Create the FY27 budget-reallocation optimizer</x:v>
      </x:c>
      <x:c r="C302" s="28" t="str">
        <x:v>Budget reallocation initiatives</x:v>
      </x:c>
      <x:c r="D302" s="28" t="str">
        <x:v>Estimator enablement</x:v>
      </x:c>
      <x:c r="E302" s="28" t="str">
        <x:v>FY27</x:v>
      </x:c>
      <x:c r="F302" s="28" t="str">
        <x:v>Approved case</x:v>
      </x:c>
      <x:c r="G302" s="28" t="str">
        <x:v>Status</x:v>
      </x:c>
      <x:c r="H302" s="31" t="str"/>
      <x:c r="I302" s="28" t="str">
        <x:v>Optional</x:v>
      </x:c>
      <x:c r="J302" s="28" t="str">
        <x:v>classification</x:v>
      </x:c>
      <x:c r="K302" s="28" t="str">
        <x:v>Finance operating schedule</x:v>
      </x:c>
      <x:c r="L302" s="34" t="str">
        <x:v>2026-06-30</x:v>
      </x:c>
      <x:c r="M302" s="28" t="str"/>
    </x:row>
    <x:row r="303">
      <x:c r="A303" s="37" t="str">
        <x:v>PLN-01370</x:v>
      </x:c>
      <x:c r="B303" s="28" t="str">
        <x:v>Create the FY27 budget-reallocation optimizer</x:v>
      </x:c>
      <x:c r="C303" s="28" t="str">
        <x:v>Budget reallocation initiatives</x:v>
      </x:c>
      <x:c r="D303" s="28" t="str">
        <x:v>Procurement analytics</x:v>
      </x:c>
      <x:c r="E303" s="28" t="str">
        <x:v>FY27</x:v>
      </x:c>
      <x:c r="F303" s="28" t="str">
        <x:v>Approved case</x:v>
      </x:c>
      <x:c r="G303" s="28" t="str">
        <x:v>FY27 cash spend</x:v>
      </x:c>
      <x:c r="H303" s="31" t="n">
        <x:v>540000</x:v>
      </x:c>
      <x:c r="I303" s="28" t="str"/>
      <x:c r="J303" s="28" t="str">
        <x:v>USD</x:v>
      </x:c>
      <x:c r="K303" s="28" t="str">
        <x:v>Finance operating schedule</x:v>
      </x:c>
      <x:c r="L303" s="34" t="str">
        <x:v>2026-06-30</x:v>
      </x:c>
      <x:c r="M303" s="28" t="str"/>
    </x:row>
    <x:row r="304">
      <x:c r="A304" s="37" t="str">
        <x:v>PLN-01371</x:v>
      </x:c>
      <x:c r="B304" s="28" t="str">
        <x:v>Create the FY27 budget-reallocation optimizer</x:v>
      </x:c>
      <x:c r="C304" s="28" t="str">
        <x:v>Budget reallocation initiatives</x:v>
      </x:c>
      <x:c r="D304" s="28" t="str">
        <x:v>Procurement analytics</x:v>
      </x:c>
      <x:c r="E304" s="28" t="str">
        <x:v>FY27</x:v>
      </x:c>
      <x:c r="F304" s="28" t="str">
        <x:v>Approved case</x:v>
      </x:c>
      <x:c r="G304" s="28" t="str">
        <x:v>Annual EBITDA benefit</x:v>
      </x:c>
      <x:c r="H304" s="31" t="n">
        <x:v>1180</x:v>
      </x:c>
      <x:c r="I304" s="28" t="str"/>
      <x:c r="J304" s="28" t="str">
        <x:v>USD thousands</x:v>
      </x:c>
      <x:c r="K304" s="28" t="str">
        <x:v>Finance operating schedule</x:v>
      </x:c>
      <x:c r="L304" s="34" t="str">
        <x:v>2026-06-30</x:v>
      </x:c>
      <x:c r="M304" s="28" t="str"/>
    </x:row>
    <x:row r="305">
      <x:c r="A305" s="37" t="str">
        <x:v>PLN-01372</x:v>
      </x:c>
      <x:c r="B305" s="28" t="str">
        <x:v>Create the FY27 budget-reallocation optimizer</x:v>
      </x:c>
      <x:c r="C305" s="28" t="str">
        <x:v>Budget reallocation initiatives</x:v>
      </x:c>
      <x:c r="D305" s="28" t="str">
        <x:v>Procurement analytics</x:v>
      </x:c>
      <x:c r="E305" s="28" t="str">
        <x:v>FY27</x:v>
      </x:c>
      <x:c r="F305" s="28" t="str">
        <x:v>Approved case</x:v>
      </x:c>
      <x:c r="G305" s="28" t="str">
        <x:v>Realization probability</x:v>
      </x:c>
      <x:c r="H305" s="31" t="n">
        <x:v>0.72</x:v>
      </x:c>
      <x:c r="I305" s="28" t="str"/>
      <x:c r="J305" s="28" t="str">
        <x:v>decimal ratio</x:v>
      </x:c>
      <x:c r="K305" s="28" t="str">
        <x:v>Finance operating schedule</x:v>
      </x:c>
      <x:c r="L305" s="34" t="str">
        <x:v>2026-06-30</x:v>
      </x:c>
      <x:c r="M305" s="28" t="str"/>
    </x:row>
    <x:row r="306">
      <x:c r="A306" s="37" t="str">
        <x:v>PLN-01373</x:v>
      </x:c>
      <x:c r="B306" s="28" t="str">
        <x:v>Create the FY27 budget-reallocation optimizer</x:v>
      </x:c>
      <x:c r="C306" s="28" t="str">
        <x:v>Budget reallocation initiatives</x:v>
      </x:c>
      <x:c r="D306" s="28" t="str">
        <x:v>Procurement analytics</x:v>
      </x:c>
      <x:c r="E306" s="28" t="str">
        <x:v>FY27</x:v>
      </x:c>
      <x:c r="F306" s="28" t="str">
        <x:v>Approved case</x:v>
      </x:c>
      <x:c r="G306" s="28" t="str">
        <x:v>Three-year risk-adjusted NPV</x:v>
      </x:c>
      <x:c r="H306" s="31" t="n">
        <x:v>1420000</x:v>
      </x:c>
      <x:c r="I306" s="28" t="str"/>
      <x:c r="J306" s="28" t="str">
        <x:v>USD</x:v>
      </x:c>
      <x:c r="K306" s="28" t="str">
        <x:v>Finance operating schedule</x:v>
      </x:c>
      <x:c r="L306" s="34" t="str">
        <x:v>2026-06-30</x:v>
      </x:c>
      <x:c r="M306" s="28" t="str"/>
    </x:row>
    <x:row r="307">
      <x:c r="A307" s="37" t="str">
        <x:v>PLN-01374</x:v>
      </x:c>
      <x:c r="B307" s="28" t="str">
        <x:v>Create the FY27 budget-reallocation optimizer</x:v>
      </x:c>
      <x:c r="C307" s="28" t="str">
        <x:v>Budget reallocation initiatives</x:v>
      </x:c>
      <x:c r="D307" s="28" t="str">
        <x:v>Procurement analytics</x:v>
      </x:c>
      <x:c r="E307" s="28" t="str">
        <x:v>FY27</x:v>
      </x:c>
      <x:c r="F307" s="28" t="str">
        <x:v>Approved case</x:v>
      </x:c>
      <x:c r="G307" s="28" t="str">
        <x:v>Dependency</x:v>
      </x:c>
      <x:c r="H307" s="31" t="str"/>
      <x:c r="I307" s="28" t="str"/>
      <x:c r="J307" s="28" t="str">
        <x:v>classification</x:v>
      </x:c>
      <x:c r="K307" s="28" t="str">
        <x:v>Finance operating schedule</x:v>
      </x:c>
      <x:c r="L307" s="34" t="str">
        <x:v>2026-06-30</x:v>
      </x:c>
      <x:c r="M307" s="28" t="str"/>
    </x:row>
    <x:row r="308">
      <x:c r="A308" s="37" t="str">
        <x:v>PLN-01375</x:v>
      </x:c>
      <x:c r="B308" s="28" t="str">
        <x:v>Create the FY27 budget-reallocation optimizer</x:v>
      </x:c>
      <x:c r="C308" s="28" t="str">
        <x:v>Budget reallocation initiatives</x:v>
      </x:c>
      <x:c r="D308" s="28" t="str">
        <x:v>Procurement analytics</x:v>
      </x:c>
      <x:c r="E308" s="28" t="str">
        <x:v>FY27</x:v>
      </x:c>
      <x:c r="F308" s="28" t="str">
        <x:v>Approved case</x:v>
      </x:c>
      <x:c r="G308" s="28" t="str">
        <x:v>Status</x:v>
      </x:c>
      <x:c r="H308" s="31" t="str"/>
      <x:c r="I308" s="28" t="str">
        <x:v>Optional</x:v>
      </x:c>
      <x:c r="J308" s="28" t="str">
        <x:v>classification</x:v>
      </x:c>
      <x:c r="K308" s="28" t="str">
        <x:v>Finance operating schedule</x:v>
      </x:c>
      <x:c r="L308" s="34" t="str">
        <x:v>2026-06-30</x:v>
      </x:c>
      <x:c r="M308" s="28" t="str"/>
    </x:row>
    <x:row r="309">
      <x:c r="A309" s="37" t="str">
        <x:v>PLN-01376</x:v>
      </x:c>
      <x:c r="B309" s="28" t="str">
        <x:v>Create the FY27 budget-reallocation optimizer</x:v>
      </x:c>
      <x:c r="C309" s="28" t="str">
        <x:v>Budget reallocation initiatives</x:v>
      </x:c>
      <x:c r="D309" s="28" t="str">
        <x:v>Controls lab</x:v>
      </x:c>
      <x:c r="E309" s="28" t="str">
        <x:v>FY27</x:v>
      </x:c>
      <x:c r="F309" s="28" t="str">
        <x:v>Approved case</x:v>
      </x:c>
      <x:c r="G309" s="28" t="str">
        <x:v>FY27 cash spend</x:v>
      </x:c>
      <x:c r="H309" s="31" t="n">
        <x:v>775000</x:v>
      </x:c>
      <x:c r="I309" s="28" t="str"/>
      <x:c r="J309" s="28" t="str">
        <x:v>USD</x:v>
      </x:c>
      <x:c r="K309" s="28" t="str">
        <x:v>Finance operating schedule</x:v>
      </x:c>
      <x:c r="L309" s="34" t="str">
        <x:v>2026-06-30</x:v>
      </x:c>
      <x:c r="M309" s="28" t="str"/>
    </x:row>
    <x:row r="310">
      <x:c r="A310" s="37" t="str">
        <x:v>PLN-01377</x:v>
      </x:c>
      <x:c r="B310" s="28" t="str">
        <x:v>Create the FY27 budget-reallocation optimizer</x:v>
      </x:c>
      <x:c r="C310" s="28" t="str">
        <x:v>Budget reallocation initiatives</x:v>
      </x:c>
      <x:c r="D310" s="28" t="str">
        <x:v>Controls lab</x:v>
      </x:c>
      <x:c r="E310" s="28" t="str">
        <x:v>FY27</x:v>
      </x:c>
      <x:c r="F310" s="28" t="str">
        <x:v>Approved case</x:v>
      </x:c>
      <x:c r="G310" s="28" t="str">
        <x:v>Annual EBITDA benefit</x:v>
      </x:c>
      <x:c r="H310" s="31" t="n">
        <x:v>1260000</x:v>
      </x:c>
      <x:c r="I310" s="28" t="str"/>
      <x:c r="J310" s="28" t="str">
        <x:v>USD</x:v>
      </x:c>
      <x:c r="K310" s="28" t="str">
        <x:v>Finance operating schedule</x:v>
      </x:c>
      <x:c r="L310" s="34" t="str">
        <x:v>2026-06-30</x:v>
      </x:c>
      <x:c r="M310" s="28" t="str"/>
    </x:row>
    <x:row r="311">
      <x:c r="A311" s="37" t="str">
        <x:v>PLN-01378</x:v>
      </x:c>
      <x:c r="B311" s="28" t="str">
        <x:v>Create the FY27 budget-reallocation optimizer</x:v>
      </x:c>
      <x:c r="C311" s="28" t="str">
        <x:v>Budget reallocation initiatives</x:v>
      </x:c>
      <x:c r="D311" s="28" t="str">
        <x:v>Controls lab</x:v>
      </x:c>
      <x:c r="E311" s="28" t="str">
        <x:v>FY27</x:v>
      </x:c>
      <x:c r="F311" s="28" t="str">
        <x:v>Approved case</x:v>
      </x:c>
      <x:c r="G311" s="28" t="str">
        <x:v>Realization probability</x:v>
      </x:c>
      <x:c r="H311" s="31" t="n">
        <x:v>0.64</x:v>
      </x:c>
      <x:c r="I311" s="28" t="str"/>
      <x:c r="J311" s="28" t="str">
        <x:v>decimal ratio</x:v>
      </x:c>
      <x:c r="K311" s="28" t="str">
        <x:v>Finance operating schedule</x:v>
      </x:c>
      <x:c r="L311" s="34" t="str">
        <x:v>2026-06-30</x:v>
      </x:c>
      <x:c r="M311" s="28" t="str"/>
    </x:row>
    <x:row r="312">
      <x:c r="A312" s="37" t="str">
        <x:v>PLN-01379</x:v>
      </x:c>
      <x:c r="B312" s="28" t="str">
        <x:v>Create the FY27 budget-reallocation optimizer</x:v>
      </x:c>
      <x:c r="C312" s="28" t="str">
        <x:v>Budget reallocation initiatives</x:v>
      </x:c>
      <x:c r="D312" s="28" t="str">
        <x:v>Controls lab</x:v>
      </x:c>
      <x:c r="E312" s="28" t="str">
        <x:v>FY27</x:v>
      </x:c>
      <x:c r="F312" s="28" t="str">
        <x:v>Approved case</x:v>
      </x:c>
      <x:c r="G312" s="28" t="str">
        <x:v>Three-year risk-adjusted NPV</x:v>
      </x:c>
      <x:c r="H312" s="31" t="n">
        <x:v>1610</x:v>
      </x:c>
      <x:c r="I312" s="28" t="str"/>
      <x:c r="J312" s="28" t="str">
        <x:v>USD thousands</x:v>
      </x:c>
      <x:c r="K312" s="28" t="str">
        <x:v>Finance operating schedule</x:v>
      </x:c>
      <x:c r="L312" s="34" t="str">
        <x:v>2026-06-30</x:v>
      </x:c>
      <x:c r="M312" s="28" t="str"/>
    </x:row>
    <x:row r="313">
      <x:c r="A313" s="37" t="str">
        <x:v>PLN-01380</x:v>
      </x:c>
      <x:c r="B313" s="28" t="str">
        <x:v>Create the FY27 budget-reallocation optimizer</x:v>
      </x:c>
      <x:c r="C313" s="28" t="str">
        <x:v>Budget reallocation initiatives</x:v>
      </x:c>
      <x:c r="D313" s="28" t="str">
        <x:v>Controls lab</x:v>
      </x:c>
      <x:c r="E313" s="28" t="str">
        <x:v>FY27</x:v>
      </x:c>
      <x:c r="F313" s="28" t="str">
        <x:v>Approved case</x:v>
      </x:c>
      <x:c r="G313" s="28" t="str">
        <x:v>Dependency</x:v>
      </x:c>
      <x:c r="H313" s="31" t="str"/>
      <x:c r="I313" s="28" t="str">
        <x:v>Estimator enablement</x:v>
      </x:c>
      <x:c r="J313" s="28" t="str">
        <x:v>classification</x:v>
      </x:c>
      <x:c r="K313" s="28" t="str">
        <x:v>Finance operating schedule</x:v>
      </x:c>
      <x:c r="L313" s="34" t="str">
        <x:v>2026-06-30</x:v>
      </x:c>
      <x:c r="M313" s="28" t="str"/>
    </x:row>
    <x:row r="314">
      <x:c r="A314" s="37" t="str">
        <x:v>PLN-01381</x:v>
      </x:c>
      <x:c r="B314" s="28" t="str">
        <x:v>Create the FY27 budget-reallocation optimizer</x:v>
      </x:c>
      <x:c r="C314" s="28" t="str">
        <x:v>Budget reallocation initiatives</x:v>
      </x:c>
      <x:c r="D314" s="28" t="str">
        <x:v>Controls lab</x:v>
      </x:c>
      <x:c r="E314" s="28" t="str">
        <x:v>FY27</x:v>
      </x:c>
      <x:c r="F314" s="28" t="str">
        <x:v>Approved case</x:v>
      </x:c>
      <x:c r="G314" s="28" t="str">
        <x:v>Status</x:v>
      </x:c>
      <x:c r="H314" s="31" t="str"/>
      <x:c r="I314" s="28" t="str">
        <x:v>Optional</x:v>
      </x:c>
      <x:c r="J314" s="28" t="str">
        <x:v>classification</x:v>
      </x:c>
      <x:c r="K314" s="28" t="str">
        <x:v>Finance operating schedule</x:v>
      </x:c>
      <x:c r="L314" s="34" t="str">
        <x:v>2026-06-30</x:v>
      </x:c>
      <x:c r="M314" s="28" t="str"/>
    </x:row>
    <x:row r="315">
      <x:c r="A315" s="37" t="str">
        <x:v>PLN-01382</x:v>
      </x:c>
      <x:c r="B315" s="28" t="str">
        <x:v>Create the FY27 budget-reallocation optimizer</x:v>
      </x:c>
      <x:c r="C315" s="28" t="str">
        <x:v>Budget reallocation initiatives</x:v>
      </x:c>
      <x:c r="D315" s="28" t="str">
        <x:v>Branch sales hires</x:v>
      </x:c>
      <x:c r="E315" s="28" t="str">
        <x:v>FY27</x:v>
      </x:c>
      <x:c r="F315" s="28" t="str">
        <x:v>Approved case</x:v>
      </x:c>
      <x:c r="G315" s="28" t="str">
        <x:v>FY27 cash spend</x:v>
      </x:c>
      <x:c r="H315" s="31" t="n">
        <x:v>860000</x:v>
      </x:c>
      <x:c r="I315" s="28" t="str"/>
      <x:c r="J315" s="28" t="str">
        <x:v>USD</x:v>
      </x:c>
      <x:c r="K315" s="28" t="str">
        <x:v>Finance operating schedule</x:v>
      </x:c>
      <x:c r="L315" s="34" t="str">
        <x:v>2026-06-30</x:v>
      </x:c>
      <x:c r="M315" s="28" t="str"/>
    </x:row>
    <x:row r="316">
      <x:c r="A316" s="37" t="str">
        <x:v>PLN-01383</x:v>
      </x:c>
      <x:c r="B316" s="28" t="str">
        <x:v>Create the FY27 budget-reallocation optimizer</x:v>
      </x:c>
      <x:c r="C316" s="28" t="str">
        <x:v>Budget reallocation initiatives</x:v>
      </x:c>
      <x:c r="D316" s="28" t="str">
        <x:v>Branch sales hires</x:v>
      </x:c>
      <x:c r="E316" s="28" t="str">
        <x:v>FY27</x:v>
      </x:c>
      <x:c r="F316" s="28" t="str">
        <x:v>Approved case</x:v>
      </x:c>
      <x:c r="G316" s="28" t="str">
        <x:v>Annual EBITDA benefit</x:v>
      </x:c>
      <x:c r="H316" s="31" t="n">
        <x:v>1440</x:v>
      </x:c>
      <x:c r="I316" s="28" t="str"/>
      <x:c r="J316" s="28" t="str">
        <x:v>USD thousands</x:v>
      </x:c>
      <x:c r="K316" s="28" t="str">
        <x:v>Finance operating schedule</x:v>
      </x:c>
      <x:c r="L316" s="34" t="str">
        <x:v>2026-06-30</x:v>
      </x:c>
      <x:c r="M316" s="28" t="str"/>
    </x:row>
    <x:row r="317">
      <x:c r="A317" s="37" t="str">
        <x:v>PLN-01384</x:v>
      </x:c>
      <x:c r="B317" s="28" t="str">
        <x:v>Create the FY27 budget-reallocation optimizer</x:v>
      </x:c>
      <x:c r="C317" s="28" t="str">
        <x:v>Budget reallocation initiatives</x:v>
      </x:c>
      <x:c r="D317" s="28" t="str">
        <x:v>Branch sales hires</x:v>
      </x:c>
      <x:c r="E317" s="28" t="str">
        <x:v>FY27</x:v>
      </x:c>
      <x:c r="F317" s="28" t="str">
        <x:v>Approved case</x:v>
      </x:c>
      <x:c r="G317" s="28" t="str">
        <x:v>Realization probability</x:v>
      </x:c>
      <x:c r="H317" s="31" t="n">
        <x:v>0.58</x:v>
      </x:c>
      <x:c r="I317" s="28" t="str"/>
      <x:c r="J317" s="28" t="str">
        <x:v>decimal ratio</x:v>
      </x:c>
      <x:c r="K317" s="28" t="str">
        <x:v>Finance operating schedule</x:v>
      </x:c>
      <x:c r="L317" s="34" t="str">
        <x:v>2026-06-30</x:v>
      </x:c>
      <x:c r="M317" s="28" t="str"/>
    </x:row>
    <x:row r="318">
      <x:c r="A318" s="37" t="str">
        <x:v>PLN-01385</x:v>
      </x:c>
      <x:c r="B318" s="28" t="str">
        <x:v>Create the FY27 budget-reallocation optimizer</x:v>
      </x:c>
      <x:c r="C318" s="28" t="str">
        <x:v>Budget reallocation initiatives</x:v>
      </x:c>
      <x:c r="D318" s="28" t="str">
        <x:v>Branch sales hires</x:v>
      </x:c>
      <x:c r="E318" s="28" t="str">
        <x:v>FY27</x:v>
      </x:c>
      <x:c r="F318" s="28" t="str">
        <x:v>Approved case</x:v>
      </x:c>
      <x:c r="G318" s="28" t="str">
        <x:v>Three-year risk-adjusted NPV</x:v>
      </x:c>
      <x:c r="H318" s="31" t="n">
        <x:v>1720000</x:v>
      </x:c>
      <x:c r="I318" s="28" t="str"/>
      <x:c r="J318" s="28" t="str">
        <x:v>USD</x:v>
      </x:c>
      <x:c r="K318" s="28" t="str">
        <x:v>Finance operating schedule</x:v>
      </x:c>
      <x:c r="L318" s="34" t="str">
        <x:v>2026-06-30</x:v>
      </x:c>
      <x:c r="M318" s="28" t="str"/>
    </x:row>
    <x:row r="319">
      <x:c r="A319" s="37" t="str">
        <x:v>PLN-01386</x:v>
      </x:c>
      <x:c r="B319" s="28" t="str">
        <x:v>Create the FY27 budget-reallocation optimizer</x:v>
      </x:c>
      <x:c r="C319" s="28" t="str">
        <x:v>Budget reallocation initiatives</x:v>
      </x:c>
      <x:c r="D319" s="28" t="str">
        <x:v>Branch sales hires</x:v>
      </x:c>
      <x:c r="E319" s="28" t="str">
        <x:v>FY27</x:v>
      </x:c>
      <x:c r="F319" s="28" t="str">
        <x:v>Approved case</x:v>
      </x:c>
      <x:c r="G319" s="28" t="str">
        <x:v>Dependency</x:v>
      </x:c>
      <x:c r="H319" s="31" t="str"/>
      <x:c r="I319" s="28" t="str"/>
      <x:c r="J319" s="28" t="str">
        <x:v>classification</x:v>
      </x:c>
      <x:c r="K319" s="28" t="str">
        <x:v>Finance operating schedule</x:v>
      </x:c>
      <x:c r="L319" s="34" t="str">
        <x:v>2026-06-30</x:v>
      </x:c>
      <x:c r="M319" s="28" t="str"/>
    </x:row>
    <x:row r="320">
      <x:c r="A320" s="37" t="str">
        <x:v>PLN-01387</x:v>
      </x:c>
      <x:c r="B320" s="28" t="str">
        <x:v>Create the FY27 budget-reallocation optimizer</x:v>
      </x:c>
      <x:c r="C320" s="28" t="str">
        <x:v>Budget reallocation initiatives</x:v>
      </x:c>
      <x:c r="D320" s="28" t="str">
        <x:v>Branch sales hires</x:v>
      </x:c>
      <x:c r="E320" s="28" t="str">
        <x:v>FY27</x:v>
      </x:c>
      <x:c r="F320" s="28" t="str">
        <x:v>Approved case</x:v>
      </x:c>
      <x:c r="G320" s="28" t="str">
        <x:v>Status</x:v>
      </x:c>
      <x:c r="H320" s="31" t="str"/>
      <x:c r="I320" s="28" t="str">
        <x:v>Optional</x:v>
      </x:c>
      <x:c r="J320" s="28" t="str">
        <x:v>classification</x:v>
      </x:c>
      <x:c r="K320" s="28" t="str">
        <x:v>Finance operating schedule</x:v>
      </x:c>
      <x:c r="L320" s="34" t="str">
        <x:v>2026-06-30</x:v>
      </x:c>
      <x:c r="M320" s="28" t="str"/>
    </x:row>
    <x:row r="321">
      <x:c r="A321" s="37" t="str">
        <x:v>PLN-01388</x:v>
      </x:c>
      <x:c r="B321" s="28" t="str">
        <x:v>Create the FY27 budget-reallocation optimizer</x:v>
      </x:c>
      <x:c r="C321" s="28" t="str">
        <x:v>Budget reallocation initiatives</x:v>
      </x:c>
      <x:c r="D321" s="28" t="str">
        <x:v>Cyber remediation</x:v>
      </x:c>
      <x:c r="E321" s="28" t="str">
        <x:v>FY27</x:v>
      </x:c>
      <x:c r="F321" s="28" t="str">
        <x:v>Approved case</x:v>
      </x:c>
      <x:c r="G321" s="28" t="str">
        <x:v>FY27 cash spend</x:v>
      </x:c>
      <x:c r="H321" s="31" t="n">
        <x:v>410000</x:v>
      </x:c>
      <x:c r="I321" s="28" t="str"/>
      <x:c r="J321" s="28" t="str">
        <x:v>USD</x:v>
      </x:c>
      <x:c r="K321" s="28" t="str">
        <x:v>Finance operating schedule</x:v>
      </x:c>
      <x:c r="L321" s="34" t="str">
        <x:v>2026-06-30</x:v>
      </x:c>
      <x:c r="M321" s="28" t="str"/>
    </x:row>
    <x:row r="322">
      <x:c r="A322" s="37" t="str">
        <x:v>PLN-01389</x:v>
      </x:c>
      <x:c r="B322" s="28" t="str">
        <x:v>Create the FY27 budget-reallocation optimizer</x:v>
      </x:c>
      <x:c r="C322" s="28" t="str">
        <x:v>Budget reallocation initiatives</x:v>
      </x:c>
      <x:c r="D322" s="28" t="str">
        <x:v>Cyber remediation</x:v>
      </x:c>
      <x:c r="E322" s="28" t="str">
        <x:v>FY27</x:v>
      </x:c>
      <x:c r="F322" s="28" t="str">
        <x:v>Approved case</x:v>
      </x:c>
      <x:c r="G322" s="28" t="str">
        <x:v>Annual EBITDA benefit</x:v>
      </x:c>
      <x:c r="H322" s="31" t="n">
        <x:v>260000</x:v>
      </x:c>
      <x:c r="I322" s="28" t="str"/>
      <x:c r="J322" s="28" t="str">
        <x:v>USD</x:v>
      </x:c>
      <x:c r="K322" s="28" t="str">
        <x:v>Finance operating schedule</x:v>
      </x:c>
      <x:c r="L322" s="34" t="str">
        <x:v>2026-06-30</x:v>
      </x:c>
      <x:c r="M322" s="28" t="str"/>
    </x:row>
    <x:row r="323">
      <x:c r="A323" s="37" t="str">
        <x:v>PLN-01390</x:v>
      </x:c>
      <x:c r="B323" s="28" t="str">
        <x:v>Create the FY27 budget-reallocation optimizer</x:v>
      </x:c>
      <x:c r="C323" s="28" t="str">
        <x:v>Budget reallocation initiatives</x:v>
      </x:c>
      <x:c r="D323" s="28" t="str">
        <x:v>Cyber remediation</x:v>
      </x:c>
      <x:c r="E323" s="28" t="str">
        <x:v>FY27</x:v>
      </x:c>
      <x:c r="F323" s="28" t="str">
        <x:v>Approved case</x:v>
      </x:c>
      <x:c r="G323" s="28" t="str">
        <x:v>Realization probability</x:v>
      </x:c>
      <x:c r="H323" s="31" t="n">
        <x:v>1</x:v>
      </x:c>
      <x:c r="I323" s="28" t="str"/>
      <x:c r="J323" s="28" t="str">
        <x:v>decimal ratio</x:v>
      </x:c>
      <x:c r="K323" s="28" t="str">
        <x:v>Finance operating schedule</x:v>
      </x:c>
      <x:c r="L323" s="34" t="str">
        <x:v>2026-06-30</x:v>
      </x:c>
      <x:c r="M323" s="28" t="str"/>
    </x:row>
    <x:row r="324">
      <x:c r="A324" s="37" t="str">
        <x:v>PLN-01391</x:v>
      </x:c>
      <x:c r="B324" s="28" t="str">
        <x:v>Create the FY27 budget-reallocation optimizer</x:v>
      </x:c>
      <x:c r="C324" s="28" t="str">
        <x:v>Budget reallocation initiatives</x:v>
      </x:c>
      <x:c r="D324" s="28" t="str">
        <x:v>Cyber remediation</x:v>
      </x:c>
      <x:c r="E324" s="28" t="str">
        <x:v>FY27</x:v>
      </x:c>
      <x:c r="F324" s="28" t="str">
        <x:v>Approved case</x:v>
      </x:c>
      <x:c r="G324" s="28" t="str">
        <x:v>Three-year risk-adjusted NPV</x:v>
      </x:c>
      <x:c r="H324" s="31" t="n">
        <x:v>490</x:v>
      </x:c>
      <x:c r="I324" s="28" t="str"/>
      <x:c r="J324" s="28" t="str">
        <x:v>USD thousands</x:v>
      </x:c>
      <x:c r="K324" s="28" t="str">
        <x:v>Finance operating schedule</x:v>
      </x:c>
      <x:c r="L324" s="34" t="str">
        <x:v>2026-06-30</x:v>
      </x:c>
      <x:c r="M324" s="28" t="str"/>
    </x:row>
    <x:row r="325">
      <x:c r="A325" s="37" t="str">
        <x:v>PLN-01392</x:v>
      </x:c>
      <x:c r="B325" s="28" t="str">
        <x:v>Create the FY27 budget-reallocation optimizer</x:v>
      </x:c>
      <x:c r="C325" s="28" t="str">
        <x:v>Budget reallocation initiatives</x:v>
      </x:c>
      <x:c r="D325" s="28" t="str">
        <x:v>Cyber remediation</x:v>
      </x:c>
      <x:c r="E325" s="28" t="str">
        <x:v>FY27</x:v>
      </x:c>
      <x:c r="F325" s="28" t="str">
        <x:v>Approved case</x:v>
      </x:c>
      <x:c r="G325" s="28" t="str">
        <x:v>Dependency</x:v>
      </x:c>
      <x:c r="H325" s="31" t="str"/>
      <x:c r="I325" s="28" t="str"/>
      <x:c r="J325" s="28" t="str">
        <x:v>classification</x:v>
      </x:c>
      <x:c r="K325" s="28" t="str">
        <x:v>Finance operating schedule</x:v>
      </x:c>
      <x:c r="L325" s="34" t="str">
        <x:v>2026-06-30</x:v>
      </x:c>
      <x:c r="M325" s="28" t="str"/>
    </x:row>
    <x:row r="326">
      <x:c r="A326" s="37" t="str">
        <x:v>PLN-01393</x:v>
      </x:c>
      <x:c r="B326" s="28" t="str">
        <x:v>Create the FY27 budget-reallocation optimizer</x:v>
      </x:c>
      <x:c r="C326" s="28" t="str">
        <x:v>Budget reallocation initiatives</x:v>
      </x:c>
      <x:c r="D326" s="28" t="str">
        <x:v>Cyber remediation</x:v>
      </x:c>
      <x:c r="E326" s="28" t="str">
        <x:v>FY27</x:v>
      </x:c>
      <x:c r="F326" s="28" t="str">
        <x:v>Approved case</x:v>
      </x:c>
      <x:c r="G326" s="28" t="str">
        <x:v>Status</x:v>
      </x:c>
      <x:c r="H326" s="31" t="str"/>
      <x:c r="I326" s="28" t="str">
        <x:v>Required</x:v>
      </x:c>
      <x:c r="J326" s="28" t="str">
        <x:v>classification</x:v>
      </x:c>
      <x:c r="K326" s="28" t="str">
        <x:v>Finance operating schedule</x:v>
      </x:c>
      <x:c r="L326" s="34" t="str">
        <x:v>2026-06-30</x:v>
      </x:c>
      <x:c r="M326" s="28" t="str"/>
    </x:row>
    <x:row r="327">
      <x:c r="A327" s="37" t="str">
        <x:v>PLN-01394</x:v>
      </x:c>
      <x:c r="B327" s="28" t="str">
        <x:v>Create the FY27 budget-reallocation optimizer</x:v>
      </x:c>
      <x:c r="C327" s="28" t="str">
        <x:v>Budget reallocation initiatives</x:v>
      </x:c>
      <x:c r="D327" s="28" t="str">
        <x:v>Fleet telematics</x:v>
      </x:c>
      <x:c r="E327" s="28" t="str">
        <x:v>FY27</x:v>
      </x:c>
      <x:c r="F327" s="28" t="str">
        <x:v>Approved case</x:v>
      </x:c>
      <x:c r="G327" s="28" t="str">
        <x:v>FY27 cash spend</x:v>
      </x:c>
      <x:c r="H327" s="31" t="n">
        <x:v>290000</x:v>
      </x:c>
      <x:c r="I327" s="28" t="str"/>
      <x:c r="J327" s="28" t="str">
        <x:v>USD</x:v>
      </x:c>
      <x:c r="K327" s="28" t="str">
        <x:v>Finance operating schedule</x:v>
      </x:c>
      <x:c r="L327" s="34" t="str">
        <x:v>2026-06-30</x:v>
      </x:c>
      <x:c r="M327" s="28" t="str"/>
    </x:row>
    <x:row r="328">
      <x:c r="A328" s="37" t="str">
        <x:v>PLN-01395</x:v>
      </x:c>
      <x:c r="B328" s="28" t="str">
        <x:v>Create the FY27 budget-reallocation optimizer</x:v>
      </x:c>
      <x:c r="C328" s="28" t="str">
        <x:v>Budget reallocation initiatives</x:v>
      </x:c>
      <x:c r="D328" s="28" t="str">
        <x:v>Fleet telematics</x:v>
      </x:c>
      <x:c r="E328" s="28" t="str">
        <x:v>FY27</x:v>
      </x:c>
      <x:c r="F328" s="28" t="str">
        <x:v>Approved case</x:v>
      </x:c>
      <x:c r="G328" s="28" t="str">
        <x:v>Annual EBITDA benefit</x:v>
      </x:c>
      <x:c r="H328" s="31" t="n">
        <x:v>510</x:v>
      </x:c>
      <x:c r="I328" s="28" t="str"/>
      <x:c r="J328" s="28" t="str">
        <x:v>USD thousands</x:v>
      </x:c>
      <x:c r="K328" s="28" t="str">
        <x:v>Finance operating schedule</x:v>
      </x:c>
      <x:c r="L328" s="34" t="str">
        <x:v>2026-06-30</x:v>
      </x:c>
      <x:c r="M328" s="28" t="str"/>
    </x:row>
    <x:row r="329">
      <x:c r="A329" s="37" t="str">
        <x:v>PLN-01396</x:v>
      </x:c>
      <x:c r="B329" s="28" t="str">
        <x:v>Create the FY27 budget-reallocation optimizer</x:v>
      </x:c>
      <x:c r="C329" s="28" t="str">
        <x:v>Budget reallocation initiatives</x:v>
      </x:c>
      <x:c r="D329" s="28" t="str">
        <x:v>Fleet telematics</x:v>
      </x:c>
      <x:c r="E329" s="28" t="str">
        <x:v>FY27</x:v>
      </x:c>
      <x:c r="F329" s="28" t="str">
        <x:v>Approved case</x:v>
      </x:c>
      <x:c r="G329" s="28" t="str">
        <x:v>Realization probability</x:v>
      </x:c>
      <x:c r="H329" s="31" t="n">
        <x:v>0.88</x:v>
      </x:c>
      <x:c r="I329" s="28" t="str"/>
      <x:c r="J329" s="28" t="str">
        <x:v>decimal ratio</x:v>
      </x:c>
      <x:c r="K329" s="28" t="str">
        <x:v>Finance operating schedule</x:v>
      </x:c>
      <x:c r="L329" s="34" t="str">
        <x:v>2026-06-30</x:v>
      </x:c>
      <x:c r="M329" s="28" t="str"/>
    </x:row>
    <x:row r="330">
      <x:c r="A330" s="37" t="str">
        <x:v>PLN-01397</x:v>
      </x:c>
      <x:c r="B330" s="28" t="str">
        <x:v>Create the FY27 budget-reallocation optimizer</x:v>
      </x:c>
      <x:c r="C330" s="28" t="str">
        <x:v>Budget reallocation initiatives</x:v>
      </x:c>
      <x:c r="D330" s="28" t="str">
        <x:v>Fleet telematics</x:v>
      </x:c>
      <x:c r="E330" s="28" t="str">
        <x:v>FY27</x:v>
      </x:c>
      <x:c r="F330" s="28" t="str">
        <x:v>Approved case</x:v>
      </x:c>
      <x:c r="G330" s="28" t="str">
        <x:v>Three-year risk-adjusted NPV</x:v>
      </x:c>
      <x:c r="H330" s="31" t="n">
        <x:v>650000</x:v>
      </x:c>
      <x:c r="I330" s="28" t="str"/>
      <x:c r="J330" s="28" t="str">
        <x:v>USD</x:v>
      </x:c>
      <x:c r="K330" s="28" t="str">
        <x:v>Finance operating schedule</x:v>
      </x:c>
      <x:c r="L330" s="34" t="str">
        <x:v>2026-06-30</x:v>
      </x:c>
      <x:c r="M330" s="28" t="str"/>
    </x:row>
    <x:row r="331">
      <x:c r="A331" s="37" t="str">
        <x:v>PLN-01398</x:v>
      </x:c>
      <x:c r="B331" s="28" t="str">
        <x:v>Create the FY27 budget-reallocation optimizer</x:v>
      </x:c>
      <x:c r="C331" s="28" t="str">
        <x:v>Budget reallocation initiatives</x:v>
      </x:c>
      <x:c r="D331" s="28" t="str">
        <x:v>Fleet telematics</x:v>
      </x:c>
      <x:c r="E331" s="28" t="str">
        <x:v>FY27</x:v>
      </x:c>
      <x:c r="F331" s="28" t="str">
        <x:v>Approved case</x:v>
      </x:c>
      <x:c r="G331" s="28" t="str">
        <x:v>Dependency</x:v>
      </x:c>
      <x:c r="H331" s="31" t="str"/>
      <x:c r="I331" s="28" t="str"/>
      <x:c r="J331" s="28" t="str">
        <x:v>classification</x:v>
      </x:c>
      <x:c r="K331" s="28" t="str">
        <x:v>Finance operating schedule</x:v>
      </x:c>
      <x:c r="L331" s="34" t="str">
        <x:v>2026-06-30</x:v>
      </x:c>
      <x:c r="M331" s="28" t="str"/>
    </x:row>
    <x:row r="332">
      <x:c r="A332" s="37" t="str">
        <x:v>PLN-01399</x:v>
      </x:c>
      <x:c r="B332" s="28" t="str">
        <x:v>Create the FY27 budget-reallocation optimizer</x:v>
      </x:c>
      <x:c r="C332" s="28" t="str">
        <x:v>Budget reallocation initiatives</x:v>
      </x:c>
      <x:c r="D332" s="28" t="str">
        <x:v>Fleet telematics</x:v>
      </x:c>
      <x:c r="E332" s="28" t="str">
        <x:v>FY27</x:v>
      </x:c>
      <x:c r="F332" s="28" t="str">
        <x:v>Approved case</x:v>
      </x:c>
      <x:c r="G332" s="28" t="str">
        <x:v>Status</x:v>
      </x:c>
      <x:c r="H332" s="31" t="str"/>
      <x:c r="I332" s="28" t="str">
        <x:v>Optional</x:v>
      </x:c>
      <x:c r="J332" s="28" t="str">
        <x:v>classification</x:v>
      </x:c>
      <x:c r="K332" s="28" t="str">
        <x:v>Finance operating schedule</x:v>
      </x:c>
      <x:c r="L332" s="34" t="str">
        <x:v>2026-06-30</x:v>
      </x:c>
      <x:c r="M332" s="28" t="str"/>
    </x:row>
    <x:row r="333">
      <x:c r="A333" s="37" t="str">
        <x:v>PLN-01400</x:v>
      </x:c>
      <x:c r="B333" s="28" t="str">
        <x:v>Create the FY27 budget-reallocation optimizer</x:v>
      </x:c>
      <x:c r="C333" s="28" t="str">
        <x:v>Budget optimization policy</x:v>
      </x:c>
      <x:c r="D333" s="28" t="str">
        <x:v>Portfolio</x:v>
      </x:c>
      <x:c r="E333" s="28" t="str">
        <x:v>FY27</x:v>
      </x:c>
      <x:c r="F333" s="28" t="str">
        <x:v>Approved case</x:v>
      </x:c>
      <x:c r="G333" s="28" t="str">
        <x:v>Reallocation budget</x:v>
      </x:c>
      <x:c r="H333" s="31" t="n">
        <x:v>3250000</x:v>
      </x:c>
      <x:c r="I333" s="28" t="str"/>
      <x:c r="J333" s="28" t="str">
        <x:v>USD</x:v>
      </x:c>
      <x:c r="K333" s="28" t="str">
        <x:v>Finance operating schedule</x:v>
      </x:c>
      <x:c r="L333" s="34" t="str">
        <x:v>2026-06-30</x:v>
      </x:c>
      <x:c r="M333" s="28" t="str"/>
    </x:row>
    <x:row r="334">
      <x:c r="A334" s="37" t="str">
        <x:v>PLN-01401</x:v>
      </x:c>
      <x:c r="B334" s="28" t="str">
        <x:v>Create the FY27 budget-reallocation optimizer</x:v>
      </x:c>
      <x:c r="C334" s="28" t="str">
        <x:v>Budget optimization policy</x:v>
      </x:c>
      <x:c r="D334" s="28" t="str">
        <x:v>Portfolio</x:v>
      </x:c>
      <x:c r="E334" s="28" t="str">
        <x:v>FY27</x:v>
      </x:c>
      <x:c r="F334" s="28" t="str">
        <x:v>Approved case</x:v>
      </x:c>
      <x:c r="G334" s="28" t="str">
        <x:v>Minimum expected EBITDA benefit</x:v>
      </x:c>
      <x:c r="H334" s="31" t="n">
        <x:v>2500000</x:v>
      </x:c>
      <x:c r="I334" s="28" t="str"/>
      <x:c r="J334" s="28" t="str">
        <x:v>USD</x:v>
      </x:c>
      <x:c r="K334" s="28" t="str">
        <x:v>Finance operating schedule</x:v>
      </x:c>
      <x:c r="L334" s="34" t="str">
        <x:v>2026-06-30</x:v>
      </x:c>
      <x:c r="M334" s="28" t="str"/>
    </x:row>
    <x:row r="335">
      <x:c r="A335" s="37" t="str">
        <x:v>PLN-01402</x:v>
      </x:c>
      <x:c r="B335" s="28" t="str">
        <x:v>Create the FY27 budget-reallocation optimizer</x:v>
      </x:c>
      <x:c r="C335" s="28" t="str">
        <x:v>Budget optimization policy</x:v>
      </x:c>
      <x:c r="D335" s="28" t="str">
        <x:v>Portfolio</x:v>
      </x:c>
      <x:c r="E335" s="28" t="str">
        <x:v>FY27</x:v>
      </x:c>
      <x:c r="F335" s="28" t="str">
        <x:v>Approved case</x:v>
      </x:c>
      <x:c r="G335" s="28" t="str">
        <x:v>Maximum initiatives</x:v>
      </x:c>
      <x:c r="H335" s="31" t="n">
        <x:v>6</x:v>
      </x:c>
      <x:c r="I335" s="28" t="str"/>
      <x:c r="J335" s="28" t="str">
        <x:v>count</x:v>
      </x:c>
      <x:c r="K335" s="28" t="str">
        <x:v>Finance operating schedule</x:v>
      </x:c>
      <x:c r="L335" s="34" t="str">
        <x:v>2026-06-30</x:v>
      </x:c>
      <x:c r="M335" s="28" t="str"/>
    </x:row>
    <x:row r="336">
      <x:c r="A336" s="37" t="str">
        <x:v>PLN-01417</x:v>
      </x:c>
      <x:c r="B336" s="28" t="str">
        <x:v>Create the FY27 budget-reallocation optimizer</x:v>
      </x:c>
      <x:c r="C336" s="28" t="str">
        <x:v>Hardened initiative constraints</x:v>
      </x:c>
      <x:c r="D336" s="28" t="str">
        <x:v>Field scheduling</x:v>
      </x:c>
      <x:c r="E336" s="28" t="str">
        <x:v>Portfolio</x:v>
      </x:c>
      <x:c r="F336" s="28" t="str">
        <x:v>Approved case</x:v>
      </x:c>
      <x:c r="G336" s="28" t="str">
        <x:v>FY28 cash spend</x:v>
      </x:c>
      <x:c r="H336" s="31" t="n">
        <x:v>310000</x:v>
      </x:c>
      <x:c r="I336" s="28" t="str"/>
      <x:c r="J336" s="28" t="str">
        <x:v>USD</x:v>
      </x:c>
      <x:c r="K336" s="28" t="str">
        <x:v>Finance operating schedule</x:v>
      </x:c>
      <x:c r="L336" s="34" t="str">
        <x:v>2026-06-30</x:v>
      </x:c>
      <x:c r="M336" s="28" t="str"/>
    </x:row>
    <x:row r="337">
      <x:c r="A337" s="37" t="str">
        <x:v>PLN-01418</x:v>
      </x:c>
      <x:c r="B337" s="28" t="str">
        <x:v>Create the FY27 budget-reallocation optimizer</x:v>
      </x:c>
      <x:c r="C337" s="28" t="str">
        <x:v>Hardened initiative constraints</x:v>
      </x:c>
      <x:c r="D337" s="28" t="str">
        <x:v>Field scheduling</x:v>
      </x:c>
      <x:c r="E337" s="28" t="str">
        <x:v>Portfolio</x:v>
      </x:c>
      <x:c r="F337" s="28" t="str">
        <x:v>Approved case</x:v>
      </x:c>
      <x:c r="G337" s="28" t="str">
        <x:v>Scarce technician hours</x:v>
      </x:c>
      <x:c r="H337" s="31" t="n">
        <x:v>320</x:v>
      </x:c>
      <x:c r="I337" s="28" t="str"/>
      <x:c r="J337" s="28" t="str">
        <x:v>hours</x:v>
      </x:c>
      <x:c r="K337" s="28" t="str">
        <x:v>Finance operating schedule</x:v>
      </x:c>
      <x:c r="L337" s="34" t="str">
        <x:v>2026-06-30</x:v>
      </x:c>
      <x:c r="M337" s="28" t="str"/>
    </x:row>
    <x:row r="338">
      <x:c r="A338" s="37" t="str">
        <x:v>PLN-01419</x:v>
      </x:c>
      <x:c r="B338" s="28" t="str">
        <x:v>Create the FY27 budget-reallocation optimizer</x:v>
      </x:c>
      <x:c r="C338" s="28" t="str">
        <x:v>Hardened initiative constraints</x:v>
      </x:c>
      <x:c r="D338" s="28" t="str">
        <x:v>Field scheduling</x:v>
      </x:c>
      <x:c r="E338" s="28" t="str">
        <x:v>Portfolio</x:v>
      </x:c>
      <x:c r="F338" s="28" t="str">
        <x:v>Approved case</x:v>
      </x:c>
      <x:c r="G338" s="28" t="str">
        <x:v>Benefit domain</x:v>
      </x:c>
      <x:c r="H338" s="31" t="str"/>
      <x:c r="I338" s="28" t="str">
        <x:v>Operations</x:v>
      </x:c>
      <x:c r="J338" s="28" t="str">
        <x:v>classification</x:v>
      </x:c>
      <x:c r="K338" s="28" t="str">
        <x:v>Finance operating schedule</x:v>
      </x:c>
      <x:c r="L338" s="34" t="str">
        <x:v>2026-06-30</x:v>
      </x:c>
      <x:c r="M338" s="28" t="str"/>
    </x:row>
    <x:row r="339">
      <x:c r="A339" s="37" t="str">
        <x:v>PLN-01420</x:v>
      </x:c>
      <x:c r="B339" s="28" t="str">
        <x:v>Create the FY27 budget-reallocation optimizer</x:v>
      </x:c>
      <x:c r="C339" s="28" t="str">
        <x:v>Hardened initiative constraints</x:v>
      </x:c>
      <x:c r="D339" s="28" t="str">
        <x:v>Field scheduling</x:v>
      </x:c>
      <x:c r="E339" s="28" t="str">
        <x:v>Portfolio</x:v>
      </x:c>
      <x:c r="F339" s="28" t="str">
        <x:v>Approved case</x:v>
      </x:c>
      <x:c r="G339" s="28" t="str">
        <x:v>Resilience initiative</x:v>
      </x:c>
      <x:c r="H339" s="31" t="n">
        <x:v>0</x:v>
      </x:c>
      <x:c r="I339" s="28" t="str"/>
      <x:c r="J339" s="28" t="str">
        <x:v>boolean</x:v>
      </x:c>
      <x:c r="K339" s="28" t="str">
        <x:v>Finance operating schedule</x:v>
      </x:c>
      <x:c r="L339" s="34" t="str">
        <x:v>2026-06-30</x:v>
      </x:c>
      <x:c r="M339" s="28" t="str"/>
    </x:row>
    <x:row r="340">
      <x:c r="A340" s="37" t="str">
        <x:v>PLN-01421</x:v>
      </x:c>
      <x:c r="B340" s="28" t="str">
        <x:v>Create the FY27 budget-reallocation optimizer</x:v>
      </x:c>
      <x:c r="C340" s="28" t="str">
        <x:v>Hardened initiative constraints</x:v>
      </x:c>
      <x:c r="D340" s="28" t="str">
        <x:v>Field scheduling</x:v>
      </x:c>
      <x:c r="E340" s="28" t="str">
        <x:v>Portfolio</x:v>
      </x:c>
      <x:c r="F340" s="28" t="str">
        <x:v>Approved case</x:v>
      </x:c>
      <x:c r="G340" s="28" t="str">
        <x:v>Mutually exclusive with</x:v>
      </x:c>
      <x:c r="H340" s="31" t="str"/>
      <x:c r="I340" s="28" t="str"/>
      <x:c r="J340" s="28" t="str">
        <x:v>classification</x:v>
      </x:c>
      <x:c r="K340" s="28" t="str">
        <x:v>Finance operating schedule</x:v>
      </x:c>
      <x:c r="L340" s="34" t="str">
        <x:v>2026-06-30</x:v>
      </x:c>
      <x:c r="M340" s="28" t="str"/>
    </x:row>
    <x:row r="341">
      <x:c r="A341" s="37" t="str">
        <x:v>PLN-01422</x:v>
      </x:c>
      <x:c r="B341" s="28" t="str">
        <x:v>Create the FY27 budget-reallocation optimizer</x:v>
      </x:c>
      <x:c r="C341" s="28" t="str">
        <x:v>Hardened initiative constraints</x:v>
      </x:c>
      <x:c r="D341" s="28" t="str">
        <x:v>Service routing AI</x:v>
      </x:c>
      <x:c r="E341" s="28" t="str">
        <x:v>Portfolio</x:v>
      </x:c>
      <x:c r="F341" s="28" t="str">
        <x:v>Approved case</x:v>
      </x:c>
      <x:c r="G341" s="28" t="str">
        <x:v>FY28 cash spend</x:v>
      </x:c>
      <x:c r="H341" s="31" t="n">
        <x:v>220000</x:v>
      </x:c>
      <x:c r="I341" s="28" t="str"/>
      <x:c r="J341" s="28" t="str">
        <x:v>USD</x:v>
      </x:c>
      <x:c r="K341" s="28" t="str">
        <x:v>Finance operating schedule</x:v>
      </x:c>
      <x:c r="L341" s="34" t="str">
        <x:v>2026-06-30</x:v>
      </x:c>
      <x:c r="M341" s="28" t="str"/>
    </x:row>
    <x:row r="342">
      <x:c r="A342" s="37" t="str">
        <x:v>PLN-01423</x:v>
      </x:c>
      <x:c r="B342" s="28" t="str">
        <x:v>Create the FY27 budget-reallocation optimizer</x:v>
      </x:c>
      <x:c r="C342" s="28" t="str">
        <x:v>Hardened initiative constraints</x:v>
      </x:c>
      <x:c r="D342" s="28" t="str">
        <x:v>Service routing AI</x:v>
      </x:c>
      <x:c r="E342" s="28" t="str">
        <x:v>Portfolio</x:v>
      </x:c>
      <x:c r="F342" s="28" t="str">
        <x:v>Approved case</x:v>
      </x:c>
      <x:c r="G342" s="28" t="str">
        <x:v>Scarce technician hours</x:v>
      </x:c>
      <x:c r="H342" s="31" t="n">
        <x:v>510</x:v>
      </x:c>
      <x:c r="I342" s="28" t="str"/>
      <x:c r="J342" s="28" t="str">
        <x:v>hours</x:v>
      </x:c>
      <x:c r="K342" s="28" t="str">
        <x:v>Finance operating schedule</x:v>
      </x:c>
      <x:c r="L342" s="34" t="str">
        <x:v>2026-06-30</x:v>
      </x:c>
      <x:c r="M342" s="28" t="str"/>
    </x:row>
    <x:row r="343">
      <x:c r="A343" s="37" t="str">
        <x:v>PLN-01424</x:v>
      </x:c>
      <x:c r="B343" s="28" t="str">
        <x:v>Create the FY27 budget-reallocation optimizer</x:v>
      </x:c>
      <x:c r="C343" s="28" t="str">
        <x:v>Hardened initiative constraints</x:v>
      </x:c>
      <x:c r="D343" s="28" t="str">
        <x:v>Service routing AI</x:v>
      </x:c>
      <x:c r="E343" s="28" t="str">
        <x:v>Portfolio</x:v>
      </x:c>
      <x:c r="F343" s="28" t="str">
        <x:v>Approved case</x:v>
      </x:c>
      <x:c r="G343" s="28" t="str">
        <x:v>Benefit domain</x:v>
      </x:c>
      <x:c r="H343" s="31" t="str"/>
      <x:c r="I343" s="28" t="str">
        <x:v>Service</x:v>
      </x:c>
      <x:c r="J343" s="28" t="str">
        <x:v>classification</x:v>
      </x:c>
      <x:c r="K343" s="28" t="str">
        <x:v>Finance operating schedule</x:v>
      </x:c>
      <x:c r="L343" s="34" t="str">
        <x:v>2026-06-30</x:v>
      </x:c>
      <x:c r="M343" s="28" t="str"/>
    </x:row>
    <x:row r="344">
      <x:c r="A344" s="37" t="str">
        <x:v>PLN-01425</x:v>
      </x:c>
      <x:c r="B344" s="28" t="str">
        <x:v>Create the FY27 budget-reallocation optimizer</x:v>
      </x:c>
      <x:c r="C344" s="28" t="str">
        <x:v>Hardened initiative constraints</x:v>
      </x:c>
      <x:c r="D344" s="28" t="str">
        <x:v>Service routing AI</x:v>
      </x:c>
      <x:c r="E344" s="28" t="str">
        <x:v>Portfolio</x:v>
      </x:c>
      <x:c r="F344" s="28" t="str">
        <x:v>Approved case</x:v>
      </x:c>
      <x:c r="G344" s="28" t="str">
        <x:v>Resilience initiative</x:v>
      </x:c>
      <x:c r="H344" s="31" t="n">
        <x:v>0</x:v>
      </x:c>
      <x:c r="I344" s="28" t="str"/>
      <x:c r="J344" s="28" t="str">
        <x:v>boolean</x:v>
      </x:c>
      <x:c r="K344" s="28" t="str">
        <x:v>Finance operating schedule</x:v>
      </x:c>
      <x:c r="L344" s="34" t="str">
        <x:v>2026-06-30</x:v>
      </x:c>
      <x:c r="M344" s="28" t="str"/>
    </x:row>
    <x:row r="345">
      <x:c r="A345" s="37" t="str">
        <x:v>PLN-01426</x:v>
      </x:c>
      <x:c r="B345" s="28" t="str">
        <x:v>Create the FY27 budget-reallocation optimizer</x:v>
      </x:c>
      <x:c r="C345" s="28" t="str">
        <x:v>Hardened initiative constraints</x:v>
      </x:c>
      <x:c r="D345" s="28" t="str">
        <x:v>Service routing AI</x:v>
      </x:c>
      <x:c r="E345" s="28" t="str">
        <x:v>Portfolio</x:v>
      </x:c>
      <x:c r="F345" s="28" t="str">
        <x:v>Approved case</x:v>
      </x:c>
      <x:c r="G345" s="28" t="str">
        <x:v>Mutually exclusive with</x:v>
      </x:c>
      <x:c r="H345" s="31" t="str"/>
      <x:c r="I345" s="28" t="str"/>
      <x:c r="J345" s="28" t="str">
        <x:v>classification</x:v>
      </x:c>
      <x:c r="K345" s="28" t="str">
        <x:v>Finance operating schedule</x:v>
      </x:c>
      <x:c r="L345" s="34" t="str">
        <x:v>2026-06-30</x:v>
      </x:c>
      <x:c r="M345" s="28" t="str"/>
    </x:row>
    <x:row r="346">
      <x:c r="A346" s="37" t="str">
        <x:v>PLN-01427</x:v>
      </x:c>
      <x:c r="B346" s="28" t="str">
        <x:v>Create the FY27 budget-reallocation optimizer</x:v>
      </x:c>
      <x:c r="C346" s="28" t="str">
        <x:v>Hardened initiative constraints</x:v>
      </x:c>
      <x:c r="D346" s="28" t="str">
        <x:v>Estimator enablement</x:v>
      </x:c>
      <x:c r="E346" s="28" t="str">
        <x:v>Portfolio</x:v>
      </x:c>
      <x:c r="F346" s="28" t="str">
        <x:v>Approved case</x:v>
      </x:c>
      <x:c r="G346" s="28" t="str">
        <x:v>FY28 cash spend</x:v>
      </x:c>
      <x:c r="H346" s="31" t="n">
        <x:v>175000</x:v>
      </x:c>
      <x:c r="I346" s="28" t="str"/>
      <x:c r="J346" s="28" t="str">
        <x:v>USD</x:v>
      </x:c>
      <x:c r="K346" s="28" t="str">
        <x:v>Finance operating schedule</x:v>
      </x:c>
      <x:c r="L346" s="34" t="str">
        <x:v>2026-06-30</x:v>
      </x:c>
      <x:c r="M346" s="28" t="str"/>
    </x:row>
    <x:row r="347">
      <x:c r="A347" s="37" t="str">
        <x:v>PLN-01428</x:v>
      </x:c>
      <x:c r="B347" s="28" t="str">
        <x:v>Create the FY27 budget-reallocation optimizer</x:v>
      </x:c>
      <x:c r="C347" s="28" t="str">
        <x:v>Hardened initiative constraints</x:v>
      </x:c>
      <x:c r="D347" s="28" t="str">
        <x:v>Estimator enablement</x:v>
      </x:c>
      <x:c r="E347" s="28" t="str">
        <x:v>Portfolio</x:v>
      </x:c>
      <x:c r="F347" s="28" t="str">
        <x:v>Approved case</x:v>
      </x:c>
      <x:c r="G347" s="28" t="str">
        <x:v>Scarce technician hours</x:v>
      </x:c>
      <x:c r="H347" s="31" t="n">
        <x:v>240</x:v>
      </x:c>
      <x:c r="I347" s="28" t="str"/>
      <x:c r="J347" s="28" t="str">
        <x:v>hours</x:v>
      </x:c>
      <x:c r="K347" s="28" t="str">
        <x:v>Finance operating schedule</x:v>
      </x:c>
      <x:c r="L347" s="34" t="str">
        <x:v>2026-06-30</x:v>
      </x:c>
      <x:c r="M347" s="28" t="str"/>
    </x:row>
    <x:row r="348">
      <x:c r="A348" s="37" t="str">
        <x:v>PLN-01429</x:v>
      </x:c>
      <x:c r="B348" s="28" t="str">
        <x:v>Create the FY27 budget-reallocation optimizer</x:v>
      </x:c>
      <x:c r="C348" s="28" t="str">
        <x:v>Hardened initiative constraints</x:v>
      </x:c>
      <x:c r="D348" s="28" t="str">
        <x:v>Estimator enablement</x:v>
      </x:c>
      <x:c r="E348" s="28" t="str">
        <x:v>Portfolio</x:v>
      </x:c>
      <x:c r="F348" s="28" t="str">
        <x:v>Approved case</x:v>
      </x:c>
      <x:c r="G348" s="28" t="str">
        <x:v>Benefit domain</x:v>
      </x:c>
      <x:c r="H348" s="31" t="str"/>
      <x:c r="I348" s="28" t="str">
        <x:v>Construction</x:v>
      </x:c>
      <x:c r="J348" s="28" t="str">
        <x:v>classification</x:v>
      </x:c>
      <x:c r="K348" s="28" t="str">
        <x:v>Finance operating schedule</x:v>
      </x:c>
      <x:c r="L348" s="34" t="str">
        <x:v>2026-06-30</x:v>
      </x:c>
      <x:c r="M348" s="28" t="str"/>
    </x:row>
    <x:row r="349">
      <x:c r="A349" s="37" t="str">
        <x:v>PLN-01430</x:v>
      </x:c>
      <x:c r="B349" s="28" t="str">
        <x:v>Create the FY27 budget-reallocation optimizer</x:v>
      </x:c>
      <x:c r="C349" s="28" t="str">
        <x:v>Hardened initiative constraints</x:v>
      </x:c>
      <x:c r="D349" s="28" t="str">
        <x:v>Estimator enablement</x:v>
      </x:c>
      <x:c r="E349" s="28" t="str">
        <x:v>Portfolio</x:v>
      </x:c>
      <x:c r="F349" s="28" t="str">
        <x:v>Approved case</x:v>
      </x:c>
      <x:c r="G349" s="28" t="str">
        <x:v>Resilience initiative</x:v>
      </x:c>
      <x:c r="H349" s="31" t="n">
        <x:v>0</x:v>
      </x:c>
      <x:c r="I349" s="28" t="str"/>
      <x:c r="J349" s="28" t="str">
        <x:v>boolean</x:v>
      </x:c>
      <x:c r="K349" s="28" t="str">
        <x:v>Finance operating schedule</x:v>
      </x:c>
      <x:c r="L349" s="34" t="str">
        <x:v>2026-06-30</x:v>
      </x:c>
      <x:c r="M349" s="28" t="str"/>
    </x:row>
    <x:row r="350">
      <x:c r="A350" s="37" t="str">
        <x:v>PLN-01431</x:v>
      </x:c>
      <x:c r="B350" s="28" t="str">
        <x:v>Create the FY27 budget-reallocation optimizer</x:v>
      </x:c>
      <x:c r="C350" s="28" t="str">
        <x:v>Hardened initiative constraints</x:v>
      </x:c>
      <x:c r="D350" s="28" t="str">
        <x:v>Estimator enablement</x:v>
      </x:c>
      <x:c r="E350" s="28" t="str">
        <x:v>Portfolio</x:v>
      </x:c>
      <x:c r="F350" s="28" t="str">
        <x:v>Approved case</x:v>
      </x:c>
      <x:c r="G350" s="28" t="str">
        <x:v>Mutually exclusive with</x:v>
      </x:c>
      <x:c r="H350" s="31" t="str"/>
      <x:c r="I350" s="28" t="str"/>
      <x:c r="J350" s="28" t="str">
        <x:v>classification</x:v>
      </x:c>
      <x:c r="K350" s="28" t="str">
        <x:v>Finance operating schedule</x:v>
      </x:c>
      <x:c r="L350" s="34" t="str">
        <x:v>2026-06-30</x:v>
      </x:c>
      <x:c r="M350" s="28" t="str"/>
    </x:row>
    <x:row r="351">
      <x:c r="A351" s="37" t="str">
        <x:v>PLN-01432</x:v>
      </x:c>
      <x:c r="B351" s="28" t="str">
        <x:v>Create the FY27 budget-reallocation optimizer</x:v>
      </x:c>
      <x:c r="C351" s="28" t="str">
        <x:v>Hardened initiative constraints</x:v>
      </x:c>
      <x:c r="D351" s="28" t="str">
        <x:v>Procurement analytics</x:v>
      </x:c>
      <x:c r="E351" s="28" t="str">
        <x:v>Portfolio</x:v>
      </x:c>
      <x:c r="F351" s="28" t="str">
        <x:v>Approved case</x:v>
      </x:c>
      <x:c r="G351" s="28" t="str">
        <x:v>FY28 cash spend</x:v>
      </x:c>
      <x:c r="H351" s="31" t="n">
        <x:v>380</x:v>
      </x:c>
      <x:c r="I351" s="28" t="str"/>
      <x:c r="J351" s="28" t="str">
        <x:v>USD thousands</x:v>
      </x:c>
      <x:c r="K351" s="28" t="str">
        <x:v>Finance operating schedule</x:v>
      </x:c>
      <x:c r="L351" s="34" t="str">
        <x:v>2026-06-30</x:v>
      </x:c>
      <x:c r="M351" s="28" t="str"/>
    </x:row>
    <x:row r="352">
      <x:c r="A352" s="37" t="str">
        <x:v>PLN-01433</x:v>
      </x:c>
      <x:c r="B352" s="28" t="str">
        <x:v>Create the FY27 budget-reallocation optimizer</x:v>
      </x:c>
      <x:c r="C352" s="28" t="str">
        <x:v>Hardened initiative constraints</x:v>
      </x:c>
      <x:c r="D352" s="28" t="str">
        <x:v>Procurement analytics</x:v>
      </x:c>
      <x:c r="E352" s="28" t="str">
        <x:v>Portfolio</x:v>
      </x:c>
      <x:c r="F352" s="28" t="str">
        <x:v>Approved case</x:v>
      </x:c>
      <x:c r="G352" s="28" t="str">
        <x:v>Scarce technician hours</x:v>
      </x:c>
      <x:c r="H352" s="31" t="n">
        <x:v>190</x:v>
      </x:c>
      <x:c r="I352" s="28" t="str"/>
      <x:c r="J352" s="28" t="str">
        <x:v>hours</x:v>
      </x:c>
      <x:c r="K352" s="28" t="str">
        <x:v>Finance operating schedule</x:v>
      </x:c>
      <x:c r="L352" s="34" t="str">
        <x:v>2026-06-30</x:v>
      </x:c>
      <x:c r="M352" s="28" t="str"/>
    </x:row>
    <x:row r="353">
      <x:c r="A353" s="37" t="str">
        <x:v>PLN-01434</x:v>
      </x:c>
      <x:c r="B353" s="28" t="str">
        <x:v>Create the FY27 budget-reallocation optimizer</x:v>
      </x:c>
      <x:c r="C353" s="28" t="str">
        <x:v>Hardened initiative constraints</x:v>
      </x:c>
      <x:c r="D353" s="28" t="str">
        <x:v>Procurement analytics</x:v>
      </x:c>
      <x:c r="E353" s="28" t="str">
        <x:v>Portfolio</x:v>
      </x:c>
      <x:c r="F353" s="28" t="str">
        <x:v>Approved case</x:v>
      </x:c>
      <x:c r="G353" s="28" t="str">
        <x:v>Benefit domain</x:v>
      </x:c>
      <x:c r="H353" s="31" t="str"/>
      <x:c r="I353" s="28" t="str">
        <x:v>Operations</x:v>
      </x:c>
      <x:c r="J353" s="28" t="str">
        <x:v>classification</x:v>
      </x:c>
      <x:c r="K353" s="28" t="str">
        <x:v>Finance operating schedule</x:v>
      </x:c>
      <x:c r="L353" s="34" t="str">
        <x:v>2026-06-30</x:v>
      </x:c>
      <x:c r="M353" s="28" t="str"/>
    </x:row>
    <x:row r="354">
      <x:c r="A354" s="37" t="str">
        <x:v>PLN-01435</x:v>
      </x:c>
      <x:c r="B354" s="28" t="str">
        <x:v>Create the FY27 budget-reallocation optimizer</x:v>
      </x:c>
      <x:c r="C354" s="28" t="str">
        <x:v>Hardened initiative constraints</x:v>
      </x:c>
      <x:c r="D354" s="28" t="str">
        <x:v>Procurement analytics</x:v>
      </x:c>
      <x:c r="E354" s="28" t="str">
        <x:v>Portfolio</x:v>
      </x:c>
      <x:c r="F354" s="28" t="str">
        <x:v>Approved case</x:v>
      </x:c>
      <x:c r="G354" s="28" t="str">
        <x:v>Resilience initiative</x:v>
      </x:c>
      <x:c r="H354" s="31" t="n">
        <x:v>0</x:v>
      </x:c>
      <x:c r="I354" s="28" t="str"/>
      <x:c r="J354" s="28" t="str">
        <x:v>boolean</x:v>
      </x:c>
      <x:c r="K354" s="28" t="str">
        <x:v>Finance operating schedule</x:v>
      </x:c>
      <x:c r="L354" s="34" t="str">
        <x:v>2026-06-30</x:v>
      </x:c>
      <x:c r="M354" s="28" t="str"/>
    </x:row>
    <x:row r="355">
      <x:c r="A355" s="37" t="str">
        <x:v>PLN-01436</x:v>
      </x:c>
      <x:c r="B355" s="28" t="str">
        <x:v>Create the FY27 budget-reallocation optimizer</x:v>
      </x:c>
      <x:c r="C355" s="28" t="str">
        <x:v>Hardened initiative constraints</x:v>
      </x:c>
      <x:c r="D355" s="28" t="str">
        <x:v>Procurement analytics</x:v>
      </x:c>
      <x:c r="E355" s="28" t="str">
        <x:v>Portfolio</x:v>
      </x:c>
      <x:c r="F355" s="28" t="str">
        <x:v>Approved case</x:v>
      </x:c>
      <x:c r="G355" s="28" t="str">
        <x:v>Mutually exclusive with</x:v>
      </x:c>
      <x:c r="H355" s="31" t="str"/>
      <x:c r="I355" s="28" t="str">
        <x:v>Branch sales hires</x:v>
      </x:c>
      <x:c r="J355" s="28" t="str">
        <x:v>classification</x:v>
      </x:c>
      <x:c r="K355" s="28" t="str">
        <x:v>Finance operating schedule</x:v>
      </x:c>
      <x:c r="L355" s="34" t="str">
        <x:v>2026-06-30</x:v>
      </x:c>
      <x:c r="M355" s="28" t="str"/>
    </x:row>
    <x:row r="356">
      <x:c r="A356" s="37" t="str">
        <x:v>PLN-01437</x:v>
      </x:c>
      <x:c r="B356" s="28" t="str">
        <x:v>Create the FY27 budget-reallocation optimizer</x:v>
      </x:c>
      <x:c r="C356" s="28" t="str">
        <x:v>Hardened initiative constraints</x:v>
      </x:c>
      <x:c r="D356" s="28" t="str">
        <x:v>Controls lab</x:v>
      </x:c>
      <x:c r="E356" s="28" t="str">
        <x:v>Portfolio</x:v>
      </x:c>
      <x:c r="F356" s="28" t="str">
        <x:v>Approved case</x:v>
      </x:c>
      <x:c r="G356" s="28" t="str">
        <x:v>FY28 cash spend</x:v>
      </x:c>
      <x:c r="H356" s="31" t="n">
        <x:v>640000</x:v>
      </x:c>
      <x:c r="I356" s="28" t="str"/>
      <x:c r="J356" s="28" t="str">
        <x:v>USD</x:v>
      </x:c>
      <x:c r="K356" s="28" t="str">
        <x:v>Finance operating schedule</x:v>
      </x:c>
      <x:c r="L356" s="34" t="str">
        <x:v>2026-06-30</x:v>
      </x:c>
      <x:c r="M356" s="28" t="str"/>
    </x:row>
    <x:row r="357">
      <x:c r="A357" s="37" t="str">
        <x:v>PLN-01438</x:v>
      </x:c>
      <x:c r="B357" s="28" t="str">
        <x:v>Create the FY27 budget-reallocation optimizer</x:v>
      </x:c>
      <x:c r="C357" s="28" t="str">
        <x:v>Hardened initiative constraints</x:v>
      </x:c>
      <x:c r="D357" s="28" t="str">
        <x:v>Controls lab</x:v>
      </x:c>
      <x:c r="E357" s="28" t="str">
        <x:v>Portfolio</x:v>
      </x:c>
      <x:c r="F357" s="28" t="str">
        <x:v>Approved case</x:v>
      </x:c>
      <x:c r="G357" s="28" t="str">
        <x:v>Scarce technician hours</x:v>
      </x:c>
      <x:c r="H357" s="31" t="n">
        <x:v>690</x:v>
      </x:c>
      <x:c r="I357" s="28" t="str"/>
      <x:c r="J357" s="28" t="str">
        <x:v>hours</x:v>
      </x:c>
      <x:c r="K357" s="28" t="str">
        <x:v>Finance operating schedule</x:v>
      </x:c>
      <x:c r="L357" s="34" t="str">
        <x:v>2026-06-30</x:v>
      </x:c>
      <x:c r="M357" s="28" t="str"/>
    </x:row>
    <x:row r="358">
      <x:c r="A358" s="37" t="str">
        <x:v>PLN-01439</x:v>
      </x:c>
      <x:c r="B358" s="28" t="str">
        <x:v>Create the FY27 budget-reallocation optimizer</x:v>
      </x:c>
      <x:c r="C358" s="28" t="str">
        <x:v>Hardened initiative constraints</x:v>
      </x:c>
      <x:c r="D358" s="28" t="str">
        <x:v>Controls lab</x:v>
      </x:c>
      <x:c r="E358" s="28" t="str">
        <x:v>Portfolio</x:v>
      </x:c>
      <x:c r="F358" s="28" t="str">
        <x:v>Approved case</x:v>
      </x:c>
      <x:c r="G358" s="28" t="str">
        <x:v>Benefit domain</x:v>
      </x:c>
      <x:c r="H358" s="31" t="str"/>
      <x:c r="I358" s="28" t="str">
        <x:v>Controls</x:v>
      </x:c>
      <x:c r="J358" s="28" t="str">
        <x:v>classification</x:v>
      </x:c>
      <x:c r="K358" s="28" t="str">
        <x:v>Finance operating schedule</x:v>
      </x:c>
      <x:c r="L358" s="34" t="str">
        <x:v>2026-06-30</x:v>
      </x:c>
      <x:c r="M358" s="28" t="str"/>
    </x:row>
    <x:row r="359">
      <x:c r="A359" s="37" t="str">
        <x:v>PLN-01440</x:v>
      </x:c>
      <x:c r="B359" s="28" t="str">
        <x:v>Create the FY27 budget-reallocation optimizer</x:v>
      </x:c>
      <x:c r="C359" s="28" t="str">
        <x:v>Hardened initiative constraints</x:v>
      </x:c>
      <x:c r="D359" s="28" t="str">
        <x:v>Controls lab</x:v>
      </x:c>
      <x:c r="E359" s="28" t="str">
        <x:v>Portfolio</x:v>
      </x:c>
      <x:c r="F359" s="28" t="str">
        <x:v>Approved case</x:v>
      </x:c>
      <x:c r="G359" s="28" t="str">
        <x:v>Resilience initiative</x:v>
      </x:c>
      <x:c r="H359" s="31" t="n">
        <x:v>0</x:v>
      </x:c>
      <x:c r="I359" s="28" t="str"/>
      <x:c r="J359" s="28" t="str">
        <x:v>boolean</x:v>
      </x:c>
      <x:c r="K359" s="28" t="str">
        <x:v>Finance operating schedule</x:v>
      </x:c>
      <x:c r="L359" s="34" t="str">
        <x:v>2026-06-30</x:v>
      </x:c>
      <x:c r="M359" s="28" t="str"/>
    </x:row>
    <x:row r="360">
      <x:c r="A360" s="37" t="str">
        <x:v>PLN-01441</x:v>
      </x:c>
      <x:c r="B360" s="28" t="str">
        <x:v>Create the FY27 budget-reallocation optimizer</x:v>
      </x:c>
      <x:c r="C360" s="28" t="str">
        <x:v>Hardened initiative constraints</x:v>
      </x:c>
      <x:c r="D360" s="28" t="str">
        <x:v>Controls lab</x:v>
      </x:c>
      <x:c r="E360" s="28" t="str">
        <x:v>Portfolio</x:v>
      </x:c>
      <x:c r="F360" s="28" t="str">
        <x:v>Approved case</x:v>
      </x:c>
      <x:c r="G360" s="28" t="str">
        <x:v>Mutually exclusive with</x:v>
      </x:c>
      <x:c r="H360" s="31" t="str"/>
      <x:c r="I360" s="28" t="str">
        <x:v>Branch sales hires</x:v>
      </x:c>
      <x:c r="J360" s="28" t="str">
        <x:v>classification</x:v>
      </x:c>
      <x:c r="K360" s="28" t="str">
        <x:v>Finance operating schedule</x:v>
      </x:c>
      <x:c r="L360" s="34" t="str">
        <x:v>2026-06-30</x:v>
      </x:c>
      <x:c r="M360" s="28" t="str"/>
    </x:row>
    <x:row r="361">
      <x:c r="A361" s="37" t="str">
        <x:v>PLN-01442</x:v>
      </x:c>
      <x:c r="B361" s="28" t="str">
        <x:v>Create the FY27 budget-reallocation optimizer</x:v>
      </x:c>
      <x:c r="C361" s="28" t="str">
        <x:v>Hardened initiative constraints</x:v>
      </x:c>
      <x:c r="D361" s="28" t="str">
        <x:v>Branch sales hires</x:v>
      </x:c>
      <x:c r="E361" s="28" t="str">
        <x:v>Portfolio</x:v>
      </x:c>
      <x:c r="F361" s="28" t="str">
        <x:v>Approved case</x:v>
      </x:c>
      <x:c r="G361" s="28" t="str">
        <x:v>FY28 cash spend</x:v>
      </x:c>
      <x:c r="H361" s="31" t="n">
        <x:v>520000</x:v>
      </x:c>
      <x:c r="I361" s="28" t="str"/>
      <x:c r="J361" s="28" t="str">
        <x:v>USD</x:v>
      </x:c>
      <x:c r="K361" s="28" t="str">
        <x:v>Finance operating schedule</x:v>
      </x:c>
      <x:c r="L361" s="34" t="str">
        <x:v>2026-06-30</x:v>
      </x:c>
      <x:c r="M361" s="28" t="str"/>
    </x:row>
    <x:row r="362">
      <x:c r="A362" s="37" t="str">
        <x:v>PLN-01443</x:v>
      </x:c>
      <x:c r="B362" s="28" t="str">
        <x:v>Create the FY27 budget-reallocation optimizer</x:v>
      </x:c>
      <x:c r="C362" s="28" t="str">
        <x:v>Hardened initiative constraints</x:v>
      </x:c>
      <x:c r="D362" s="28" t="str">
        <x:v>Branch sales hires</x:v>
      </x:c>
      <x:c r="E362" s="28" t="str">
        <x:v>Portfolio</x:v>
      </x:c>
      <x:c r="F362" s="28" t="str">
        <x:v>Approved case</x:v>
      </x:c>
      <x:c r="G362" s="28" t="str">
        <x:v>Scarce technician hours</x:v>
      </x:c>
      <x:c r="H362" s="31" t="n">
        <x:v>260</x:v>
      </x:c>
      <x:c r="I362" s="28" t="str"/>
      <x:c r="J362" s="28" t="str">
        <x:v>hours</x:v>
      </x:c>
      <x:c r="K362" s="28" t="str">
        <x:v>Finance operating schedule</x:v>
      </x:c>
      <x:c r="L362" s="34" t="str">
        <x:v>2026-06-30</x:v>
      </x:c>
      <x:c r="M362" s="28" t="str"/>
    </x:row>
    <x:row r="363">
      <x:c r="A363" s="37" t="str">
        <x:v>PLN-01444</x:v>
      </x:c>
      <x:c r="B363" s="28" t="str">
        <x:v>Create the FY27 budget-reallocation optimizer</x:v>
      </x:c>
      <x:c r="C363" s="28" t="str">
        <x:v>Hardened initiative constraints</x:v>
      </x:c>
      <x:c r="D363" s="28" t="str">
        <x:v>Branch sales hires</x:v>
      </x:c>
      <x:c r="E363" s="28" t="str">
        <x:v>Portfolio</x:v>
      </x:c>
      <x:c r="F363" s="28" t="str">
        <x:v>Approved case</x:v>
      </x:c>
      <x:c r="G363" s="28" t="str">
        <x:v>Benefit domain</x:v>
      </x:c>
      <x:c r="H363" s="31" t="str"/>
      <x:c r="I363" s="28" t="str">
        <x:v>Commercial</x:v>
      </x:c>
      <x:c r="J363" s="28" t="str">
        <x:v>classification</x:v>
      </x:c>
      <x:c r="K363" s="28" t="str">
        <x:v>Finance operating schedule</x:v>
      </x:c>
      <x:c r="L363" s="34" t="str">
        <x:v>2026-06-30</x:v>
      </x:c>
      <x:c r="M363" s="28" t="str"/>
    </x:row>
    <x:row r="364">
      <x:c r="A364" s="37" t="str">
        <x:v>PLN-01445</x:v>
      </x:c>
      <x:c r="B364" s="28" t="str">
        <x:v>Create the FY27 budget-reallocation optimizer</x:v>
      </x:c>
      <x:c r="C364" s="28" t="str">
        <x:v>Hardened initiative constraints</x:v>
      </x:c>
      <x:c r="D364" s="28" t="str">
        <x:v>Branch sales hires</x:v>
      </x:c>
      <x:c r="E364" s="28" t="str">
        <x:v>Portfolio</x:v>
      </x:c>
      <x:c r="F364" s="28" t="str">
        <x:v>Approved case</x:v>
      </x:c>
      <x:c r="G364" s="28" t="str">
        <x:v>Resilience initiative</x:v>
      </x:c>
      <x:c r="H364" s="31" t="n">
        <x:v>0</x:v>
      </x:c>
      <x:c r="I364" s="28" t="str"/>
      <x:c r="J364" s="28" t="str">
        <x:v>boolean</x:v>
      </x:c>
      <x:c r="K364" s="28" t="str">
        <x:v>Finance operating schedule</x:v>
      </x:c>
      <x:c r="L364" s="34" t="str">
        <x:v>2026-06-30</x:v>
      </x:c>
      <x:c r="M364" s="28" t="str"/>
    </x:row>
    <x:row r="365">
      <x:c r="A365" s="37" t="str">
        <x:v>PLN-01446</x:v>
      </x:c>
      <x:c r="B365" s="28" t="str">
        <x:v>Create the FY27 budget-reallocation optimizer</x:v>
      </x:c>
      <x:c r="C365" s="28" t="str">
        <x:v>Hardened initiative constraints</x:v>
      </x:c>
      <x:c r="D365" s="28" t="str">
        <x:v>Branch sales hires</x:v>
      </x:c>
      <x:c r="E365" s="28" t="str">
        <x:v>Portfolio</x:v>
      </x:c>
      <x:c r="F365" s="28" t="str">
        <x:v>Approved case</x:v>
      </x:c>
      <x:c r="G365" s="28" t="str">
        <x:v>Mutually exclusive with</x:v>
      </x:c>
      <x:c r="H365" s="31" t="str"/>
      <x:c r="I365" s="28" t="str">
        <x:v>Controls lab; Procurement analytics</x:v>
      </x:c>
      <x:c r="J365" s="28" t="str">
        <x:v>classification</x:v>
      </x:c>
      <x:c r="K365" s="28" t="str">
        <x:v>Finance operating schedule</x:v>
      </x:c>
      <x:c r="L365" s="34" t="str">
        <x:v>2026-06-30</x:v>
      </x:c>
      <x:c r="M365" s="28" t="str"/>
    </x:row>
    <x:row r="366">
      <x:c r="A366" s="37" t="str">
        <x:v>PLN-01447</x:v>
      </x:c>
      <x:c r="B366" s="28" t="str">
        <x:v>Create the FY27 budget-reallocation optimizer</x:v>
      </x:c>
      <x:c r="C366" s="28" t="str">
        <x:v>Hardened initiative constraints</x:v>
      </x:c>
      <x:c r="D366" s="28" t="str">
        <x:v>Cyber remediation</x:v>
      </x:c>
      <x:c r="E366" s="28" t="str">
        <x:v>Portfolio</x:v>
      </x:c>
      <x:c r="F366" s="28" t="str">
        <x:v>Approved case</x:v>
      </x:c>
      <x:c r="G366" s="28" t="str">
        <x:v>FY28 cash spend</x:v>
      </x:c>
      <x:c r="H366" s="31" t="n">
        <x:v>210000</x:v>
      </x:c>
      <x:c r="I366" s="28" t="str"/>
      <x:c r="J366" s="28" t="str">
        <x:v>USD</x:v>
      </x:c>
      <x:c r="K366" s="28" t="str">
        <x:v>Finance operating schedule</x:v>
      </x:c>
      <x:c r="L366" s="34" t="str">
        <x:v>2026-06-30</x:v>
      </x:c>
      <x:c r="M366" s="28" t="str"/>
    </x:row>
    <x:row r="367">
      <x:c r="A367" s="37" t="str">
        <x:v>PLN-01448</x:v>
      </x:c>
      <x:c r="B367" s="28" t="str">
        <x:v>Create the FY27 budget-reallocation optimizer</x:v>
      </x:c>
      <x:c r="C367" s="28" t="str">
        <x:v>Hardened initiative constraints</x:v>
      </x:c>
      <x:c r="D367" s="28" t="str">
        <x:v>Cyber remediation</x:v>
      </x:c>
      <x:c r="E367" s="28" t="str">
        <x:v>Portfolio</x:v>
      </x:c>
      <x:c r="F367" s="28" t="str">
        <x:v>Approved case</x:v>
      </x:c>
      <x:c r="G367" s="28" t="str">
        <x:v>Scarce technician hours</x:v>
      </x:c>
      <x:c r="H367" s="31" t="n">
        <x:v>80</x:v>
      </x:c>
      <x:c r="I367" s="28" t="str"/>
      <x:c r="J367" s="28" t="str">
        <x:v>hours</x:v>
      </x:c>
      <x:c r="K367" s="28" t="str">
        <x:v>Finance operating schedule</x:v>
      </x:c>
      <x:c r="L367" s="34" t="str">
        <x:v>2026-06-30</x:v>
      </x:c>
      <x:c r="M367" s="28" t="str"/>
    </x:row>
    <x:row r="368">
      <x:c r="A368" s="37" t="str">
        <x:v>PLN-01449</x:v>
      </x:c>
      <x:c r="B368" s="28" t="str">
        <x:v>Create the FY27 budget-reallocation optimizer</x:v>
      </x:c>
      <x:c r="C368" s="28" t="str">
        <x:v>Hardened initiative constraints</x:v>
      </x:c>
      <x:c r="D368" s="28" t="str">
        <x:v>Cyber remediation</x:v>
      </x:c>
      <x:c r="E368" s="28" t="str">
        <x:v>Portfolio</x:v>
      </x:c>
      <x:c r="F368" s="28" t="str">
        <x:v>Approved case</x:v>
      </x:c>
      <x:c r="G368" s="28" t="str">
        <x:v>Benefit domain</x:v>
      </x:c>
      <x:c r="H368" s="31" t="str"/>
      <x:c r="I368" s="28" t="str">
        <x:v>Resilience</x:v>
      </x:c>
      <x:c r="J368" s="28" t="str">
        <x:v>classification</x:v>
      </x:c>
      <x:c r="K368" s="28" t="str">
        <x:v>Finance operating schedule</x:v>
      </x:c>
      <x:c r="L368" s="34" t="str">
        <x:v>2026-06-30</x:v>
      </x:c>
      <x:c r="M368" s="28" t="str"/>
    </x:row>
    <x:row r="369">
      <x:c r="A369" s="37" t="str">
        <x:v>PLN-01450</x:v>
      </x:c>
      <x:c r="B369" s="28" t="str">
        <x:v>Create the FY27 budget-reallocation optimizer</x:v>
      </x:c>
      <x:c r="C369" s="28" t="str">
        <x:v>Hardened initiative constraints</x:v>
      </x:c>
      <x:c r="D369" s="28" t="str">
        <x:v>Cyber remediation</x:v>
      </x:c>
      <x:c r="E369" s="28" t="str">
        <x:v>Portfolio</x:v>
      </x:c>
      <x:c r="F369" s="28" t="str">
        <x:v>Approved case</x:v>
      </x:c>
      <x:c r="G369" s="28" t="str">
        <x:v>Resilience initiative</x:v>
      </x:c>
      <x:c r="H369" s="31" t="n">
        <x:v>1</x:v>
      </x:c>
      <x:c r="I369" s="28" t="str"/>
      <x:c r="J369" s="28" t="str">
        <x:v>boolean</x:v>
      </x:c>
      <x:c r="K369" s="28" t="str">
        <x:v>Finance operating schedule</x:v>
      </x:c>
      <x:c r="L369" s="34" t="str">
        <x:v>2026-06-30</x:v>
      </x:c>
      <x:c r="M369" s="28" t="str"/>
    </x:row>
    <x:row r="370">
      <x:c r="A370" s="37" t="str">
        <x:v>PLN-01451</x:v>
      </x:c>
      <x:c r="B370" s="28" t="str">
        <x:v>Create the FY27 budget-reallocation optimizer</x:v>
      </x:c>
      <x:c r="C370" s="28" t="str">
        <x:v>Hardened initiative constraints</x:v>
      </x:c>
      <x:c r="D370" s="28" t="str">
        <x:v>Cyber remediation</x:v>
      </x:c>
      <x:c r="E370" s="28" t="str">
        <x:v>Portfolio</x:v>
      </x:c>
      <x:c r="F370" s="28" t="str">
        <x:v>Approved case</x:v>
      </x:c>
      <x:c r="G370" s="28" t="str">
        <x:v>Mutually exclusive with</x:v>
      </x:c>
      <x:c r="H370" s="31" t="str"/>
      <x:c r="I370" s="28" t="str"/>
      <x:c r="J370" s="28" t="str">
        <x:v>classification</x:v>
      </x:c>
      <x:c r="K370" s="28" t="str">
        <x:v>Finance operating schedule</x:v>
      </x:c>
      <x:c r="L370" s="34" t="str">
        <x:v>2026-06-30</x:v>
      </x:c>
      <x:c r="M370" s="28" t="str"/>
    </x:row>
    <x:row r="371">
      <x:c r="A371" s="37" t="str">
        <x:v>PLN-01452</x:v>
      </x:c>
      <x:c r="B371" s="28" t="str">
        <x:v>Create the FY27 budget-reallocation optimizer</x:v>
      </x:c>
      <x:c r="C371" s="28" t="str">
        <x:v>Hardened initiative constraints</x:v>
      </x:c>
      <x:c r="D371" s="28" t="str">
        <x:v>Fleet telematics</x:v>
      </x:c>
      <x:c r="E371" s="28" t="str">
        <x:v>Portfolio</x:v>
      </x:c>
      <x:c r="F371" s="28" t="str">
        <x:v>Approved case</x:v>
      </x:c>
      <x:c r="G371" s="28" t="str">
        <x:v>FY28 cash spend</x:v>
      </x:c>
      <x:c r="H371" s="31" t="n">
        <x:v>145</x:v>
      </x:c>
      <x:c r="I371" s="28" t="str"/>
      <x:c r="J371" s="28" t="str">
        <x:v>USD thousands</x:v>
      </x:c>
      <x:c r="K371" s="28" t="str">
        <x:v>Finance operating schedule</x:v>
      </x:c>
      <x:c r="L371" s="34" t="str">
        <x:v>2026-06-30</x:v>
      </x:c>
      <x:c r="M371" s="28" t="str"/>
    </x:row>
    <x:row r="372">
      <x:c r="A372" s="37" t="str">
        <x:v>PLN-01453</x:v>
      </x:c>
      <x:c r="B372" s="28" t="str">
        <x:v>Create the FY27 budget-reallocation optimizer</x:v>
      </x:c>
      <x:c r="C372" s="28" t="str">
        <x:v>Hardened initiative constraints</x:v>
      </x:c>
      <x:c r="D372" s="28" t="str">
        <x:v>Fleet telematics</x:v>
      </x:c>
      <x:c r="E372" s="28" t="str">
        <x:v>Portfolio</x:v>
      </x:c>
      <x:c r="F372" s="28" t="str">
        <x:v>Approved case</x:v>
      </x:c>
      <x:c r="G372" s="28" t="str">
        <x:v>Scarce technician hours</x:v>
      </x:c>
      <x:c r="H372" s="31" t="n">
        <x:v>430</x:v>
      </x:c>
      <x:c r="I372" s="28" t="str"/>
      <x:c r="J372" s="28" t="str">
        <x:v>hours</x:v>
      </x:c>
      <x:c r="K372" s="28" t="str">
        <x:v>Finance operating schedule</x:v>
      </x:c>
      <x:c r="L372" s="34" t="str">
        <x:v>2026-06-30</x:v>
      </x:c>
      <x:c r="M372" s="28" t="str"/>
    </x:row>
    <x:row r="373">
      <x:c r="A373" s="37" t="str">
        <x:v>PLN-01454</x:v>
      </x:c>
      <x:c r="B373" s="28" t="str">
        <x:v>Create the FY27 budget-reallocation optimizer</x:v>
      </x:c>
      <x:c r="C373" s="28" t="str">
        <x:v>Hardened initiative constraints</x:v>
      </x:c>
      <x:c r="D373" s="28" t="str">
        <x:v>Fleet telematics</x:v>
      </x:c>
      <x:c r="E373" s="28" t="str">
        <x:v>Portfolio</x:v>
      </x:c>
      <x:c r="F373" s="28" t="str">
        <x:v>Approved case</x:v>
      </x:c>
      <x:c r="G373" s="28" t="str">
        <x:v>Benefit domain</x:v>
      </x:c>
      <x:c r="H373" s="31" t="str"/>
      <x:c r="I373" s="28" t="str">
        <x:v>Operations</x:v>
      </x:c>
      <x:c r="J373" s="28" t="str">
        <x:v>classification</x:v>
      </x:c>
      <x:c r="K373" s="28" t="str">
        <x:v>Finance operating schedule</x:v>
      </x:c>
      <x:c r="L373" s="34" t="str">
        <x:v>2026-06-30</x:v>
      </x:c>
      <x:c r="M373" s="28" t="str"/>
    </x:row>
    <x:row r="374">
      <x:c r="A374" s="37" t="str">
        <x:v>PLN-01455</x:v>
      </x:c>
      <x:c r="B374" s="28" t="str">
        <x:v>Create the FY27 budget-reallocation optimizer</x:v>
      </x:c>
      <x:c r="C374" s="28" t="str">
        <x:v>Hardened initiative constraints</x:v>
      </x:c>
      <x:c r="D374" s="28" t="str">
        <x:v>Fleet telematics</x:v>
      </x:c>
      <x:c r="E374" s="28" t="str">
        <x:v>Portfolio</x:v>
      </x:c>
      <x:c r="F374" s="28" t="str">
        <x:v>Approved case</x:v>
      </x:c>
      <x:c r="G374" s="28" t="str">
        <x:v>Resilience initiative</x:v>
      </x:c>
      <x:c r="H374" s="31" t="n">
        <x:v>0</x:v>
      </x:c>
      <x:c r="I374" s="28" t="str"/>
      <x:c r="J374" s="28" t="str">
        <x:v>boolean</x:v>
      </x:c>
      <x:c r="K374" s="28" t="str">
        <x:v>Finance operating schedule</x:v>
      </x:c>
      <x:c r="L374" s="34" t="str">
        <x:v>2026-06-30</x:v>
      </x:c>
      <x:c r="M374" s="28" t="str"/>
    </x:row>
    <x:row r="375">
      <x:c r="A375" s="37" t="str">
        <x:v>PLN-01456</x:v>
      </x:c>
      <x:c r="B375" s="28" t="str">
        <x:v>Create the FY27 budget-reallocation optimizer</x:v>
      </x:c>
      <x:c r="C375" s="28" t="str">
        <x:v>Hardened initiative constraints</x:v>
      </x:c>
      <x:c r="D375" s="28" t="str">
        <x:v>Fleet telematics</x:v>
      </x:c>
      <x:c r="E375" s="28" t="str">
        <x:v>Portfolio</x:v>
      </x:c>
      <x:c r="F375" s="28" t="str">
        <x:v>Approved case</x:v>
      </x:c>
      <x:c r="G375" s="28" t="str">
        <x:v>Mutually exclusive with</x:v>
      </x:c>
      <x:c r="H375" s="31" t="str"/>
      <x:c r="I375" s="28" t="str"/>
      <x:c r="J375" s="28" t="str">
        <x:v>classification</x:v>
      </x:c>
      <x:c r="K375" s="28" t="str">
        <x:v>Finance operating schedule</x:v>
      </x:c>
      <x:c r="L375" s="34" t="str">
        <x:v>2026-06-30</x:v>
      </x:c>
      <x:c r="M375" s="28" t="str"/>
    </x:row>
    <x:row r="376">
      <x:c r="A376" s="37" t="str">
        <x:v>PLN-01457</x:v>
      </x:c>
      <x:c r="B376" s="28" t="str">
        <x:v>Create the FY27 budget-reallocation optimizer</x:v>
      </x:c>
      <x:c r="C376" s="28" t="str">
        <x:v>Budget optimization policy</x:v>
      </x:c>
      <x:c r="D376" s="28" t="str">
        <x:v>Portfolio</x:v>
      </x:c>
      <x:c r="E376" s="28" t="str">
        <x:v>Hardened</x:v>
      </x:c>
      <x:c r="F376" s="28" t="str">
        <x:v>Approved case</x:v>
      </x:c>
      <x:c r="G376" s="28" t="str">
        <x:v>FY28 cash budget</x:v>
      </x:c>
      <x:c r="H376" s="31" t="n">
        <x:v>1900000</x:v>
      </x:c>
      <x:c r="I376" s="28" t="str"/>
      <x:c r="J376" s="28" t="str">
        <x:v>USD</x:v>
      </x:c>
      <x:c r="K376" s="28" t="str">
        <x:v>Finance operating schedule</x:v>
      </x:c>
      <x:c r="L376" s="34" t="str">
        <x:v>2026-06-30</x:v>
      </x:c>
      <x:c r="M376" s="28" t="str"/>
    </x:row>
    <x:row r="377">
      <x:c r="A377" s="37" t="str">
        <x:v>PLN-01458</x:v>
      </x:c>
      <x:c r="B377" s="28" t="str">
        <x:v>Create the FY27 budget-reallocation optimizer</x:v>
      </x:c>
      <x:c r="C377" s="28" t="str">
        <x:v>Budget optimization policy</x:v>
      </x:c>
      <x:c r="D377" s="28" t="str">
        <x:v>Portfolio</x:v>
      </x:c>
      <x:c r="E377" s="28" t="str">
        <x:v>Hardened</x:v>
      </x:c>
      <x:c r="F377" s="28" t="str">
        <x:v>Approved case</x:v>
      </x:c>
      <x:c r="G377" s="28" t="str">
        <x:v>Technician-hour capacity</x:v>
      </x:c>
      <x:c r="H377" s="31" t="n">
        <x:v>1750</x:v>
      </x:c>
      <x:c r="I377" s="28" t="str"/>
      <x:c r="J377" s="28" t="str">
        <x:v>hours</x:v>
      </x:c>
      <x:c r="K377" s="28" t="str">
        <x:v>Finance operating schedule</x:v>
      </x:c>
      <x:c r="L377" s="34" t="str">
        <x:v>2026-06-30</x:v>
      </x:c>
      <x:c r="M377" s="28" t="str"/>
    </x:row>
    <x:row r="378">
      <x:c r="A378" s="37" t="str">
        <x:v>PLN-01459</x:v>
      </x:c>
      <x:c r="B378" s="28" t="str">
        <x:v>Create the FY27 budget-reallocation optimizer</x:v>
      </x:c>
      <x:c r="C378" s="28" t="str">
        <x:v>Budget optimization policy</x:v>
      </x:c>
      <x:c r="D378" s="28" t="str">
        <x:v>Portfolio</x:v>
      </x:c>
      <x:c r="E378" s="28" t="str">
        <x:v>Hardened</x:v>
      </x:c>
      <x:c r="F378" s="28" t="str">
        <x:v>Approved case</x:v>
      </x:c>
      <x:c r="G378" s="28" t="str">
        <x:v>Minimum resilience initiatives</x:v>
      </x:c>
      <x:c r="H378" s="31" t="n">
        <x:v>1</x:v>
      </x:c>
      <x:c r="I378" s="28" t="str"/>
      <x:c r="J378" s="28" t="str">
        <x:v>count</x:v>
      </x:c>
      <x:c r="K378" s="28" t="str">
        <x:v>Finance operating schedule</x:v>
      </x:c>
      <x:c r="L378" s="34" t="str">
        <x:v>2026-06-30</x:v>
      </x:c>
      <x:c r="M378" s="28" t="str"/>
    </x:row>
    <x:row r="379">
      <x:c r="A379" s="37" t="str">
        <x:v>PLN-01460</x:v>
      </x:c>
      <x:c r="B379" s="28" t="str">
        <x:v>Create the FY27 budget-reallocation optimizer</x:v>
      </x:c>
      <x:c r="C379" s="28" t="str">
        <x:v>Budget optimization policy</x:v>
      </x:c>
      <x:c r="D379" s="28" t="str">
        <x:v>Portfolio</x:v>
      </x:c>
      <x:c r="E379" s="28" t="str">
        <x:v>Hardened</x:v>
      </x:c>
      <x:c r="F379" s="28" t="str">
        <x:v>Approved case</x:v>
      </x:c>
      <x:c r="G379" s="28" t="str">
        <x:v>Maximum initiatives per benefit domain</x:v>
      </x:c>
      <x:c r="H379" s="31" t="n">
        <x:v>2</x:v>
      </x:c>
      <x:c r="I379" s="28" t="str"/>
      <x:c r="J379" s="28" t="str">
        <x:v>count</x:v>
      </x:c>
      <x:c r="K379" s="28" t="str">
        <x:v>Finance operating schedule</x:v>
      </x:c>
      <x:c r="L379" s="34" t="str">
        <x:v>2026-06-30</x:v>
      </x:c>
      <x:c r="M379" s="28" t="str"/>
    </x:row>
    <x:row r="380">
      <x:c r="A380" s="37" t="str">
        <x:v>PLN-01461</x:v>
      </x:c>
      <x:c r="B380" s="28" t="str">
        <x:v>Create the FY27 budget-reallocation optimizer</x:v>
      </x:c>
      <x:c r="C380" s="28" t="str">
        <x:v>Budget optimization stress policy</x:v>
      </x:c>
      <x:c r="D380" s="28" t="str">
        <x:v>Portfolio</x:v>
      </x:c>
      <x:c r="E380" s="28" t="str">
        <x:v>Steering downside</x:v>
      </x:c>
      <x:c r="F380" s="28" t="str">
        <x:v>Approved case</x:v>
      </x:c>
      <x:c r="G380" s="28" t="str">
        <x:v>FY28 budget stress factor</x:v>
      </x:c>
      <x:c r="H380" s="31" t="n">
        <x:v>0.9</x:v>
      </x:c>
      <x:c r="I380" s="28" t="str"/>
      <x:c r="J380" s="28" t="str">
        <x:v>decimal ratio</x:v>
      </x:c>
      <x:c r="K380" s="28" t="str">
        <x:v>Finance operating schedule</x:v>
      </x:c>
      <x:c r="L380" s="34" t="str">
        <x:v>2026-06-30</x:v>
      </x:c>
      <x:c r="M380" s="28" t="str"/>
    </x:row>
    <x:row r="381">
      <x:c r="A381" s="38" t="str">
        <x:v>PLN-01462</x:v>
      </x:c>
      <x:c r="B381" s="29" t="str">
        <x:v>Create the FY27 budget-reallocation optimizer</x:v>
      </x:c>
      <x:c r="C381" s="29" t="str">
        <x:v>Budget optimization stress policy</x:v>
      </x:c>
      <x:c r="D381" s="29" t="str">
        <x:v>Portfolio</x:v>
      </x:c>
      <x:c r="E381" s="29" t="str">
        <x:v>Steering downside</x:v>
      </x:c>
      <x:c r="F381" s="29" t="str">
        <x:v>Approved case</x:v>
      </x:c>
      <x:c r="G381" s="29" t="str">
        <x:v>Technician capacity stress factor</x:v>
      </x:c>
      <x:c r="H381" s="32" t="n">
        <x:v>0.8</x:v>
      </x:c>
      <x:c r="I381" s="29" t="str"/>
      <x:c r="J381" s="29" t="str">
        <x:v>decimal ratio</x:v>
      </x:c>
      <x:c r="K381" s="29" t="str">
        <x:v>Finance operating schedule</x:v>
      </x:c>
      <x:c r="L381" s="35" t="str">
        <x:v>2026-06-30</x:v>
      </x:c>
      <x:c r="M381" s="29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FY27 operating plan | Branches and Backlog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CURRENT WORKING SOURCE - controller tie completed 2026-07-03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>
      <x:c r="A5" s="36" t="str">
        <x:v>PLN-00564</x:v>
      </x:c>
      <x:c r="B5" s="27" t="str">
        <x:v>Branch contribution and economic-profit ranking</x:v>
      </x:c>
      <x:c r="C5" s="27" t="str">
        <x:v>Branch economics</x:v>
      </x:c>
      <x:c r="D5" s="27" t="str">
        <x:v>Portland Construction</x:v>
      </x:c>
      <x:c r="E5" s="27" t="str">
        <x:v>LTM 2026-06-30</x:v>
      </x:c>
      <x:c r="F5" s="27" t="str">
        <x:v>Approved case</x:v>
      </x:c>
      <x:c r="G5" s="27" t="str">
        <x:v>Revenue allocation</x:v>
      </x:c>
      <x:c r="H5" s="30" t="n">
        <x:v>0.31</x:v>
      </x:c>
      <x:c r="I5" s="27" t="str"/>
      <x:c r="J5" s="27" t="str">
        <x:v>ledger allocation factor</x:v>
      </x:c>
      <x:c r="K5" s="27" t="str">
        <x:v>Finance operating schedule</x:v>
      </x:c>
      <x:c r="L5" s="33" t="str">
        <x:v>2026-06-30</x:v>
      </x:c>
      <x:c r="M5" s="27" t="str">
        <x:v>Vista ERP P&amp;L, 2025-07-01 through 2026-06-30; Revenue total</x:v>
      </x:c>
    </x:row>
    <x:row r="6">
      <x:c r="A6" s="37" t="str">
        <x:v>PLN-00565</x:v>
      </x:c>
      <x:c r="B6" s="28" t="str">
        <x:v>Branch contribution and economic-profit ranking</x:v>
      </x:c>
      <x:c r="C6" s="28" t="str">
        <x:v>Branch economics</x:v>
      </x:c>
      <x:c r="D6" s="28" t="str">
        <x:v>Portland Construction</x:v>
      </x:c>
      <x:c r="E6" s="28" t="str">
        <x:v>LTM 2026-06-30</x:v>
      </x:c>
      <x:c r="F6" s="28" t="str">
        <x:v>Approved case</x:v>
      </x:c>
      <x:c r="G6" s="28" t="str">
        <x:v>Contribution margin</x:v>
      </x:c>
      <x:c r="H6" s="31" t="n">
        <x:v>0.235</x:v>
      </x:c>
      <x:c r="I6" s="28" t="str"/>
      <x:c r="J6" s="28" t="str">
        <x:v>decimal ratio</x:v>
      </x:c>
      <x:c r="K6" s="28" t="str">
        <x:v>Finance operating schedule</x:v>
      </x:c>
      <x:c r="L6" s="34" t="str">
        <x:v>2026-06-30</x:v>
      </x:c>
      <x:c r="M6" s="28" t="str"/>
    </x:row>
    <x:row r="7">
      <x:c r="A7" s="37" t="str">
        <x:v>PLN-00566</x:v>
      </x:c>
      <x:c r="B7" s="28" t="str">
        <x:v>Branch contribution and economic-profit ranking</x:v>
      </x:c>
      <x:c r="C7" s="28" t="str">
        <x:v>Activity drivers</x:v>
      </x:c>
      <x:c r="D7" s="28" t="str">
        <x:v>Portland Construction</x:v>
      </x:c>
      <x:c r="E7" s="28" t="str">
        <x:v>LTM 2026-06-30</x:v>
      </x:c>
      <x:c r="F7" s="28" t="str">
        <x:v>Approved case</x:v>
      </x:c>
      <x:c r="G7" s="28" t="str">
        <x:v>Customer invoice count in hundreds</x:v>
      </x:c>
      <x:c r="H7" s="31" t="n">
        <x:v>31</x:v>
      </x:c>
      <x:c r="I7" s="28" t="str"/>
      <x:c r="J7" s="28" t="str">
        <x:v>count</x:v>
      </x:c>
      <x:c r="K7" s="28" t="str">
        <x:v>Finance operating schedule</x:v>
      </x:c>
      <x:c r="L7" s="34" t="str">
        <x:v>2026-06-30</x:v>
      </x:c>
      <x:c r="M7" s="28" t="str"/>
    </x:row>
    <x:row r="8">
      <x:c r="A8" s="37" t="str">
        <x:v>PLN-00567</x:v>
      </x:c>
      <x:c r="B8" s="28" t="str">
        <x:v>Branch contribution and economic-profit ranking</x:v>
      </x:c>
      <x:c r="C8" s="28" t="str">
        <x:v>Activity drivers</x:v>
      </x:c>
      <x:c r="D8" s="28" t="str">
        <x:v>Portland Construction</x:v>
      </x:c>
      <x:c r="E8" s="28" t="str">
        <x:v>2026-06-30</x:v>
      </x:c>
      <x:c r="F8" s="28" t="str">
        <x:v>Approved case</x:v>
      </x:c>
      <x:c r="G8" s="28" t="str">
        <x:v>Active employee count</x:v>
      </x:c>
      <x:c r="H8" s="31" t="n">
        <x:v>42</x:v>
      </x:c>
      <x:c r="I8" s="28" t="str"/>
      <x:c r="J8" s="28" t="str">
        <x:v>count</x:v>
      </x:c>
      <x:c r="K8" s="28" t="str">
        <x:v>Finance operating schedule</x:v>
      </x:c>
      <x:c r="L8" s="34" t="str">
        <x:v>2026-06-30</x:v>
      </x:c>
      <x:c r="M8" s="28" t="str"/>
    </x:row>
    <x:row r="9">
      <x:c r="A9" s="37" t="str">
        <x:v>PLN-00568</x:v>
      </x:c>
      <x:c r="B9" s="28" t="str">
        <x:v>Branch contribution and economic-profit ranking</x:v>
      </x:c>
      <x:c r="C9" s="28" t="str">
        <x:v>Capital base</x:v>
      </x:c>
      <x:c r="D9" s="28" t="str">
        <x:v>Portland Construction</x:v>
      </x:c>
      <x:c r="E9" s="28" t="str">
        <x:v>LTM 2026-06-30</x:v>
      </x:c>
      <x:c r="F9" s="28" t="str">
        <x:v>Approved case</x:v>
      </x:c>
      <x:c r="G9" s="28" t="str">
        <x:v>Average invested capital</x:v>
      </x:c>
      <x:c r="H9" s="31" t="n">
        <x:v>8400000</x:v>
      </x:c>
      <x:c r="I9" s="28" t="str"/>
      <x:c r="J9" s="28" t="str">
        <x:v>USD</x:v>
      </x:c>
      <x:c r="K9" s="28" t="str">
        <x:v>Finance operating schedule</x:v>
      </x:c>
      <x:c r="L9" s="34" t="str">
        <x:v>2026-06-30</x:v>
      </x:c>
      <x:c r="M9" s="28" t="str"/>
    </x:row>
    <x:row r="10">
      <x:c r="A10" s="37" t="str">
        <x:v>PLN-00569</x:v>
      </x:c>
      <x:c r="B10" s="28" t="str">
        <x:v>Branch contribution and economic-profit ranking</x:v>
      </x:c>
      <x:c r="C10" s="28" t="str">
        <x:v>Branch economics</x:v>
      </x:c>
      <x:c r="D10" s="28" t="str">
        <x:v>Seattle Construction</x:v>
      </x:c>
      <x:c r="E10" s="28" t="str">
        <x:v>LTM 2026-06-30</x:v>
      </x:c>
      <x:c r="F10" s="28" t="str">
        <x:v>Approved case</x:v>
      </x:c>
      <x:c r="G10" s="28" t="str">
        <x:v>Revenue allocation</x:v>
      </x:c>
      <x:c r="H10" s="31" t="n">
        <x:v>0.25</x:v>
      </x:c>
      <x:c r="I10" s="28" t="str"/>
      <x:c r="J10" s="28" t="str">
        <x:v>ledger allocation factor</x:v>
      </x:c>
      <x:c r="K10" s="28" t="str">
        <x:v>Finance operating schedule</x:v>
      </x:c>
      <x:c r="L10" s="34" t="str">
        <x:v>2026-06-30</x:v>
      </x:c>
      <x:c r="M10" s="28" t="str">
        <x:v>Vista ERP P&amp;L, 2025-07-01 through 2026-06-30; Revenue total</x:v>
      </x:c>
    </x:row>
    <x:row r="11">
      <x:c r="A11" s="37" t="str">
        <x:v>PLN-00570</x:v>
      </x:c>
      <x:c r="B11" s="28" t="str">
        <x:v>Branch contribution and economic-profit ranking</x:v>
      </x:c>
      <x:c r="C11" s="28" t="str">
        <x:v>Branch economics</x:v>
      </x:c>
      <x:c r="D11" s="28" t="str">
        <x:v>Seattle Construction</x:v>
      </x:c>
      <x:c r="E11" s="28" t="str">
        <x:v>LTM 2026-06-30</x:v>
      </x:c>
      <x:c r="F11" s="28" t="str">
        <x:v>Approved case</x:v>
      </x:c>
      <x:c r="G11" s="28" t="str">
        <x:v>Contribution margin</x:v>
      </x:c>
      <x:c r="H11" s="31" t="n">
        <x:v>0.218</x:v>
      </x:c>
      <x:c r="I11" s="28" t="str"/>
      <x:c r="J11" s="28" t="str">
        <x:v>decimal ratio</x:v>
      </x:c>
      <x:c r="K11" s="28" t="str">
        <x:v>Finance operating schedule</x:v>
      </x:c>
      <x:c r="L11" s="34" t="str">
        <x:v>2026-06-30</x:v>
      </x:c>
      <x:c r="M11" s="28" t="str"/>
    </x:row>
    <x:row r="12">
      <x:c r="A12" s="37" t="str">
        <x:v>PLN-00571</x:v>
      </x:c>
      <x:c r="B12" s="28" t="str">
        <x:v>Branch contribution and economic-profit ranking</x:v>
      </x:c>
      <x:c r="C12" s="28" t="str">
        <x:v>Activity drivers</x:v>
      </x:c>
      <x:c r="D12" s="28" t="str">
        <x:v>Seattle Construction</x:v>
      </x:c>
      <x:c r="E12" s="28" t="str">
        <x:v>LTM 2026-06-30</x:v>
      </x:c>
      <x:c r="F12" s="28" t="str">
        <x:v>Approved case</x:v>
      </x:c>
      <x:c r="G12" s="28" t="str">
        <x:v>Customer invoice count in hundreds</x:v>
      </x:c>
      <x:c r="H12" s="31" t="n">
        <x:v>24</x:v>
      </x:c>
      <x:c r="I12" s="28" t="str"/>
      <x:c r="J12" s="28" t="str">
        <x:v>count</x:v>
      </x:c>
      <x:c r="K12" s="28" t="str">
        <x:v>Finance operating schedule</x:v>
      </x:c>
      <x:c r="L12" s="34" t="str">
        <x:v>2026-06-30</x:v>
      </x:c>
      <x:c r="M12" s="28" t="str"/>
    </x:row>
    <x:row r="13">
      <x:c r="A13" s="37" t="str">
        <x:v>PLN-00572</x:v>
      </x:c>
      <x:c r="B13" s="28" t="str">
        <x:v>Branch contribution and economic-profit ranking</x:v>
      </x:c>
      <x:c r="C13" s="28" t="str">
        <x:v>Activity drivers</x:v>
      </x:c>
      <x:c r="D13" s="28" t="str">
        <x:v>Seattle Construction</x:v>
      </x:c>
      <x:c r="E13" s="28" t="str">
        <x:v>2026-06-30</x:v>
      </x:c>
      <x:c r="F13" s="28" t="str">
        <x:v>Approved case</x:v>
      </x:c>
      <x:c r="G13" s="28" t="str">
        <x:v>Active employee count</x:v>
      </x:c>
      <x:c r="H13" s="31" t="n">
        <x:v>36</x:v>
      </x:c>
      <x:c r="I13" s="28" t="str"/>
      <x:c r="J13" s="28" t="str">
        <x:v>count</x:v>
      </x:c>
      <x:c r="K13" s="28" t="str">
        <x:v>Finance operating schedule</x:v>
      </x:c>
      <x:c r="L13" s="34" t="str">
        <x:v>2026-06-30</x:v>
      </x:c>
      <x:c r="M13" s="28" t="str"/>
    </x:row>
    <x:row r="14">
      <x:c r="A14" s="37" t="str">
        <x:v>PLN-00573</x:v>
      </x:c>
      <x:c r="B14" s="28" t="str">
        <x:v>Branch contribution and economic-profit ranking</x:v>
      </x:c>
      <x:c r="C14" s="28" t="str">
        <x:v>Capital base</x:v>
      </x:c>
      <x:c r="D14" s="28" t="str">
        <x:v>Seattle Construction</x:v>
      </x:c>
      <x:c r="E14" s="28" t="str">
        <x:v>LTM 2026-06-30</x:v>
      </x:c>
      <x:c r="F14" s="28" t="str">
        <x:v>Approved case</x:v>
      </x:c>
      <x:c r="G14" s="28" t="str">
        <x:v>Average invested capital</x:v>
      </x:c>
      <x:c r="H14" s="31" t="n">
        <x:v>7200000</x:v>
      </x:c>
      <x:c r="I14" s="28" t="str"/>
      <x:c r="J14" s="28" t="str">
        <x:v>USD</x:v>
      </x:c>
      <x:c r="K14" s="28" t="str">
        <x:v>Finance operating schedule</x:v>
      </x:c>
      <x:c r="L14" s="34" t="str">
        <x:v>2026-06-30</x:v>
      </x:c>
      <x:c r="M14" s="28" t="str"/>
    </x:row>
    <x:row r="15">
      <x:c r="A15" s="37" t="str">
        <x:v>PLN-00574</x:v>
      </x:c>
      <x:c r="B15" s="28" t="str">
        <x:v>Branch contribution and economic-profit ranking</x:v>
      </x:c>
      <x:c r="C15" s="28" t="str">
        <x:v>Branch economics</x:v>
      </x:c>
      <x:c r="D15" s="28" t="str">
        <x:v>Boise Service</x:v>
      </x:c>
      <x:c r="E15" s="28" t="str">
        <x:v>LTM 2026-06-30</x:v>
      </x:c>
      <x:c r="F15" s="28" t="str">
        <x:v>Approved case</x:v>
      </x:c>
      <x:c r="G15" s="28" t="str">
        <x:v>Revenue allocation</x:v>
      </x:c>
      <x:c r="H15" s="31" t="n">
        <x:v>0.13</x:v>
      </x:c>
      <x:c r="I15" s="28" t="str"/>
      <x:c r="J15" s="28" t="str">
        <x:v>ledger allocation factor</x:v>
      </x:c>
      <x:c r="K15" s="28" t="str">
        <x:v>Finance operating schedule</x:v>
      </x:c>
      <x:c r="L15" s="34" t="str">
        <x:v>2026-06-30</x:v>
      </x:c>
      <x:c r="M15" s="28" t="str">
        <x:v>Vista ERP P&amp;L, 2025-07-01 through 2026-06-30; Revenue total</x:v>
      </x:c>
    </x:row>
    <x:row r="16">
      <x:c r="A16" s="37" t="str">
        <x:v>PLN-00575</x:v>
      </x:c>
      <x:c r="B16" s="28" t="str">
        <x:v>Branch contribution and economic-profit ranking</x:v>
      </x:c>
      <x:c r="C16" s="28" t="str">
        <x:v>Branch economics</x:v>
      </x:c>
      <x:c r="D16" s="28" t="str">
        <x:v>Boise Service</x:v>
      </x:c>
      <x:c r="E16" s="28" t="str">
        <x:v>LTM 2026-06-30</x:v>
      </x:c>
      <x:c r="F16" s="28" t="str">
        <x:v>Approved case</x:v>
      </x:c>
      <x:c r="G16" s="28" t="str">
        <x:v>Contribution margin</x:v>
      </x:c>
      <x:c r="H16" s="31" t="n">
        <x:v>0.365</x:v>
      </x:c>
      <x:c r="I16" s="28" t="str"/>
      <x:c r="J16" s="28" t="str">
        <x:v>decimal ratio</x:v>
      </x:c>
      <x:c r="K16" s="28" t="str">
        <x:v>Finance operating schedule</x:v>
      </x:c>
      <x:c r="L16" s="34" t="str">
        <x:v>2026-06-30</x:v>
      </x:c>
      <x:c r="M16" s="28" t="str"/>
    </x:row>
    <x:row r="17">
      <x:c r="A17" s="37" t="str">
        <x:v>PLN-00576</x:v>
      </x:c>
      <x:c r="B17" s="28" t="str">
        <x:v>Branch contribution and economic-profit ranking</x:v>
      </x:c>
      <x:c r="C17" s="28" t="str">
        <x:v>Activity drivers</x:v>
      </x:c>
      <x:c r="D17" s="28" t="str">
        <x:v>Boise Service</x:v>
      </x:c>
      <x:c r="E17" s="28" t="str">
        <x:v>LTM 2026-06-30</x:v>
      </x:c>
      <x:c r="F17" s="28" t="str">
        <x:v>Approved case</x:v>
      </x:c>
      <x:c r="G17" s="28" t="str">
        <x:v>Customer invoice count in hundreds</x:v>
      </x:c>
      <x:c r="H17" s="31" t="n">
        <x:v>16</x:v>
      </x:c>
      <x:c r="I17" s="28" t="str"/>
      <x:c r="J17" s="28" t="str">
        <x:v>count</x:v>
      </x:c>
      <x:c r="K17" s="28" t="str">
        <x:v>Finance operating schedule</x:v>
      </x:c>
      <x:c r="L17" s="34" t="str">
        <x:v>2026-06-30</x:v>
      </x:c>
      <x:c r="M17" s="28" t="str"/>
    </x:row>
    <x:row r="18">
      <x:c r="A18" s="37" t="str">
        <x:v>PLN-00577</x:v>
      </x:c>
      <x:c r="B18" s="28" t="str">
        <x:v>Branch contribution and economic-profit ranking</x:v>
      </x:c>
      <x:c r="C18" s="28" t="str">
        <x:v>Activity drivers</x:v>
      </x:c>
      <x:c r="D18" s="28" t="str">
        <x:v>Boise Service</x:v>
      </x:c>
      <x:c r="E18" s="28" t="str">
        <x:v>2026-06-30</x:v>
      </x:c>
      <x:c r="F18" s="28" t="str">
        <x:v>Approved case</x:v>
      </x:c>
      <x:c r="G18" s="28" t="str">
        <x:v>Active employee count</x:v>
      </x:c>
      <x:c r="H18" s="31" t="n">
        <x:v>12</x:v>
      </x:c>
      <x:c r="I18" s="28" t="str"/>
      <x:c r="J18" s="28" t="str">
        <x:v>count</x:v>
      </x:c>
      <x:c r="K18" s="28" t="str">
        <x:v>Finance operating schedule</x:v>
      </x:c>
      <x:c r="L18" s="34" t="str">
        <x:v>2026-06-30</x:v>
      </x:c>
      <x:c r="M18" s="28" t="str"/>
    </x:row>
    <x:row r="19">
      <x:c r="A19" s="37" t="str">
        <x:v>PLN-00578</x:v>
      </x:c>
      <x:c r="B19" s="28" t="str">
        <x:v>Branch contribution and economic-profit ranking</x:v>
      </x:c>
      <x:c r="C19" s="28" t="str">
        <x:v>Capital base</x:v>
      </x:c>
      <x:c r="D19" s="28" t="str">
        <x:v>Boise Service</x:v>
      </x:c>
      <x:c r="E19" s="28" t="str">
        <x:v>LTM 2026-06-30</x:v>
      </x:c>
      <x:c r="F19" s="28" t="str">
        <x:v>Approved case</x:v>
      </x:c>
      <x:c r="G19" s="28" t="str">
        <x:v>Average invested capital</x:v>
      </x:c>
      <x:c r="H19" s="31" t="n">
        <x:v>3100000</x:v>
      </x:c>
      <x:c r="I19" s="28" t="str"/>
      <x:c r="J19" s="28" t="str">
        <x:v>USD</x:v>
      </x:c>
      <x:c r="K19" s="28" t="str">
        <x:v>Finance operating schedule</x:v>
      </x:c>
      <x:c r="L19" s="34" t="str">
        <x:v>2026-06-30</x:v>
      </x:c>
      <x:c r="M19" s="28" t="str"/>
    </x:row>
    <x:row r="20">
      <x:c r="A20" s="37" t="str">
        <x:v>PLN-00579</x:v>
      </x:c>
      <x:c r="B20" s="28" t="str">
        <x:v>Branch contribution and economic-profit ranking</x:v>
      </x:c>
      <x:c r="C20" s="28" t="str">
        <x:v>Branch economics</x:v>
      </x:c>
      <x:c r="D20" s="28" t="str">
        <x:v>Portland Service</x:v>
      </x:c>
      <x:c r="E20" s="28" t="str">
        <x:v>LTM 2026-06-30</x:v>
      </x:c>
      <x:c r="F20" s="28" t="str">
        <x:v>Approved case</x:v>
      </x:c>
      <x:c r="G20" s="28" t="str">
        <x:v>Revenue allocation</x:v>
      </x:c>
      <x:c r="H20" s="31" t="n">
        <x:v>0.14</x:v>
      </x:c>
      <x:c r="I20" s="28" t="str"/>
      <x:c r="J20" s="28" t="str">
        <x:v>ledger allocation factor</x:v>
      </x:c>
      <x:c r="K20" s="28" t="str">
        <x:v>Finance operating schedule</x:v>
      </x:c>
      <x:c r="L20" s="34" t="str">
        <x:v>2026-06-30</x:v>
      </x:c>
      <x:c r="M20" s="28" t="str">
        <x:v>Vista ERP P&amp;L, 2025-07-01 through 2026-06-30; Revenue total</x:v>
      </x:c>
    </x:row>
    <x:row r="21">
      <x:c r="A21" s="37" t="str">
        <x:v>PLN-00580</x:v>
      </x:c>
      <x:c r="B21" s="28" t="str">
        <x:v>Branch contribution and economic-profit ranking</x:v>
      </x:c>
      <x:c r="C21" s="28" t="str">
        <x:v>Branch economics</x:v>
      </x:c>
      <x:c r="D21" s="28" t="str">
        <x:v>Portland Service</x:v>
      </x:c>
      <x:c r="E21" s="28" t="str">
        <x:v>LTM 2026-06-30</x:v>
      </x:c>
      <x:c r="F21" s="28" t="str">
        <x:v>Approved case</x:v>
      </x:c>
      <x:c r="G21" s="28" t="str">
        <x:v>Contribution margin</x:v>
      </x:c>
      <x:c r="H21" s="31" t="n">
        <x:v>0.392</x:v>
      </x:c>
      <x:c r="I21" s="28" t="str"/>
      <x:c r="J21" s="28" t="str">
        <x:v>decimal ratio</x:v>
      </x:c>
      <x:c r="K21" s="28" t="str">
        <x:v>Finance operating schedule</x:v>
      </x:c>
      <x:c r="L21" s="34" t="str">
        <x:v>2026-06-30</x:v>
      </x:c>
      <x:c r="M21" s="28" t="str"/>
    </x:row>
    <x:row r="22">
      <x:c r="A22" s="37" t="str">
        <x:v>PLN-00581</x:v>
      </x:c>
      <x:c r="B22" s="28" t="str">
        <x:v>Branch contribution and economic-profit ranking</x:v>
      </x:c>
      <x:c r="C22" s="28" t="str">
        <x:v>Activity drivers</x:v>
      </x:c>
      <x:c r="D22" s="28" t="str">
        <x:v>Portland Service</x:v>
      </x:c>
      <x:c r="E22" s="28" t="str">
        <x:v>LTM 2026-06-30</x:v>
      </x:c>
      <x:c r="F22" s="28" t="str">
        <x:v>Approved case</x:v>
      </x:c>
      <x:c r="G22" s="28" t="str">
        <x:v>Customer invoice count in hundreds</x:v>
      </x:c>
      <x:c r="H22" s="31" t="n">
        <x:v>19</x:v>
      </x:c>
      <x:c r="I22" s="28" t="str"/>
      <x:c r="J22" s="28" t="str">
        <x:v>count</x:v>
      </x:c>
      <x:c r="K22" s="28" t="str">
        <x:v>Finance operating schedule</x:v>
      </x:c>
      <x:c r="L22" s="34" t="str">
        <x:v>2026-06-30</x:v>
      </x:c>
      <x:c r="M22" s="28" t="str"/>
    </x:row>
    <x:row r="23">
      <x:c r="A23" s="37" t="str">
        <x:v>PLN-00582</x:v>
      </x:c>
      <x:c r="B23" s="28" t="str">
        <x:v>Branch contribution and economic-profit ranking</x:v>
      </x:c>
      <x:c r="C23" s="28" t="str">
        <x:v>Activity drivers</x:v>
      </x:c>
      <x:c r="D23" s="28" t="str">
        <x:v>Portland Service</x:v>
      </x:c>
      <x:c r="E23" s="28" t="str">
        <x:v>2026-06-30</x:v>
      </x:c>
      <x:c r="F23" s="28" t="str">
        <x:v>Approved case</x:v>
      </x:c>
      <x:c r="G23" s="28" t="str">
        <x:v>Active employee count</x:v>
      </x:c>
      <x:c r="H23" s="31" t="n">
        <x:v>15</x:v>
      </x:c>
      <x:c r="I23" s="28" t="str"/>
      <x:c r="J23" s="28" t="str">
        <x:v>count</x:v>
      </x:c>
      <x:c r="K23" s="28" t="str">
        <x:v>Finance operating schedule</x:v>
      </x:c>
      <x:c r="L23" s="34" t="str">
        <x:v>2026-06-30</x:v>
      </x:c>
      <x:c r="M23" s="28" t="str"/>
    </x:row>
    <x:row r="24">
      <x:c r="A24" s="37" t="str">
        <x:v>PLN-00583</x:v>
      </x:c>
      <x:c r="B24" s="28" t="str">
        <x:v>Branch contribution and economic-profit ranking</x:v>
      </x:c>
      <x:c r="C24" s="28" t="str">
        <x:v>Capital base</x:v>
      </x:c>
      <x:c r="D24" s="28" t="str">
        <x:v>Portland Service</x:v>
      </x:c>
      <x:c r="E24" s="28" t="str">
        <x:v>LTM 2026-06-30</x:v>
      </x:c>
      <x:c r="F24" s="28" t="str">
        <x:v>Approved case</x:v>
      </x:c>
      <x:c r="G24" s="28" t="str">
        <x:v>Average invested capital</x:v>
      </x:c>
      <x:c r="H24" s="31" t="n">
        <x:v>3800</x:v>
      </x:c>
      <x:c r="I24" s="28" t="str"/>
      <x:c r="J24" s="28" t="str">
        <x:v>USD thousands</x:v>
      </x:c>
      <x:c r="K24" s="28" t="str">
        <x:v>Finance operating schedule</x:v>
      </x:c>
      <x:c r="L24" s="34" t="str">
        <x:v>2026-06-30</x:v>
      </x:c>
      <x:c r="M24" s="28" t="str"/>
    </x:row>
    <x:row r="25">
      <x:c r="A25" s="37" t="str">
        <x:v>PLN-00584</x:v>
      </x:c>
      <x:c r="B25" s="28" t="str">
        <x:v>Branch contribution and economic-profit ranking</x:v>
      </x:c>
      <x:c r="C25" s="28" t="str">
        <x:v>Branch economics</x:v>
      </x:c>
      <x:c r="D25" s="28" t="str">
        <x:v>Controls West</x:v>
      </x:c>
      <x:c r="E25" s="28" t="str">
        <x:v>LTM 2026-06-30</x:v>
      </x:c>
      <x:c r="F25" s="28" t="str">
        <x:v>Approved case</x:v>
      </x:c>
      <x:c r="G25" s="28" t="str">
        <x:v>Revenue allocation</x:v>
      </x:c>
      <x:c r="H25" s="31" t="n">
        <x:v>0.11</x:v>
      </x:c>
      <x:c r="I25" s="28" t="str"/>
      <x:c r="J25" s="28" t="str">
        <x:v>ledger allocation factor</x:v>
      </x:c>
      <x:c r="K25" s="28" t="str">
        <x:v>Finance operating schedule</x:v>
      </x:c>
      <x:c r="L25" s="34" t="str">
        <x:v>2026-06-30</x:v>
      </x:c>
      <x:c r="M25" s="28" t="str">
        <x:v>Vista ERP P&amp;L, 2025-07-01 through 2026-06-30; Revenue total</x:v>
      </x:c>
    </x:row>
    <x:row r="26">
      <x:c r="A26" s="37" t="str">
        <x:v>PLN-00585</x:v>
      </x:c>
      <x:c r="B26" s="28" t="str">
        <x:v>Branch contribution and economic-profit ranking</x:v>
      </x:c>
      <x:c r="C26" s="28" t="str">
        <x:v>Branch economics</x:v>
      </x:c>
      <x:c r="D26" s="28" t="str">
        <x:v>Controls West</x:v>
      </x:c>
      <x:c r="E26" s="28" t="str">
        <x:v>LTM 2026-06-30</x:v>
      </x:c>
      <x:c r="F26" s="28" t="str">
        <x:v>Approved case</x:v>
      </x:c>
      <x:c r="G26" s="28" t="str">
        <x:v>Contribution margin</x:v>
      </x:c>
      <x:c r="H26" s="31" t="n">
        <x:v>0.322</x:v>
      </x:c>
      <x:c r="I26" s="28" t="str"/>
      <x:c r="J26" s="28" t="str">
        <x:v>decimal ratio</x:v>
      </x:c>
      <x:c r="K26" s="28" t="str">
        <x:v>Finance operating schedule</x:v>
      </x:c>
      <x:c r="L26" s="34" t="str">
        <x:v>2026-06-30</x:v>
      </x:c>
      <x:c r="M26" s="28" t="str"/>
    </x:row>
    <x:row r="27">
      <x:c r="A27" s="37" t="str">
        <x:v>PLN-00586</x:v>
      </x:c>
      <x:c r="B27" s="28" t="str">
        <x:v>Branch contribution and economic-profit ranking</x:v>
      </x:c>
      <x:c r="C27" s="28" t="str">
        <x:v>Activity drivers</x:v>
      </x:c>
      <x:c r="D27" s="28" t="str">
        <x:v>Controls West</x:v>
      </x:c>
      <x:c r="E27" s="28" t="str">
        <x:v>LTM 2026-06-30</x:v>
      </x:c>
      <x:c r="F27" s="28" t="str">
        <x:v>Approved case</x:v>
      </x:c>
      <x:c r="G27" s="28" t="str">
        <x:v>Customer invoice count in hundreds</x:v>
      </x:c>
      <x:c r="H27" s="31" t="n">
        <x:v>8</x:v>
      </x:c>
      <x:c r="I27" s="28" t="str"/>
      <x:c r="J27" s="28" t="str">
        <x:v>count</x:v>
      </x:c>
      <x:c r="K27" s="28" t="str">
        <x:v>Finance operating schedule</x:v>
      </x:c>
      <x:c r="L27" s="34" t="str">
        <x:v>2026-06-30</x:v>
      </x:c>
      <x:c r="M27" s="28" t="str"/>
    </x:row>
    <x:row r="28">
      <x:c r="A28" s="37" t="str">
        <x:v>PLN-00587</x:v>
      </x:c>
      <x:c r="B28" s="28" t="str">
        <x:v>Branch contribution and economic-profit ranking</x:v>
      </x:c>
      <x:c r="C28" s="28" t="str">
        <x:v>Activity drivers</x:v>
      </x:c>
      <x:c r="D28" s="28" t="str">
        <x:v>Controls West</x:v>
      </x:c>
      <x:c r="E28" s="28" t="str">
        <x:v>2026-06-30</x:v>
      </x:c>
      <x:c r="F28" s="28" t="str">
        <x:v>Approved case</x:v>
      </x:c>
      <x:c r="G28" s="28" t="str">
        <x:v>Active employee count</x:v>
      </x:c>
      <x:c r="H28" s="31" t="n">
        <x:v>20</x:v>
      </x:c>
      <x:c r="I28" s="28" t="str"/>
      <x:c r="J28" s="28" t="str">
        <x:v>count</x:v>
      </x:c>
      <x:c r="K28" s="28" t="str">
        <x:v>Finance operating schedule</x:v>
      </x:c>
      <x:c r="L28" s="34" t="str">
        <x:v>2026-06-30</x:v>
      </x:c>
      <x:c r="M28" s="28" t="str"/>
    </x:row>
    <x:row r="29">
      <x:c r="A29" s="37" t="str">
        <x:v>PLN-00588</x:v>
      </x:c>
      <x:c r="B29" s="28" t="str">
        <x:v>Branch contribution and economic-profit ranking</x:v>
      </x:c>
      <x:c r="C29" s="28" t="str">
        <x:v>Capital base</x:v>
      </x:c>
      <x:c r="D29" s="28" t="str">
        <x:v>Controls West</x:v>
      </x:c>
      <x:c r="E29" s="28" t="str">
        <x:v>LTM 2026-06-30</x:v>
      </x:c>
      <x:c r="F29" s="28" t="str">
        <x:v>Approved case</x:v>
      </x:c>
      <x:c r="G29" s="28" t="str">
        <x:v>Average invested capital</x:v>
      </x:c>
      <x:c r="H29" s="31" t="n">
        <x:v>4200000</x:v>
      </x:c>
      <x:c r="I29" s="28" t="str"/>
      <x:c r="J29" s="28" t="str">
        <x:v>USD</x:v>
      </x:c>
      <x:c r="K29" s="28" t="str">
        <x:v>Finance operating schedule</x:v>
      </x:c>
      <x:c r="L29" s="34" t="str">
        <x:v>2026-06-30</x:v>
      </x:c>
      <x:c r="M29" s="28" t="str"/>
    </x:row>
    <x:row r="30">
      <x:c r="A30" s="37" t="str">
        <x:v>PLN-00589</x:v>
      </x:c>
      <x:c r="B30" s="28" t="str">
        <x:v>Branch contribution and economic-profit ranking</x:v>
      </x:c>
      <x:c r="C30" s="28" t="str">
        <x:v>Branch economics</x:v>
      </x:c>
      <x:c r="D30" s="28" t="str">
        <x:v>Bend Construction</x:v>
      </x:c>
      <x:c r="E30" s="28" t="str">
        <x:v>LTM 2026-06-30</x:v>
      </x:c>
      <x:c r="F30" s="28" t="str">
        <x:v>Approved case</x:v>
      </x:c>
      <x:c r="G30" s="28" t="str">
        <x:v>Revenue allocation</x:v>
      </x:c>
      <x:c r="H30" s="31" t="n">
        <x:v>0.06</x:v>
      </x:c>
      <x:c r="I30" s="28" t="str"/>
      <x:c r="J30" s="28" t="str">
        <x:v>ledger allocation factor</x:v>
      </x:c>
      <x:c r="K30" s="28" t="str">
        <x:v>Finance operating schedule</x:v>
      </x:c>
      <x:c r="L30" s="34" t="str">
        <x:v>2026-06-30</x:v>
      </x:c>
      <x:c r="M30" s="28" t="str">
        <x:v>Vista ERP P&amp;L, 2025-07-01 through 2026-06-30; Revenue total</x:v>
      </x:c>
    </x:row>
    <x:row r="31">
      <x:c r="A31" s="37" t="str">
        <x:v>PLN-00590</x:v>
      </x:c>
      <x:c r="B31" s="28" t="str">
        <x:v>Branch contribution and economic-profit ranking</x:v>
      </x:c>
      <x:c r="C31" s="28" t="str">
        <x:v>Branch economics</x:v>
      </x:c>
      <x:c r="D31" s="28" t="str">
        <x:v>Bend Construction</x:v>
      </x:c>
      <x:c r="E31" s="28" t="str">
        <x:v>LTM 2026-06-30</x:v>
      </x:c>
      <x:c r="F31" s="28" t="str">
        <x:v>Approved case</x:v>
      </x:c>
      <x:c r="G31" s="28" t="str">
        <x:v>Contribution margin</x:v>
      </x:c>
      <x:c r="H31" s="31" t="n">
        <x:v>0.145</x:v>
      </x:c>
      <x:c r="I31" s="28" t="str"/>
      <x:c r="J31" s="28" t="str">
        <x:v>decimal ratio</x:v>
      </x:c>
      <x:c r="K31" s="28" t="str">
        <x:v>Finance operating schedule</x:v>
      </x:c>
      <x:c r="L31" s="34" t="str">
        <x:v>2026-06-30</x:v>
      </x:c>
      <x:c r="M31" s="28" t="str"/>
    </x:row>
    <x:row r="32">
      <x:c r="A32" s="37" t="str">
        <x:v>PLN-00591</x:v>
      </x:c>
      <x:c r="B32" s="28" t="str">
        <x:v>Branch contribution and economic-profit ranking</x:v>
      </x:c>
      <x:c r="C32" s="28" t="str">
        <x:v>Activity drivers</x:v>
      </x:c>
      <x:c r="D32" s="28" t="str">
        <x:v>Bend Construction</x:v>
      </x:c>
      <x:c r="E32" s="28" t="str">
        <x:v>LTM 2026-06-30</x:v>
      </x:c>
      <x:c r="F32" s="28" t="str">
        <x:v>Approved case</x:v>
      </x:c>
      <x:c r="G32" s="28" t="str">
        <x:v>Customer invoice count in hundreds</x:v>
      </x:c>
      <x:c r="H32" s="31" t="n">
        <x:v>2</x:v>
      </x:c>
      <x:c r="I32" s="28" t="str"/>
      <x:c r="J32" s="28" t="str">
        <x:v>count</x:v>
      </x:c>
      <x:c r="K32" s="28" t="str">
        <x:v>Finance operating schedule</x:v>
      </x:c>
      <x:c r="L32" s="34" t="str">
        <x:v>2026-06-30</x:v>
      </x:c>
      <x:c r="M32" s="28" t="str"/>
    </x:row>
    <x:row r="33">
      <x:c r="A33" s="37" t="str">
        <x:v>PLN-00592</x:v>
      </x:c>
      <x:c r="B33" s="28" t="str">
        <x:v>Branch contribution and economic-profit ranking</x:v>
      </x:c>
      <x:c r="C33" s="28" t="str">
        <x:v>Activity drivers</x:v>
      </x:c>
      <x:c r="D33" s="28" t="str">
        <x:v>Bend Construction</x:v>
      </x:c>
      <x:c r="E33" s="28" t="str">
        <x:v>2026-06-30</x:v>
      </x:c>
      <x:c r="F33" s="28" t="str">
        <x:v>Approved case</x:v>
      </x:c>
      <x:c r="G33" s="28" t="str">
        <x:v>Active employee count</x:v>
      </x:c>
      <x:c r="H33" s="31" t="n">
        <x:v>10</x:v>
      </x:c>
      <x:c r="I33" s="28" t="str"/>
      <x:c r="J33" s="28" t="str">
        <x:v>count</x:v>
      </x:c>
      <x:c r="K33" s="28" t="str">
        <x:v>Finance operating schedule</x:v>
      </x:c>
      <x:c r="L33" s="34" t="str">
        <x:v>2026-06-30</x:v>
      </x:c>
      <x:c r="M33" s="28" t="str"/>
    </x:row>
    <x:row r="34">
      <x:c r="A34" s="37" t="str">
        <x:v>PLN-00593</x:v>
      </x:c>
      <x:c r="B34" s="28" t="str">
        <x:v>Branch contribution and economic-profit ranking</x:v>
      </x:c>
      <x:c r="C34" s="28" t="str">
        <x:v>Capital base</x:v>
      </x:c>
      <x:c r="D34" s="28" t="str">
        <x:v>Bend Construction</x:v>
      </x:c>
      <x:c r="E34" s="28" t="str">
        <x:v>LTM 2026-06-30</x:v>
      </x:c>
      <x:c r="F34" s="28" t="str">
        <x:v>Approved case</x:v>
      </x:c>
      <x:c r="G34" s="28" t="str">
        <x:v>Average invested capital</x:v>
      </x:c>
      <x:c r="H34" s="31" t="n">
        <x:v>5400000</x:v>
      </x:c>
      <x:c r="I34" s="28" t="str"/>
      <x:c r="J34" s="28" t="str">
        <x:v>USD</x:v>
      </x:c>
      <x:c r="K34" s="28" t="str">
        <x:v>Finance operating schedule</x:v>
      </x:c>
      <x:c r="L34" s="34" t="str">
        <x:v>2026-06-30</x:v>
      </x:c>
      <x:c r="M34" s="28" t="str"/>
    </x:row>
    <x:row r="35">
      <x:c r="A35" s="37" t="str">
        <x:v>PLN-00594</x:v>
      </x:c>
      <x:c r="B35" s="28" t="str">
        <x:v>Branch contribution and economic-profit ranking</x:v>
      </x:c>
      <x:c r="C35" s="28" t="str">
        <x:v>Corporate pools</x:v>
      </x:c>
      <x:c r="D35" s="28" t="str">
        <x:v>Finance and shared services</x:v>
      </x:c>
      <x:c r="E35" s="28" t="str">
        <x:v>LTM 2026-06-30</x:v>
      </x:c>
      <x:c r="F35" s="28" t="str">
        <x:v>Approved case</x:v>
      </x:c>
      <x:c r="G35" s="28" t="str">
        <x:v>Invoice-driven pool</x:v>
      </x:c>
      <x:c r="H35" s="31" t="n">
        <x:v>1350000</x:v>
      </x:c>
      <x:c r="I35" s="28" t="str"/>
      <x:c r="J35" s="28" t="str">
        <x:v>USD</x:v>
      </x:c>
      <x:c r="K35" s="28" t="str">
        <x:v>Finance operating schedule</x:v>
      </x:c>
      <x:c r="L35" s="34" t="str">
        <x:v>2026-06-30</x:v>
      </x:c>
      <x:c r="M35" s="28" t="str"/>
    </x:row>
    <x:row r="36">
      <x:c r="A36" s="37" t="str">
        <x:v>PLN-00595</x:v>
      </x:c>
      <x:c r="B36" s="28" t="str">
        <x:v>Branch contribution and economic-profit ranking</x:v>
      </x:c>
      <x:c r="C36" s="28" t="str">
        <x:v>Corporate pools</x:v>
      </x:c>
      <x:c r="D36" s="28" t="str">
        <x:v>People and systems</x:v>
      </x:c>
      <x:c r="E36" s="28" t="str">
        <x:v>LTM 2026-06-30</x:v>
      </x:c>
      <x:c r="F36" s="28" t="str">
        <x:v>Approved case</x:v>
      </x:c>
      <x:c r="G36" s="28" t="str">
        <x:v>Employee-driven pool</x:v>
      </x:c>
      <x:c r="H36" s="31" t="n">
        <x:v>2050</x:v>
      </x:c>
      <x:c r="I36" s="28" t="str"/>
      <x:c r="J36" s="28" t="str">
        <x:v>USD thousands</x:v>
      </x:c>
      <x:c r="K36" s="28" t="str">
        <x:v>Finance operating schedule</x:v>
      </x:c>
      <x:c r="L36" s="34" t="str">
        <x:v>2026-06-30</x:v>
      </x:c>
      <x:c r="M36" s="28" t="str"/>
    </x:row>
    <x:row r="37">
      <x:c r="A37" s="37" t="str">
        <x:v>PLN-00596</x:v>
      </x:c>
      <x:c r="B37" s="28" t="str">
        <x:v>Branch contribution and economic-profit ranking</x:v>
      </x:c>
      <x:c r="C37" s="28" t="str">
        <x:v>Capital policy</x:v>
      </x:c>
      <x:c r="D37" s="28" t="str">
        <x:v>All branches</x:v>
      </x:c>
      <x:c r="E37" s="28" t="str">
        <x:v>LTM 2026-06-30</x:v>
      </x:c>
      <x:c r="F37" s="28" t="str">
        <x:v>Approved case</x:v>
      </x:c>
      <x:c r="G37" s="28" t="str">
        <x:v>Capital charge rate</x:v>
      </x:c>
      <x:c r="H37" s="31" t="n">
        <x:v>0.105</x:v>
      </x:c>
      <x:c r="I37" s="28" t="str"/>
      <x:c r="J37" s="28" t="str">
        <x:v>decimal ratio</x:v>
      </x:c>
      <x:c r="K37" s="28" t="str">
        <x:v>Finance operating schedule</x:v>
      </x:c>
      <x:c r="L37" s="34" t="str">
        <x:v>2026-06-30</x:v>
      </x:c>
      <x:c r="M37" s="28" t="str"/>
    </x:row>
    <x:row r="38">
      <x:c r="A38" s="37" t="str">
        <x:v>PLN-00674</x:v>
      </x:c>
      <x:c r="B38" s="28" t="str">
        <x:v>FY27 backlog delivery plan</x:v>
      </x:c>
      <x:c r="C38" s="28" t="str">
        <x:v>Execution authority</x:v>
      </x:c>
      <x:c r="D38" s="28" t="str">
        <x:v>P-3101</x:v>
      </x:c>
      <x:c r="E38" s="28" t="str">
        <x:v>FY27</x:v>
      </x:c>
      <x:c r="F38" s="28" t="str">
        <x:v>Approved case</x:v>
      </x:c>
      <x:c r="G38" s="28" t="str">
        <x:v>Customer delivery priority</x:v>
      </x:c>
      <x:c r="H38" s="31" t="n">
        <x:v>2</x:v>
      </x:c>
      <x:c r="I38" s="28" t="str"/>
      <x:c r="J38" s="28" t="str">
        <x:v>priority rank</x:v>
      </x:c>
      <x:c r="K38" s="28" t="str">
        <x:v>FY27 planning assumptions - v6 controller tie.xlsx</x:v>
      </x:c>
      <x:c r="L38" s="34" t="str">
        <x:v>2026-06-30</x:v>
      </x:c>
      <x:c r="M38" s="28" t="str"/>
    </x:row>
    <x:row r="39">
      <x:c r="A39" s="37" t="str">
        <x:v>PLN-00675</x:v>
      </x:c>
      <x:c r="B39" s="28" t="str">
        <x:v>FY27 backlog delivery plan</x:v>
      </x:c>
      <x:c r="C39" s="28" t="str">
        <x:v>Execution authority</x:v>
      </x:c>
      <x:c r="D39" s="28" t="str">
        <x:v>P-3101</x:v>
      </x:c>
      <x:c r="E39" s="28" t="str">
        <x:v>FY27</x:v>
      </x:c>
      <x:c r="F39" s="28" t="str">
        <x:v>Approved case</x:v>
      </x:c>
      <x:c r="G39" s="28" t="str">
        <x:v>Contract gross margin</x:v>
      </x:c>
      <x:c r="H39" s="31" t="n">
        <x:v>0.24</x:v>
      </x:c>
      <x:c r="I39" s="28" t="str"/>
      <x:c r="J39" s="28" t="str">
        <x:v>decimal ratio</x:v>
      </x:c>
      <x:c r="K39" s="28" t="str">
        <x:v>FY27 planning assumptions - v6 controller tie.xlsx</x:v>
      </x:c>
      <x:c r="L39" s="34" t="str">
        <x:v>2026-06-30</x:v>
      </x:c>
      <x:c r="M39" s="28" t="str"/>
    </x:row>
    <x:row r="40">
      <x:c r="A40" s="37" t="str">
        <x:v>PLN-00676</x:v>
      </x:c>
      <x:c r="B40" s="28" t="str">
        <x:v>FY27 backlog delivery plan</x:v>
      </x:c>
      <x:c r="C40" s="28" t="str">
        <x:v>Execution authority</x:v>
      </x:c>
      <x:c r="D40" s="28" t="str">
        <x:v>P-3101</x:v>
      </x:c>
      <x:c r="E40" s="28" t="str">
        <x:v>FY27</x:v>
      </x:c>
      <x:c r="F40" s="28" t="str">
        <x:v>Approved case</x:v>
      </x:c>
      <x:c r="G40" s="28" t="str">
        <x:v>Monthly liquidated damages rate</x:v>
      </x:c>
      <x:c r="H40" s="31" t="n">
        <x:v>0.006</x:v>
      </x:c>
      <x:c r="I40" s="28" t="str"/>
      <x:c r="J40" s="28" t="str">
        <x:v>decimal ratio</x:v>
      </x:c>
      <x:c r="K40" s="28" t="str">
        <x:v>FY27 planning assumptions - v6 controller tie.xlsx</x:v>
      </x:c>
      <x:c r="L40" s="34" t="str">
        <x:v>2026-06-30</x:v>
      </x:c>
      <x:c r="M40" s="28" t="str"/>
    </x:row>
    <x:row r="41">
      <x:c r="A41" s="37" t="str">
        <x:v>PLN-00693</x:v>
      </x:c>
      <x:c r="B41" s="28" t="str">
        <x:v>FY27 backlog delivery plan</x:v>
      </x:c>
      <x:c r="C41" s="28" t="str">
        <x:v>Execution authority</x:v>
      </x:c>
      <x:c r="D41" s="28" t="str">
        <x:v>P-3107</x:v>
      </x:c>
      <x:c r="E41" s="28" t="str">
        <x:v>FY27</x:v>
      </x:c>
      <x:c r="F41" s="28" t="str">
        <x:v>Approved case</x:v>
      </x:c>
      <x:c r="G41" s="28" t="str">
        <x:v>Customer delivery priority</x:v>
      </x:c>
      <x:c r="H41" s="31" t="n">
        <x:v>4</x:v>
      </x:c>
      <x:c r="I41" s="28" t="str"/>
      <x:c r="J41" s="28" t="str">
        <x:v>priority rank</x:v>
      </x:c>
      <x:c r="K41" s="28" t="str">
        <x:v>FY27 planning assumptions - v6 controller tie.xlsx</x:v>
      </x:c>
      <x:c r="L41" s="34" t="str">
        <x:v>2026-06-30</x:v>
      </x:c>
      <x:c r="M41" s="28" t="str"/>
    </x:row>
    <x:row r="42">
      <x:c r="A42" s="37" t="str">
        <x:v>PLN-00694</x:v>
      </x:c>
      <x:c r="B42" s="28" t="str">
        <x:v>FY27 backlog delivery plan</x:v>
      </x:c>
      <x:c r="C42" s="28" t="str">
        <x:v>Execution authority</x:v>
      </x:c>
      <x:c r="D42" s="28" t="str">
        <x:v>P-3107</x:v>
      </x:c>
      <x:c r="E42" s="28" t="str">
        <x:v>FY27</x:v>
      </x:c>
      <x:c r="F42" s="28" t="str">
        <x:v>Approved case</x:v>
      </x:c>
      <x:c r="G42" s="28" t="str">
        <x:v>Contract gross margin</x:v>
      </x:c>
      <x:c r="H42" s="31" t="n">
        <x:v>0.22</x:v>
      </x:c>
      <x:c r="I42" s="28" t="str"/>
      <x:c r="J42" s="28" t="str">
        <x:v>decimal ratio</x:v>
      </x:c>
      <x:c r="K42" s="28" t="str">
        <x:v>FY27 planning assumptions - v6 controller tie.xlsx</x:v>
      </x:c>
      <x:c r="L42" s="34" t="str">
        <x:v>2026-06-30</x:v>
      </x:c>
      <x:c r="M42" s="28" t="str"/>
    </x:row>
    <x:row r="43">
      <x:c r="A43" s="37" t="str">
        <x:v>PLN-00695</x:v>
      </x:c>
      <x:c r="B43" s="28" t="str">
        <x:v>FY27 backlog delivery plan</x:v>
      </x:c>
      <x:c r="C43" s="28" t="str">
        <x:v>Execution authority</x:v>
      </x:c>
      <x:c r="D43" s="28" t="str">
        <x:v>P-3107</x:v>
      </x:c>
      <x:c r="E43" s="28" t="str">
        <x:v>FY27</x:v>
      </x:c>
      <x:c r="F43" s="28" t="str">
        <x:v>Approved case</x:v>
      </x:c>
      <x:c r="G43" s="28" t="str">
        <x:v>Monthly liquidated damages rate</x:v>
      </x:c>
      <x:c r="H43" s="31" t="n">
        <x:v>0.008</x:v>
      </x:c>
      <x:c r="I43" s="28" t="str"/>
      <x:c r="J43" s="28" t="str">
        <x:v>decimal ratio</x:v>
      </x:c>
      <x:c r="K43" s="28" t="str">
        <x:v>FY27 planning assumptions - v6 controller tie.xlsx</x:v>
      </x:c>
      <x:c r="L43" s="34" t="str">
        <x:v>2026-06-30</x:v>
      </x:c>
      <x:c r="M43" s="28" t="str"/>
    </x:row>
    <x:row r="44">
      <x:c r="A44" s="37" t="str">
        <x:v>PLN-00711</x:v>
      </x:c>
      <x:c r="B44" s="28" t="str">
        <x:v>FY27 backlog delivery plan</x:v>
      </x:c>
      <x:c r="C44" s="28" t="str">
        <x:v>Execution authority</x:v>
      </x:c>
      <x:c r="D44" s="28" t="str">
        <x:v>P-3114</x:v>
      </x:c>
      <x:c r="E44" s="28" t="str">
        <x:v>FY27</x:v>
      </x:c>
      <x:c r="F44" s="28" t="str">
        <x:v>Approved case</x:v>
      </x:c>
      <x:c r="G44" s="28" t="str">
        <x:v>Customer delivery priority</x:v>
      </x:c>
      <x:c r="H44" s="31" t="n">
        <x:v>1</x:v>
      </x:c>
      <x:c r="I44" s="28" t="str"/>
      <x:c r="J44" s="28" t="str">
        <x:v>priority rank</x:v>
      </x:c>
      <x:c r="K44" s="28" t="str">
        <x:v>FY27 planning assumptions - v6 controller tie.xlsx</x:v>
      </x:c>
      <x:c r="L44" s="34" t="str">
        <x:v>2026-06-30</x:v>
      </x:c>
      <x:c r="M44" s="28" t="str"/>
    </x:row>
    <x:row r="45">
      <x:c r="A45" s="37" t="str">
        <x:v>PLN-00712</x:v>
      </x:c>
      <x:c r="B45" s="28" t="str">
        <x:v>FY27 backlog delivery plan</x:v>
      </x:c>
      <x:c r="C45" s="28" t="str">
        <x:v>Execution authority</x:v>
      </x:c>
      <x:c r="D45" s="28" t="str">
        <x:v>P-3114</x:v>
      </x:c>
      <x:c r="E45" s="28" t="str">
        <x:v>FY27</x:v>
      </x:c>
      <x:c r="F45" s="28" t="str">
        <x:v>Approved case</x:v>
      </x:c>
      <x:c r="G45" s="28" t="str">
        <x:v>Contract gross margin</x:v>
      </x:c>
      <x:c r="H45" s="31" t="n">
        <x:v>0.27</x:v>
      </x:c>
      <x:c r="I45" s="28" t="str"/>
      <x:c r="J45" s="28" t="str">
        <x:v>decimal ratio</x:v>
      </x:c>
      <x:c r="K45" s="28" t="str">
        <x:v>FY27 planning assumptions - v6 controller tie.xlsx</x:v>
      </x:c>
      <x:c r="L45" s="34" t="str">
        <x:v>2026-06-30</x:v>
      </x:c>
      <x:c r="M45" s="28" t="str"/>
    </x:row>
    <x:row r="46">
      <x:c r="A46" s="37" t="str">
        <x:v>PLN-00713</x:v>
      </x:c>
      <x:c r="B46" s="28" t="str">
        <x:v>FY27 backlog delivery plan</x:v>
      </x:c>
      <x:c r="C46" s="28" t="str">
        <x:v>Execution authority</x:v>
      </x:c>
      <x:c r="D46" s="28" t="str">
        <x:v>P-3114</x:v>
      </x:c>
      <x:c r="E46" s="28" t="str">
        <x:v>FY27</x:v>
      </x:c>
      <x:c r="F46" s="28" t="str">
        <x:v>Approved case</x:v>
      </x:c>
      <x:c r="G46" s="28" t="str">
        <x:v>Monthly liquidated damages rate</x:v>
      </x:c>
      <x:c r="H46" s="31" t="n">
        <x:v>0.007</x:v>
      </x:c>
      <x:c r="I46" s="28" t="str"/>
      <x:c r="J46" s="28" t="str">
        <x:v>decimal ratio</x:v>
      </x:c>
      <x:c r="K46" s="28" t="str">
        <x:v>FY27 planning assumptions - v6 controller tie.xlsx</x:v>
      </x:c>
      <x:c r="L46" s="34" t="str">
        <x:v>2026-06-30</x:v>
      </x:c>
      <x:c r="M46" s="28" t="str"/>
    </x:row>
    <x:row r="47">
      <x:c r="A47" s="37" t="str">
        <x:v>PLN-00727</x:v>
      </x:c>
      <x:c r="B47" s="28" t="str">
        <x:v>FY27 backlog delivery plan</x:v>
      </x:c>
      <x:c r="C47" s="28" t="str">
        <x:v>Execution authority</x:v>
      </x:c>
      <x:c r="D47" s="28" t="str">
        <x:v>P-3122</x:v>
      </x:c>
      <x:c r="E47" s="28" t="str">
        <x:v>FY27</x:v>
      </x:c>
      <x:c r="F47" s="28" t="str">
        <x:v>Approved case</x:v>
      </x:c>
      <x:c r="G47" s="28" t="str">
        <x:v>Customer delivery priority</x:v>
      </x:c>
      <x:c r="H47" s="31" t="n">
        <x:v>6</x:v>
      </x:c>
      <x:c r="I47" s="28" t="str"/>
      <x:c r="J47" s="28" t="str">
        <x:v>priority rank</x:v>
      </x:c>
      <x:c r="K47" s="28" t="str">
        <x:v>FY27 planning assumptions - v6 controller tie.xlsx</x:v>
      </x:c>
      <x:c r="L47" s="34" t="str">
        <x:v>2026-06-30</x:v>
      </x:c>
      <x:c r="M47" s="28" t="str"/>
    </x:row>
    <x:row r="48">
      <x:c r="A48" s="37" t="str">
        <x:v>PLN-00728</x:v>
      </x:c>
      <x:c r="B48" s="28" t="str">
        <x:v>FY27 backlog delivery plan</x:v>
      </x:c>
      <x:c r="C48" s="28" t="str">
        <x:v>Execution authority</x:v>
      </x:c>
      <x:c r="D48" s="28" t="str">
        <x:v>P-3122</x:v>
      </x:c>
      <x:c r="E48" s="28" t="str">
        <x:v>FY27</x:v>
      </x:c>
      <x:c r="F48" s="28" t="str">
        <x:v>Approved case</x:v>
      </x:c>
      <x:c r="G48" s="28" t="str">
        <x:v>Contract gross margin</x:v>
      </x:c>
      <x:c r="H48" s="31" t="n">
        <x:v>0.2</x:v>
      </x:c>
      <x:c r="I48" s="28" t="str"/>
      <x:c r="J48" s="28" t="str">
        <x:v>decimal ratio</x:v>
      </x:c>
      <x:c r="K48" s="28" t="str">
        <x:v>FY27 planning assumptions - v6 controller tie.xlsx</x:v>
      </x:c>
      <x:c r="L48" s="34" t="str">
        <x:v>2026-06-30</x:v>
      </x:c>
      <x:c r="M48" s="28" t="str"/>
    </x:row>
    <x:row r="49">
      <x:c r="A49" s="37" t="str">
        <x:v>PLN-00729</x:v>
      </x:c>
      <x:c r="B49" s="28" t="str">
        <x:v>FY27 backlog delivery plan</x:v>
      </x:c>
      <x:c r="C49" s="28" t="str">
        <x:v>Execution authority</x:v>
      </x:c>
      <x:c r="D49" s="28" t="str">
        <x:v>P-3122</x:v>
      </x:c>
      <x:c r="E49" s="28" t="str">
        <x:v>FY27</x:v>
      </x:c>
      <x:c r="F49" s="28" t="str">
        <x:v>Approved case</x:v>
      </x:c>
      <x:c r="G49" s="28" t="str">
        <x:v>Monthly liquidated damages rate</x:v>
      </x:c>
      <x:c r="H49" s="31" t="n">
        <x:v>0.01</x:v>
      </x:c>
      <x:c r="I49" s="28" t="str"/>
      <x:c r="J49" s="28" t="str">
        <x:v>decimal ratio</x:v>
      </x:c>
      <x:c r="K49" s="28" t="str">
        <x:v>FY27 planning assumptions - v6 controller tie.xlsx</x:v>
      </x:c>
      <x:c r="L49" s="34" t="str">
        <x:v>2026-06-30</x:v>
      </x:c>
      <x:c r="M49" s="28" t="str"/>
    </x:row>
    <x:row r="50">
      <x:c r="A50" s="37" t="str">
        <x:v>PLN-00741</x:v>
      </x:c>
      <x:c r="B50" s="28" t="str">
        <x:v>FY27 backlog delivery plan</x:v>
      </x:c>
      <x:c r="C50" s="28" t="str">
        <x:v>Execution authority</x:v>
      </x:c>
      <x:c r="D50" s="28" t="str">
        <x:v>P-3130</x:v>
      </x:c>
      <x:c r="E50" s="28" t="str">
        <x:v>FY27</x:v>
      </x:c>
      <x:c r="F50" s="28" t="str">
        <x:v>Approved case</x:v>
      </x:c>
      <x:c r="G50" s="28" t="str">
        <x:v>Customer delivery priority</x:v>
      </x:c>
      <x:c r="H50" s="31" t="n">
        <x:v>3</x:v>
      </x:c>
      <x:c r="I50" s="28" t="str"/>
      <x:c r="J50" s="28" t="str">
        <x:v>priority rank</x:v>
      </x:c>
      <x:c r="K50" s="28" t="str">
        <x:v>FY27 planning assumptions - v6 controller tie.xlsx</x:v>
      </x:c>
      <x:c r="L50" s="34" t="str">
        <x:v>2026-06-30</x:v>
      </x:c>
      <x:c r="M50" s="28" t="str"/>
    </x:row>
    <x:row r="51">
      <x:c r="A51" s="37" t="str">
        <x:v>PLN-00742</x:v>
      </x:c>
      <x:c r="B51" s="28" t="str">
        <x:v>FY27 backlog delivery plan</x:v>
      </x:c>
      <x:c r="C51" s="28" t="str">
        <x:v>Execution authority</x:v>
      </x:c>
      <x:c r="D51" s="28" t="str">
        <x:v>P-3130</x:v>
      </x:c>
      <x:c r="E51" s="28" t="str">
        <x:v>FY27</x:v>
      </x:c>
      <x:c r="F51" s="28" t="str">
        <x:v>Approved case</x:v>
      </x:c>
      <x:c r="G51" s="28" t="str">
        <x:v>Contract gross margin</x:v>
      </x:c>
      <x:c r="H51" s="31" t="n">
        <x:v>0.25</x:v>
      </x:c>
      <x:c r="I51" s="28" t="str"/>
      <x:c r="J51" s="28" t="str">
        <x:v>decimal ratio</x:v>
      </x:c>
      <x:c r="K51" s="28" t="str">
        <x:v>FY27 planning assumptions - v6 controller tie.xlsx</x:v>
      </x:c>
      <x:c r="L51" s="34" t="str">
        <x:v>2026-06-30</x:v>
      </x:c>
      <x:c r="M51" s="28" t="str"/>
    </x:row>
    <x:row r="52">
      <x:c r="A52" s="37" t="str">
        <x:v>PLN-00743</x:v>
      </x:c>
      <x:c r="B52" s="28" t="str">
        <x:v>FY27 backlog delivery plan</x:v>
      </x:c>
      <x:c r="C52" s="28" t="str">
        <x:v>Execution authority</x:v>
      </x:c>
      <x:c r="D52" s="28" t="str">
        <x:v>P-3130</x:v>
      </x:c>
      <x:c r="E52" s="28" t="str">
        <x:v>FY27</x:v>
      </x:c>
      <x:c r="F52" s="28" t="str">
        <x:v>Approved case</x:v>
      </x:c>
      <x:c r="G52" s="28" t="str">
        <x:v>Monthly liquidated damages rate</x:v>
      </x:c>
      <x:c r="H52" s="31" t="n">
        <x:v>0.009</x:v>
      </x:c>
      <x:c r="I52" s="28" t="str"/>
      <x:c r="J52" s="28" t="str">
        <x:v>decimal ratio</x:v>
      </x:c>
      <x:c r="K52" s="28" t="str">
        <x:v>FY27 planning assumptions - v6 controller tie.xlsx</x:v>
      </x:c>
      <x:c r="L52" s="34" t="str">
        <x:v>2026-06-30</x:v>
      </x:c>
      <x:c r="M52" s="28" t="str"/>
    </x:row>
    <x:row r="53">
      <x:c r="A53" s="37" t="str">
        <x:v>PLN-00754</x:v>
      </x:c>
      <x:c r="B53" s="28" t="str">
        <x:v>FY27 backlog delivery plan</x:v>
      </x:c>
      <x:c r="C53" s="28" t="str">
        <x:v>Execution authority</x:v>
      </x:c>
      <x:c r="D53" s="28" t="str">
        <x:v>P-3138</x:v>
      </x:c>
      <x:c r="E53" s="28" t="str">
        <x:v>FY27</x:v>
      </x:c>
      <x:c r="F53" s="28" t="str">
        <x:v>Approved case</x:v>
      </x:c>
      <x:c r="G53" s="28" t="str">
        <x:v>Customer delivery priority</x:v>
      </x:c>
      <x:c r="H53" s="31" t="n">
        <x:v>8</x:v>
      </x:c>
      <x:c r="I53" s="28" t="str"/>
      <x:c r="J53" s="28" t="str">
        <x:v>priority rank</x:v>
      </x:c>
      <x:c r="K53" s="28" t="str">
        <x:v>FY27 planning assumptions - v6 controller tie.xlsx</x:v>
      </x:c>
      <x:c r="L53" s="34" t="str">
        <x:v>2026-06-30</x:v>
      </x:c>
      <x:c r="M53" s="28" t="str"/>
    </x:row>
    <x:row r="54">
      <x:c r="A54" s="37" t="str">
        <x:v>PLN-00755</x:v>
      </x:c>
      <x:c r="B54" s="28" t="str">
        <x:v>FY27 backlog delivery plan</x:v>
      </x:c>
      <x:c r="C54" s="28" t="str">
        <x:v>Execution authority</x:v>
      </x:c>
      <x:c r="D54" s="28" t="str">
        <x:v>P-3138</x:v>
      </x:c>
      <x:c r="E54" s="28" t="str">
        <x:v>FY27</x:v>
      </x:c>
      <x:c r="F54" s="28" t="str">
        <x:v>Approved case</x:v>
      </x:c>
      <x:c r="G54" s="28" t="str">
        <x:v>Contract gross margin</x:v>
      </x:c>
      <x:c r="H54" s="31" t="n">
        <x:v>0.18</x:v>
      </x:c>
      <x:c r="I54" s="28" t="str"/>
      <x:c r="J54" s="28" t="str">
        <x:v>decimal ratio</x:v>
      </x:c>
      <x:c r="K54" s="28" t="str">
        <x:v>FY27 planning assumptions - v6 controller tie.xlsx</x:v>
      </x:c>
      <x:c r="L54" s="34" t="str">
        <x:v>2026-06-30</x:v>
      </x:c>
      <x:c r="M54" s="28" t="str"/>
    </x:row>
    <x:row r="55">
      <x:c r="A55" s="37" t="str">
        <x:v>PLN-00756</x:v>
      </x:c>
      <x:c r="B55" s="28" t="str">
        <x:v>FY27 backlog delivery plan</x:v>
      </x:c>
      <x:c r="C55" s="28" t="str">
        <x:v>Execution authority</x:v>
      </x:c>
      <x:c r="D55" s="28" t="str">
        <x:v>P-3138</x:v>
      </x:c>
      <x:c r="E55" s="28" t="str">
        <x:v>FY27</x:v>
      </x:c>
      <x:c r="F55" s="28" t="str">
        <x:v>Approved case</x:v>
      </x:c>
      <x:c r="G55" s="28" t="str">
        <x:v>Monthly liquidated damages rate</x:v>
      </x:c>
      <x:c r="H55" s="31" t="n">
        <x:v>0.012</x:v>
      </x:c>
      <x:c r="I55" s="28" t="str"/>
      <x:c r="J55" s="28" t="str">
        <x:v>decimal ratio</x:v>
      </x:c>
      <x:c r="K55" s="28" t="str">
        <x:v>FY27 planning assumptions - v6 controller tie.xlsx</x:v>
      </x:c>
      <x:c r="L55" s="34" t="str">
        <x:v>2026-06-30</x:v>
      </x:c>
      <x:c r="M55" s="28" t="str"/>
    </x:row>
    <x:row r="56">
      <x:c r="A56" s="37" t="str">
        <x:v>PLN-00766</x:v>
      </x:c>
      <x:c r="B56" s="28" t="str">
        <x:v>FY27 backlog delivery plan</x:v>
      </x:c>
      <x:c r="C56" s="28" t="str">
        <x:v>Execution authority</x:v>
      </x:c>
      <x:c r="D56" s="28" t="str">
        <x:v>P-3145</x:v>
      </x:c>
      <x:c r="E56" s="28" t="str">
        <x:v>FY27</x:v>
      </x:c>
      <x:c r="F56" s="28" t="str">
        <x:v>Approved case</x:v>
      </x:c>
      <x:c r="G56" s="28" t="str">
        <x:v>Customer delivery priority</x:v>
      </x:c>
      <x:c r="H56" s="31" t="n">
        <x:v>5</x:v>
      </x:c>
      <x:c r="I56" s="28" t="str"/>
      <x:c r="J56" s="28" t="str">
        <x:v>priority rank</x:v>
      </x:c>
      <x:c r="K56" s="28" t="str">
        <x:v>FY27 planning assumptions - v6 controller tie.xlsx</x:v>
      </x:c>
      <x:c r="L56" s="34" t="str">
        <x:v>2026-06-30</x:v>
      </x:c>
      <x:c r="M56" s="28" t="str"/>
    </x:row>
    <x:row r="57">
      <x:c r="A57" s="37" t="str">
        <x:v>PLN-00767</x:v>
      </x:c>
      <x:c r="B57" s="28" t="str">
        <x:v>FY27 backlog delivery plan</x:v>
      </x:c>
      <x:c r="C57" s="28" t="str">
        <x:v>Execution authority</x:v>
      </x:c>
      <x:c r="D57" s="28" t="str">
        <x:v>P-3145</x:v>
      </x:c>
      <x:c r="E57" s="28" t="str">
        <x:v>FY27</x:v>
      </x:c>
      <x:c r="F57" s="28" t="str">
        <x:v>Approved case</x:v>
      </x:c>
      <x:c r="G57" s="28" t="str">
        <x:v>Contract gross margin</x:v>
      </x:c>
      <x:c r="H57" s="31" t="n">
        <x:v>0.29</x:v>
      </x:c>
      <x:c r="I57" s="28" t="str"/>
      <x:c r="J57" s="28" t="str">
        <x:v>decimal ratio</x:v>
      </x:c>
      <x:c r="K57" s="28" t="str">
        <x:v>FY27 planning assumptions - v6 controller tie.xlsx</x:v>
      </x:c>
      <x:c r="L57" s="34" t="str">
        <x:v>2026-06-30</x:v>
      </x:c>
      <x:c r="M57" s="28" t="str"/>
    </x:row>
    <x:row r="58">
      <x:c r="A58" s="37" t="str">
        <x:v>PLN-00768</x:v>
      </x:c>
      <x:c r="B58" s="28" t="str">
        <x:v>FY27 backlog delivery plan</x:v>
      </x:c>
      <x:c r="C58" s="28" t="str">
        <x:v>Execution authority</x:v>
      </x:c>
      <x:c r="D58" s="28" t="str">
        <x:v>P-3145</x:v>
      </x:c>
      <x:c r="E58" s="28" t="str">
        <x:v>FY27</x:v>
      </x:c>
      <x:c r="F58" s="28" t="str">
        <x:v>Approved case</x:v>
      </x:c>
      <x:c r="G58" s="28" t="str">
        <x:v>Monthly liquidated damages rate</x:v>
      </x:c>
      <x:c r="H58" s="31" t="n">
        <x:v>0.011</x:v>
      </x:c>
      <x:c r="I58" s="28" t="str"/>
      <x:c r="J58" s="28" t="str">
        <x:v>decimal ratio</x:v>
      </x:c>
      <x:c r="K58" s="28" t="str">
        <x:v>FY27 planning assumptions - v6 controller tie.xlsx</x:v>
      </x:c>
      <x:c r="L58" s="34" t="str">
        <x:v>2026-06-30</x:v>
      </x:c>
      <x:c r="M58" s="28" t="str"/>
    </x:row>
    <x:row r="59">
      <x:c r="A59" s="37" t="str">
        <x:v>PLN-00777</x:v>
      </x:c>
      <x:c r="B59" s="28" t="str">
        <x:v>FY27 backlog delivery plan</x:v>
      </x:c>
      <x:c r="C59" s="28" t="str">
        <x:v>Execution authority</x:v>
      </x:c>
      <x:c r="D59" s="28" t="str">
        <x:v>P-3152</x:v>
      </x:c>
      <x:c r="E59" s="28" t="str">
        <x:v>FY27</x:v>
      </x:c>
      <x:c r="F59" s="28" t="str">
        <x:v>Approved case</x:v>
      </x:c>
      <x:c r="G59" s="28" t="str">
        <x:v>Customer delivery priority</x:v>
      </x:c>
      <x:c r="H59" s="31" t="n">
        <x:v>7</x:v>
      </x:c>
      <x:c r="I59" s="28" t="str"/>
      <x:c r="J59" s="28" t="str">
        <x:v>priority rank</x:v>
      </x:c>
      <x:c r="K59" s="28" t="str">
        <x:v>FY27 planning assumptions - v6 controller tie.xlsx</x:v>
      </x:c>
      <x:c r="L59" s="34" t="str">
        <x:v>2026-06-30</x:v>
      </x:c>
      <x:c r="M59" s="28" t="str"/>
    </x:row>
    <x:row r="60">
      <x:c r="A60" s="37" t="str">
        <x:v>PLN-00778</x:v>
      </x:c>
      <x:c r="B60" s="28" t="str">
        <x:v>FY27 backlog delivery plan</x:v>
      </x:c>
      <x:c r="C60" s="28" t="str">
        <x:v>Execution authority</x:v>
      </x:c>
      <x:c r="D60" s="28" t="str">
        <x:v>P-3152</x:v>
      </x:c>
      <x:c r="E60" s="28" t="str">
        <x:v>FY27</x:v>
      </x:c>
      <x:c r="F60" s="28" t="str">
        <x:v>Approved case</x:v>
      </x:c>
      <x:c r="G60" s="28" t="str">
        <x:v>Contract gross margin</x:v>
      </x:c>
      <x:c r="H60" s="31" t="n">
        <x:v>0.17</x:v>
      </x:c>
      <x:c r="I60" s="28" t="str"/>
      <x:c r="J60" s="28" t="str">
        <x:v>decimal ratio</x:v>
      </x:c>
      <x:c r="K60" s="28" t="str">
        <x:v>FY27 planning assumptions - v6 controller tie.xlsx</x:v>
      </x:c>
      <x:c r="L60" s="34" t="str">
        <x:v>2026-06-30</x:v>
      </x:c>
      <x:c r="M60" s="28" t="str"/>
    </x:row>
    <x:row r="61">
      <x:c r="A61" s="37" t="str">
        <x:v>PLN-00779</x:v>
      </x:c>
      <x:c r="B61" s="28" t="str">
        <x:v>FY27 backlog delivery plan</x:v>
      </x:c>
      <x:c r="C61" s="28" t="str">
        <x:v>Execution authority</x:v>
      </x:c>
      <x:c r="D61" s="28" t="str">
        <x:v>P-3152</x:v>
      </x:c>
      <x:c r="E61" s="28" t="str">
        <x:v>FY27</x:v>
      </x:c>
      <x:c r="F61" s="28" t="str">
        <x:v>Approved case</x:v>
      </x:c>
      <x:c r="G61" s="28" t="str">
        <x:v>Monthly liquidated damages rate</x:v>
      </x:c>
      <x:c r="H61" s="31" t="n">
        <x:v>0.014</x:v>
      </x:c>
      <x:c r="I61" s="28" t="str"/>
      <x:c r="J61" s="28" t="str">
        <x:v>decimal ratio</x:v>
      </x:c>
      <x:c r="K61" s="28" t="str">
        <x:v>FY27 planning assumptions - v6 controller tie.xlsx</x:v>
      </x:c>
      <x:c r="L61" s="34" t="str">
        <x:v>2026-06-30</x:v>
      </x:c>
      <x:c r="M61" s="28" t="str"/>
    </x:row>
    <x:row r="62">
      <x:c r="A62" s="37" t="str">
        <x:v>PLN-00783</x:v>
      </x:c>
      <x:c r="B62" s="28" t="str">
        <x:v>FY27 backlog delivery plan</x:v>
      </x:c>
      <x:c r="C62" s="28" t="str">
        <x:v>Monthly capacity</x:v>
      </x:c>
      <x:c r="D62" s="28" t="str">
        <x:v>All field labor</x:v>
      </x:c>
      <x:c r="E62" s="28" t="str">
        <x:v>2026-07</x:v>
      </x:c>
      <x:c r="F62" s="28" t="str">
        <x:v>Approved case</x:v>
      </x:c>
      <x:c r="G62" s="28" t="str">
        <x:v>Productive internal hours</x:v>
      </x:c>
      <x:c r="H62" s="31" t="n">
        <x:v>31500</x:v>
      </x:c>
      <x:c r="I62" s="28" t="str"/>
      <x:c r="J62" s="28" t="str">
        <x:v>hours</x:v>
      </x:c>
      <x:c r="K62" s="28" t="str">
        <x:v>FY27 planning assumptions - v6 controller tie.xlsx</x:v>
      </x:c>
      <x:c r="L62" s="34" t="str">
        <x:v>2026-06-30</x:v>
      </x:c>
      <x:c r="M62" s="28" t="str"/>
    </x:row>
    <x:row r="63">
      <x:c r="A63" s="37" t="str">
        <x:v>PLN-00784</x:v>
      </x:c>
      <x:c r="B63" s="28" t="str">
        <x:v>FY27 backlog delivery plan</x:v>
      </x:c>
      <x:c r="C63" s="28" t="str">
        <x:v>Monthly capacity</x:v>
      </x:c>
      <x:c r="D63" s="28" t="str">
        <x:v>All field labor</x:v>
      </x:c>
      <x:c r="E63" s="28" t="str">
        <x:v>2026-07</x:v>
      </x:c>
      <x:c r="F63" s="28" t="str">
        <x:v>Approved case</x:v>
      </x:c>
      <x:c r="G63" s="28" t="str">
        <x:v>Subcontractable hours</x:v>
      </x:c>
      <x:c r="H63" s="31" t="n">
        <x:v>4500</x:v>
      </x:c>
      <x:c r="I63" s="28" t="str"/>
      <x:c r="J63" s="28" t="str">
        <x:v>hours</x:v>
      </x:c>
      <x:c r="K63" s="28" t="str">
        <x:v>FY27 planning assumptions - v6 controller tie.xlsx</x:v>
      </x:c>
      <x:c r="L63" s="34" t="str">
        <x:v>2026-06-30</x:v>
      </x:c>
      <x:c r="M63" s="28" t="str"/>
    </x:row>
    <x:row r="64">
      <x:c r="A64" s="37" t="str">
        <x:v>PLN-00785</x:v>
      </x:c>
      <x:c r="B64" s="28" t="str">
        <x:v>FY27 backlog delivery plan</x:v>
      </x:c>
      <x:c r="C64" s="28" t="str">
        <x:v>Monthly capacity</x:v>
      </x:c>
      <x:c r="D64" s="28" t="str">
        <x:v>All field labor</x:v>
      </x:c>
      <x:c r="E64" s="28" t="str">
        <x:v>2026-07</x:v>
      </x:c>
      <x:c r="F64" s="28" t="str">
        <x:v>Approved case</x:v>
      </x:c>
      <x:c r="G64" s="28" t="str">
        <x:v>Overtime limit on internal hours</x:v>
      </x:c>
      <x:c r="H64" s="31" t="n">
        <x:v>0.08</x:v>
      </x:c>
      <x:c r="I64" s="28" t="str"/>
      <x:c r="J64" s="28" t="str">
        <x:v>decimal ratio</x:v>
      </x:c>
      <x:c r="K64" s="28" t="str">
        <x:v>FY27 planning assumptions - v6 controller tie.xlsx</x:v>
      </x:c>
      <x:c r="L64" s="34" t="str">
        <x:v>2026-06-30</x:v>
      </x:c>
      <x:c r="M64" s="28" t="str"/>
    </x:row>
    <x:row r="65">
      <x:c r="A65" s="37" t="str">
        <x:v>PLN-00786</x:v>
      </x:c>
      <x:c r="B65" s="28" t="str">
        <x:v>FY27 backlog delivery plan</x:v>
      </x:c>
      <x:c r="C65" s="28" t="str">
        <x:v>Capacity remediation</x:v>
      </x:c>
      <x:c r="D65" s="28" t="str">
        <x:v>All field labor</x:v>
      </x:c>
      <x:c r="E65" s="28" t="str">
        <x:v>2026-07</x:v>
      </x:c>
      <x:c r="F65" s="28" t="str">
        <x:v>Approved case</x:v>
      </x:c>
      <x:c r="G65" s="28" t="str">
        <x:v>Emergency overtime increment limit</x:v>
      </x:c>
      <x:c r="H65" s="31" t="n">
        <x:v>0.04</x:v>
      </x:c>
      <x:c r="I65" s="28" t="str"/>
      <x:c r="J65" s="28" t="str">
        <x:v>decimal ratio</x:v>
      </x:c>
      <x:c r="K65" s="28" t="str">
        <x:v>FY27 planning assumptions - v6 controller tie.xlsx</x:v>
      </x:c>
      <x:c r="L65" s="34" t="str">
        <x:v>2026-06-30</x:v>
      </x:c>
      <x:c r="M65" s="28" t="str"/>
    </x:row>
    <x:row r="66">
      <x:c r="A66" s="37" t="str">
        <x:v>PLN-00787</x:v>
      </x:c>
      <x:c r="B66" s="28" t="str">
        <x:v>FY27 backlog delivery plan</x:v>
      </x:c>
      <x:c r="C66" s="28" t="str">
        <x:v>Capacity remediation</x:v>
      </x:c>
      <x:c r="D66" s="28" t="str">
        <x:v>All field labor</x:v>
      </x:c>
      <x:c r="E66" s="28" t="str">
        <x:v>2026-07</x:v>
      </x:c>
      <x:c r="F66" s="28" t="str">
        <x:v>Approved case</x:v>
      </x:c>
      <x:c r="G66" s="28" t="str">
        <x:v>Contingent subcontract surge hours</x:v>
      </x:c>
      <x:c r="H66" s="31" t="n">
        <x:v>2500</x:v>
      </x:c>
      <x:c r="I66" s="28" t="str"/>
      <x:c r="J66" s="28" t="str">
        <x:v>hours</x:v>
      </x:c>
      <x:c r="K66" s="28" t="str">
        <x:v>FY27 planning assumptions - v6 controller tie.xlsx</x:v>
      </x:c>
      <x:c r="L66" s="34" t="str">
        <x:v>2026-06-30</x:v>
      </x:c>
      <x:c r="M66" s="28" t="str"/>
    </x:row>
    <x:row r="67">
      <x:c r="A67" s="37" t="str">
        <x:v>PLN-00788</x:v>
      </x:c>
      <x:c r="B67" s="28" t="str">
        <x:v>FY27 backlog delivery plan</x:v>
      </x:c>
      <x:c r="C67" s="28" t="str">
        <x:v>Capacity remediation</x:v>
      </x:c>
      <x:c r="D67" s="28" t="str">
        <x:v>All field labor</x:v>
      </x:c>
      <x:c r="E67" s="28" t="str">
        <x:v>2026-07</x:v>
      </x:c>
      <x:c r="F67" s="28" t="str">
        <x:v>Approved case</x:v>
      </x:c>
      <x:c r="G67" s="28" t="str">
        <x:v>Overtime premium cost</x:v>
      </x:c>
      <x:c r="H67" s="31" t="n">
        <x:v>42.5</x:v>
      </x:c>
      <x:c r="I67" s="28" t="str"/>
      <x:c r="J67" s="28" t="str">
        <x:v>USD per hour</x:v>
      </x:c>
      <x:c r="K67" s="28" t="str">
        <x:v>FY27 planning assumptions - v6 controller tie.xlsx</x:v>
      </x:c>
      <x:c r="L67" s="34" t="str">
        <x:v>2026-06-30</x:v>
      </x:c>
      <x:c r="M67" s="28" t="str"/>
    </x:row>
    <x:row r="68">
      <x:c r="A68" s="37" t="str">
        <x:v>PLN-00789</x:v>
      </x:c>
      <x:c r="B68" s="28" t="str">
        <x:v>FY27 backlog delivery plan</x:v>
      </x:c>
      <x:c r="C68" s="28" t="str">
        <x:v>Capacity remediation</x:v>
      </x:c>
      <x:c r="D68" s="28" t="str">
        <x:v>All field labor</x:v>
      </x:c>
      <x:c r="E68" s="28" t="str">
        <x:v>2026-07</x:v>
      </x:c>
      <x:c r="F68" s="28" t="str">
        <x:v>Approved case</x:v>
      </x:c>
      <x:c r="G68" s="28" t="str">
        <x:v>Contingent subcontract cost</x:v>
      </x:c>
      <x:c r="H68" s="31" t="n">
        <x:v>125</x:v>
      </x:c>
      <x:c r="I68" s="28" t="str"/>
      <x:c r="J68" s="28" t="str">
        <x:v>USD per hour</x:v>
      </x:c>
      <x:c r="K68" s="28" t="str">
        <x:v>FY27 planning assumptions - v6 controller tie.xlsx</x:v>
      </x:c>
      <x:c r="L68" s="34" t="str">
        <x:v>2026-06-30</x:v>
      </x:c>
      <x:c r="M68" s="28" t="str"/>
    </x:row>
    <x:row r="69">
      <x:c r="A69" s="37" t="str">
        <x:v>PLN-00790</x:v>
      </x:c>
      <x:c r="B69" s="28" t="str">
        <x:v>FY27 backlog delivery plan</x:v>
      </x:c>
      <x:c r="C69" s="28" t="str">
        <x:v>Monthly capacity</x:v>
      </x:c>
      <x:c r="D69" s="28" t="str">
        <x:v>All field labor</x:v>
      </x:c>
      <x:c r="E69" s="28" t="str">
        <x:v>2026-08</x:v>
      </x:c>
      <x:c r="F69" s="28" t="str">
        <x:v>Approved case</x:v>
      </x:c>
      <x:c r="G69" s="28" t="str">
        <x:v>Productive internal hours</x:v>
      </x:c>
      <x:c r="H69" s="31" t="n">
        <x:v>31780</x:v>
      </x:c>
      <x:c r="I69" s="28" t="str"/>
      <x:c r="J69" s="28" t="str">
        <x:v>hours</x:v>
      </x:c>
      <x:c r="K69" s="28" t="str">
        <x:v>FY27 planning assumptions - v6 controller tie.xlsx</x:v>
      </x:c>
      <x:c r="L69" s="34" t="str">
        <x:v>2026-06-30</x:v>
      </x:c>
      <x:c r="M69" s="28" t="str"/>
    </x:row>
    <x:row r="70">
      <x:c r="A70" s="37" t="str">
        <x:v>PLN-00791</x:v>
      </x:c>
      <x:c r="B70" s="28" t="str">
        <x:v>FY27 backlog delivery plan</x:v>
      </x:c>
      <x:c r="C70" s="28" t="str">
        <x:v>Monthly capacity</x:v>
      </x:c>
      <x:c r="D70" s="28" t="str">
        <x:v>All field labor</x:v>
      </x:c>
      <x:c r="E70" s="28" t="str">
        <x:v>2026-08</x:v>
      </x:c>
      <x:c r="F70" s="28" t="str">
        <x:v>Approved case</x:v>
      </x:c>
      <x:c r="G70" s="28" t="str">
        <x:v>Subcontractable hours</x:v>
      </x:c>
      <x:c r="H70" s="31" t="n">
        <x:v>4500</x:v>
      </x:c>
      <x:c r="I70" s="28" t="str"/>
      <x:c r="J70" s="28" t="str">
        <x:v>hours</x:v>
      </x:c>
      <x:c r="K70" s="28" t="str">
        <x:v>FY27 planning assumptions - v6 controller tie.xlsx</x:v>
      </x:c>
      <x:c r="L70" s="34" t="str">
        <x:v>2026-06-30</x:v>
      </x:c>
      <x:c r="M70" s="28" t="str"/>
    </x:row>
    <x:row r="71">
      <x:c r="A71" s="37" t="str">
        <x:v>PLN-00792</x:v>
      </x:c>
      <x:c r="B71" s="28" t="str">
        <x:v>FY27 backlog delivery plan</x:v>
      </x:c>
      <x:c r="C71" s="28" t="str">
        <x:v>Monthly capacity</x:v>
      </x:c>
      <x:c r="D71" s="28" t="str">
        <x:v>All field labor</x:v>
      </x:c>
      <x:c r="E71" s="28" t="str">
        <x:v>2026-08</x:v>
      </x:c>
      <x:c r="F71" s="28" t="str">
        <x:v>Approved case</x:v>
      </x:c>
      <x:c r="G71" s="28" t="str">
        <x:v>Overtime limit on internal hours</x:v>
      </x:c>
      <x:c r="H71" s="31" t="n">
        <x:v>0.08</x:v>
      </x:c>
      <x:c r="I71" s="28" t="str"/>
      <x:c r="J71" s="28" t="str">
        <x:v>decimal ratio</x:v>
      </x:c>
      <x:c r="K71" s="28" t="str">
        <x:v>FY27 planning assumptions - v6 controller tie.xlsx</x:v>
      </x:c>
      <x:c r="L71" s="34" t="str">
        <x:v>2026-06-30</x:v>
      </x:c>
      <x:c r="M71" s="28" t="str"/>
    </x:row>
    <x:row r="72">
      <x:c r="A72" s="37" t="str">
        <x:v>PLN-00793</x:v>
      </x:c>
      <x:c r="B72" s="28" t="str">
        <x:v>FY27 backlog delivery plan</x:v>
      </x:c>
      <x:c r="C72" s="28" t="str">
        <x:v>Capacity remediation</x:v>
      </x:c>
      <x:c r="D72" s="28" t="str">
        <x:v>All field labor</x:v>
      </x:c>
      <x:c r="E72" s="28" t="str">
        <x:v>2026-08</x:v>
      </x:c>
      <x:c r="F72" s="28" t="str">
        <x:v>Approved case</x:v>
      </x:c>
      <x:c r="G72" s="28" t="str">
        <x:v>Emergency overtime increment limit</x:v>
      </x:c>
      <x:c r="H72" s="31" t="n">
        <x:v>0.04</x:v>
      </x:c>
      <x:c r="I72" s="28" t="str"/>
      <x:c r="J72" s="28" t="str">
        <x:v>decimal ratio</x:v>
      </x:c>
      <x:c r="K72" s="28" t="str">
        <x:v>FY27 planning assumptions - v6 controller tie.xlsx</x:v>
      </x:c>
      <x:c r="L72" s="34" t="str">
        <x:v>2026-06-30</x:v>
      </x:c>
      <x:c r="M72" s="28" t="str"/>
    </x:row>
    <x:row r="73">
      <x:c r="A73" s="37" t="str">
        <x:v>PLN-00794</x:v>
      </x:c>
      <x:c r="B73" s="28" t="str">
        <x:v>FY27 backlog delivery plan</x:v>
      </x:c>
      <x:c r="C73" s="28" t="str">
        <x:v>Capacity remediation</x:v>
      </x:c>
      <x:c r="D73" s="28" t="str">
        <x:v>All field labor</x:v>
      </x:c>
      <x:c r="E73" s="28" t="str">
        <x:v>2026-08</x:v>
      </x:c>
      <x:c r="F73" s="28" t="str">
        <x:v>Approved case</x:v>
      </x:c>
      <x:c r="G73" s="28" t="str">
        <x:v>Contingent subcontract surge hours</x:v>
      </x:c>
      <x:c r="H73" s="31" t="n">
        <x:v>2500</x:v>
      </x:c>
      <x:c r="I73" s="28" t="str"/>
      <x:c r="J73" s="28" t="str">
        <x:v>hours</x:v>
      </x:c>
      <x:c r="K73" s="28" t="str">
        <x:v>FY27 planning assumptions - v6 controller tie.xlsx</x:v>
      </x:c>
      <x:c r="L73" s="34" t="str">
        <x:v>2026-06-30</x:v>
      </x:c>
      <x:c r="M73" s="28" t="str"/>
    </x:row>
    <x:row r="74">
      <x:c r="A74" s="37" t="str">
        <x:v>PLN-00795</x:v>
      </x:c>
      <x:c r="B74" s="28" t="str">
        <x:v>FY27 backlog delivery plan</x:v>
      </x:c>
      <x:c r="C74" s="28" t="str">
        <x:v>Capacity remediation</x:v>
      </x:c>
      <x:c r="D74" s="28" t="str">
        <x:v>All field labor</x:v>
      </x:c>
      <x:c r="E74" s="28" t="str">
        <x:v>2026-08</x:v>
      </x:c>
      <x:c r="F74" s="28" t="str">
        <x:v>Approved case</x:v>
      </x:c>
      <x:c r="G74" s="28" t="str">
        <x:v>Overtime premium cost</x:v>
      </x:c>
      <x:c r="H74" s="31" t="n">
        <x:v>42.5</x:v>
      </x:c>
      <x:c r="I74" s="28" t="str"/>
      <x:c r="J74" s="28" t="str">
        <x:v>USD per hour</x:v>
      </x:c>
      <x:c r="K74" s="28" t="str">
        <x:v>FY27 planning assumptions - v6 controller tie.xlsx</x:v>
      </x:c>
      <x:c r="L74" s="34" t="str">
        <x:v>2026-06-30</x:v>
      </x:c>
      <x:c r="M74" s="28" t="str"/>
    </x:row>
    <x:row r="75">
      <x:c r="A75" s="37" t="str">
        <x:v>PLN-00796</x:v>
      </x:c>
      <x:c r="B75" s="28" t="str">
        <x:v>FY27 backlog delivery plan</x:v>
      </x:c>
      <x:c r="C75" s="28" t="str">
        <x:v>Capacity remediation</x:v>
      </x:c>
      <x:c r="D75" s="28" t="str">
        <x:v>All field labor</x:v>
      </x:c>
      <x:c r="E75" s="28" t="str">
        <x:v>2026-08</x:v>
      </x:c>
      <x:c r="F75" s="28" t="str">
        <x:v>Approved case</x:v>
      </x:c>
      <x:c r="G75" s="28" t="str">
        <x:v>Contingent subcontract cost</x:v>
      </x:c>
      <x:c r="H75" s="31" t="n">
        <x:v>125</x:v>
      </x:c>
      <x:c r="I75" s="28" t="str"/>
      <x:c r="J75" s="28" t="str">
        <x:v>USD per hour</x:v>
      </x:c>
      <x:c r="K75" s="28" t="str">
        <x:v>FY27 planning assumptions - v6 controller tie.xlsx</x:v>
      </x:c>
      <x:c r="L75" s="34" t="str">
        <x:v>2026-06-30</x:v>
      </x:c>
      <x:c r="M75" s="28" t="str"/>
    </x:row>
    <x:row r="76">
      <x:c r="A76" s="37" t="str">
        <x:v>PLN-00797</x:v>
      </x:c>
      <x:c r="B76" s="28" t="str">
        <x:v>FY27 backlog delivery plan</x:v>
      </x:c>
      <x:c r="C76" s="28" t="str">
        <x:v>Monthly capacity</x:v>
      </x:c>
      <x:c r="D76" s="28" t="str">
        <x:v>All field labor</x:v>
      </x:c>
      <x:c r="E76" s="28" t="str">
        <x:v>2026-09</x:v>
      </x:c>
      <x:c r="F76" s="28" t="str">
        <x:v>Approved case</x:v>
      </x:c>
      <x:c r="G76" s="28" t="str">
        <x:v>Productive internal hours</x:v>
      </x:c>
      <x:c r="H76" s="31" t="n">
        <x:v>32060</x:v>
      </x:c>
      <x:c r="I76" s="28" t="str"/>
      <x:c r="J76" s="28" t="str">
        <x:v>hours</x:v>
      </x:c>
      <x:c r="K76" s="28" t="str">
        <x:v>FY27 planning assumptions - v6 controller tie.xlsx</x:v>
      </x:c>
      <x:c r="L76" s="34" t="str">
        <x:v>2026-06-30</x:v>
      </x:c>
      <x:c r="M76" s="28" t="str"/>
    </x:row>
    <x:row r="77">
      <x:c r="A77" s="37" t="str">
        <x:v>PLN-00798</x:v>
      </x:c>
      <x:c r="B77" s="28" t="str">
        <x:v>FY27 backlog delivery plan</x:v>
      </x:c>
      <x:c r="C77" s="28" t="str">
        <x:v>Monthly capacity</x:v>
      </x:c>
      <x:c r="D77" s="28" t="str">
        <x:v>All field labor</x:v>
      </x:c>
      <x:c r="E77" s="28" t="str">
        <x:v>2026-09</x:v>
      </x:c>
      <x:c r="F77" s="28" t="str">
        <x:v>Approved case</x:v>
      </x:c>
      <x:c r="G77" s="28" t="str">
        <x:v>Subcontractable hours</x:v>
      </x:c>
      <x:c r="H77" s="31" t="n">
        <x:v>4500</x:v>
      </x:c>
      <x:c r="I77" s="28" t="str"/>
      <x:c r="J77" s="28" t="str">
        <x:v>hours</x:v>
      </x:c>
      <x:c r="K77" s="28" t="str">
        <x:v>FY27 planning assumptions - v6 controller tie.xlsx</x:v>
      </x:c>
      <x:c r="L77" s="34" t="str">
        <x:v>2026-06-30</x:v>
      </x:c>
      <x:c r="M77" s="28" t="str"/>
    </x:row>
    <x:row r="78">
      <x:c r="A78" s="37" t="str">
        <x:v>PLN-00799</x:v>
      </x:c>
      <x:c r="B78" s="28" t="str">
        <x:v>FY27 backlog delivery plan</x:v>
      </x:c>
      <x:c r="C78" s="28" t="str">
        <x:v>Monthly capacity</x:v>
      </x:c>
      <x:c r="D78" s="28" t="str">
        <x:v>All field labor</x:v>
      </x:c>
      <x:c r="E78" s="28" t="str">
        <x:v>2026-09</x:v>
      </x:c>
      <x:c r="F78" s="28" t="str">
        <x:v>Approved case</x:v>
      </x:c>
      <x:c r="G78" s="28" t="str">
        <x:v>Overtime limit on internal hours</x:v>
      </x:c>
      <x:c r="H78" s="31" t="n">
        <x:v>0.08</x:v>
      </x:c>
      <x:c r="I78" s="28" t="str"/>
      <x:c r="J78" s="28" t="str">
        <x:v>decimal ratio</x:v>
      </x:c>
      <x:c r="K78" s="28" t="str">
        <x:v>FY27 planning assumptions - v6 controller tie.xlsx</x:v>
      </x:c>
      <x:c r="L78" s="34" t="str">
        <x:v>2026-06-30</x:v>
      </x:c>
      <x:c r="M78" s="28" t="str"/>
    </x:row>
    <x:row r="79">
      <x:c r="A79" s="37" t="str">
        <x:v>PLN-00800</x:v>
      </x:c>
      <x:c r="B79" s="28" t="str">
        <x:v>FY27 backlog delivery plan</x:v>
      </x:c>
      <x:c r="C79" s="28" t="str">
        <x:v>Capacity remediation</x:v>
      </x:c>
      <x:c r="D79" s="28" t="str">
        <x:v>All field labor</x:v>
      </x:c>
      <x:c r="E79" s="28" t="str">
        <x:v>2026-09</x:v>
      </x:c>
      <x:c r="F79" s="28" t="str">
        <x:v>Approved case</x:v>
      </x:c>
      <x:c r="G79" s="28" t="str">
        <x:v>Emergency overtime increment limit</x:v>
      </x:c>
      <x:c r="H79" s="31" t="n">
        <x:v>0.04</x:v>
      </x:c>
      <x:c r="I79" s="28" t="str"/>
      <x:c r="J79" s="28" t="str">
        <x:v>decimal ratio</x:v>
      </x:c>
      <x:c r="K79" s="28" t="str">
        <x:v>FY27 planning assumptions - v6 controller tie.xlsx</x:v>
      </x:c>
      <x:c r="L79" s="34" t="str">
        <x:v>2026-06-30</x:v>
      </x:c>
      <x:c r="M79" s="28" t="str"/>
    </x:row>
    <x:row r="80">
      <x:c r="A80" s="37" t="str">
        <x:v>PLN-00801</x:v>
      </x:c>
      <x:c r="B80" s="28" t="str">
        <x:v>FY27 backlog delivery plan</x:v>
      </x:c>
      <x:c r="C80" s="28" t="str">
        <x:v>Capacity remediation</x:v>
      </x:c>
      <x:c r="D80" s="28" t="str">
        <x:v>All field labor</x:v>
      </x:c>
      <x:c r="E80" s="28" t="str">
        <x:v>2026-09</x:v>
      </x:c>
      <x:c r="F80" s="28" t="str">
        <x:v>Approved case</x:v>
      </x:c>
      <x:c r="G80" s="28" t="str">
        <x:v>Contingent subcontract surge hours</x:v>
      </x:c>
      <x:c r="H80" s="31" t="n">
        <x:v>2500</x:v>
      </x:c>
      <x:c r="I80" s="28" t="str"/>
      <x:c r="J80" s="28" t="str">
        <x:v>hours</x:v>
      </x:c>
      <x:c r="K80" s="28" t="str">
        <x:v>FY27 planning assumptions - v6 controller tie.xlsx</x:v>
      </x:c>
      <x:c r="L80" s="34" t="str">
        <x:v>2026-06-30</x:v>
      </x:c>
      <x:c r="M80" s="28" t="str"/>
    </x:row>
    <x:row r="81">
      <x:c r="A81" s="37" t="str">
        <x:v>PLN-00802</x:v>
      </x:c>
      <x:c r="B81" s="28" t="str">
        <x:v>FY27 backlog delivery plan</x:v>
      </x:c>
      <x:c r="C81" s="28" t="str">
        <x:v>Capacity remediation</x:v>
      </x:c>
      <x:c r="D81" s="28" t="str">
        <x:v>All field labor</x:v>
      </x:c>
      <x:c r="E81" s="28" t="str">
        <x:v>2026-09</x:v>
      </x:c>
      <x:c r="F81" s="28" t="str">
        <x:v>Approved case</x:v>
      </x:c>
      <x:c r="G81" s="28" t="str">
        <x:v>Overtime premium cost</x:v>
      </x:c>
      <x:c r="H81" s="31" t="n">
        <x:v>42.5</x:v>
      </x:c>
      <x:c r="I81" s="28" t="str"/>
      <x:c r="J81" s="28" t="str">
        <x:v>USD per hour</x:v>
      </x:c>
      <x:c r="K81" s="28" t="str">
        <x:v>FY27 planning assumptions - v6 controller tie.xlsx</x:v>
      </x:c>
      <x:c r="L81" s="34" t="str">
        <x:v>2026-06-30</x:v>
      </x:c>
      <x:c r="M81" s="28" t="str"/>
    </x:row>
    <x:row r="82">
      <x:c r="A82" s="37" t="str">
        <x:v>PLN-00803</x:v>
      </x:c>
      <x:c r="B82" s="28" t="str">
        <x:v>FY27 backlog delivery plan</x:v>
      </x:c>
      <x:c r="C82" s="28" t="str">
        <x:v>Capacity remediation</x:v>
      </x:c>
      <x:c r="D82" s="28" t="str">
        <x:v>All field labor</x:v>
      </x:c>
      <x:c r="E82" s="28" t="str">
        <x:v>2026-09</x:v>
      </x:c>
      <x:c r="F82" s="28" t="str">
        <x:v>Approved case</x:v>
      </x:c>
      <x:c r="G82" s="28" t="str">
        <x:v>Contingent subcontract cost</x:v>
      </x:c>
      <x:c r="H82" s="31" t="n">
        <x:v>125</x:v>
      </x:c>
      <x:c r="I82" s="28" t="str"/>
      <x:c r="J82" s="28" t="str">
        <x:v>USD per hour</x:v>
      </x:c>
      <x:c r="K82" s="28" t="str">
        <x:v>FY27 planning assumptions - v6 controller tie.xlsx</x:v>
      </x:c>
      <x:c r="L82" s="34" t="str">
        <x:v>2026-06-30</x:v>
      </x:c>
      <x:c r="M82" s="28" t="str"/>
    </x:row>
    <x:row r="83">
      <x:c r="A83" s="37" t="str">
        <x:v>PLN-00804</x:v>
      </x:c>
      <x:c r="B83" s="28" t="str">
        <x:v>FY27 backlog delivery plan</x:v>
      </x:c>
      <x:c r="C83" s="28" t="str">
        <x:v>Monthly capacity</x:v>
      </x:c>
      <x:c r="D83" s="28" t="str">
        <x:v>All field labor</x:v>
      </x:c>
      <x:c r="E83" s="28" t="str">
        <x:v>2026-10</x:v>
      </x:c>
      <x:c r="F83" s="28" t="str">
        <x:v>Approved case</x:v>
      </x:c>
      <x:c r="G83" s="28" t="str">
        <x:v>Productive internal hours</x:v>
      </x:c>
      <x:c r="H83" s="31" t="n">
        <x:v>32340</x:v>
      </x:c>
      <x:c r="I83" s="28" t="str"/>
      <x:c r="J83" s="28" t="str">
        <x:v>hours</x:v>
      </x:c>
      <x:c r="K83" s="28" t="str">
        <x:v>FY27 planning assumptions - v6 controller tie.xlsx</x:v>
      </x:c>
      <x:c r="L83" s="34" t="str">
        <x:v>2026-06-30</x:v>
      </x:c>
      <x:c r="M83" s="28" t="str"/>
    </x:row>
    <x:row r="84">
      <x:c r="A84" s="37" t="str">
        <x:v>PLN-00805</x:v>
      </x:c>
      <x:c r="B84" s="28" t="str">
        <x:v>FY27 backlog delivery plan</x:v>
      </x:c>
      <x:c r="C84" s="28" t="str">
        <x:v>Monthly capacity</x:v>
      </x:c>
      <x:c r="D84" s="28" t="str">
        <x:v>All field labor</x:v>
      </x:c>
      <x:c r="E84" s="28" t="str">
        <x:v>2026-10</x:v>
      </x:c>
      <x:c r="F84" s="28" t="str">
        <x:v>Approved case</x:v>
      </x:c>
      <x:c r="G84" s="28" t="str">
        <x:v>Subcontractable hours</x:v>
      </x:c>
      <x:c r="H84" s="31" t="n">
        <x:v>4500</x:v>
      </x:c>
      <x:c r="I84" s="28" t="str"/>
      <x:c r="J84" s="28" t="str">
        <x:v>hours</x:v>
      </x:c>
      <x:c r="K84" s="28" t="str">
        <x:v>FY27 planning assumptions - v6 controller tie.xlsx</x:v>
      </x:c>
      <x:c r="L84" s="34" t="str">
        <x:v>2026-06-30</x:v>
      </x:c>
      <x:c r="M84" s="28" t="str"/>
    </x:row>
    <x:row r="85">
      <x:c r="A85" s="37" t="str">
        <x:v>PLN-00806</x:v>
      </x:c>
      <x:c r="B85" s="28" t="str">
        <x:v>FY27 backlog delivery plan</x:v>
      </x:c>
      <x:c r="C85" s="28" t="str">
        <x:v>Monthly capacity</x:v>
      </x:c>
      <x:c r="D85" s="28" t="str">
        <x:v>All field labor</x:v>
      </x:c>
      <x:c r="E85" s="28" t="str">
        <x:v>2026-10</x:v>
      </x:c>
      <x:c r="F85" s="28" t="str">
        <x:v>Approved case</x:v>
      </x:c>
      <x:c r="G85" s="28" t="str">
        <x:v>Overtime limit on internal hours</x:v>
      </x:c>
      <x:c r="H85" s="31" t="n">
        <x:v>0.08</x:v>
      </x:c>
      <x:c r="I85" s="28" t="str"/>
      <x:c r="J85" s="28" t="str">
        <x:v>decimal ratio</x:v>
      </x:c>
      <x:c r="K85" s="28" t="str">
        <x:v>FY27 planning assumptions - v6 controller tie.xlsx</x:v>
      </x:c>
      <x:c r="L85" s="34" t="str">
        <x:v>2026-06-30</x:v>
      </x:c>
      <x:c r="M85" s="28" t="str"/>
    </x:row>
    <x:row r="86">
      <x:c r="A86" s="37" t="str">
        <x:v>PLN-00807</x:v>
      </x:c>
      <x:c r="B86" s="28" t="str">
        <x:v>FY27 backlog delivery plan</x:v>
      </x:c>
      <x:c r="C86" s="28" t="str">
        <x:v>Capacity remediation</x:v>
      </x:c>
      <x:c r="D86" s="28" t="str">
        <x:v>All field labor</x:v>
      </x:c>
      <x:c r="E86" s="28" t="str">
        <x:v>2026-10</x:v>
      </x:c>
      <x:c r="F86" s="28" t="str">
        <x:v>Approved case</x:v>
      </x:c>
      <x:c r="G86" s="28" t="str">
        <x:v>Emergency overtime increment limit</x:v>
      </x:c>
      <x:c r="H86" s="31" t="n">
        <x:v>0.04</x:v>
      </x:c>
      <x:c r="I86" s="28" t="str"/>
      <x:c r="J86" s="28" t="str">
        <x:v>decimal ratio</x:v>
      </x:c>
      <x:c r="K86" s="28" t="str">
        <x:v>FY27 planning assumptions - v6 controller tie.xlsx</x:v>
      </x:c>
      <x:c r="L86" s="34" t="str">
        <x:v>2026-06-30</x:v>
      </x:c>
      <x:c r="M86" s="28" t="str"/>
    </x:row>
    <x:row r="87">
      <x:c r="A87" s="37" t="str">
        <x:v>PLN-00808</x:v>
      </x:c>
      <x:c r="B87" s="28" t="str">
        <x:v>FY27 backlog delivery plan</x:v>
      </x:c>
      <x:c r="C87" s="28" t="str">
        <x:v>Capacity remediation</x:v>
      </x:c>
      <x:c r="D87" s="28" t="str">
        <x:v>All field labor</x:v>
      </x:c>
      <x:c r="E87" s="28" t="str">
        <x:v>2026-10</x:v>
      </x:c>
      <x:c r="F87" s="28" t="str">
        <x:v>Approved case</x:v>
      </x:c>
      <x:c r="G87" s="28" t="str">
        <x:v>Contingent subcontract surge hours</x:v>
      </x:c>
      <x:c r="H87" s="31" t="n">
        <x:v>2500</x:v>
      </x:c>
      <x:c r="I87" s="28" t="str"/>
      <x:c r="J87" s="28" t="str">
        <x:v>hours</x:v>
      </x:c>
      <x:c r="K87" s="28" t="str">
        <x:v>FY27 planning assumptions - v6 controller tie.xlsx</x:v>
      </x:c>
      <x:c r="L87" s="34" t="str">
        <x:v>2026-06-30</x:v>
      </x:c>
      <x:c r="M87" s="28" t="str"/>
    </x:row>
    <x:row r="88">
      <x:c r="A88" s="37" t="str">
        <x:v>PLN-00809</x:v>
      </x:c>
      <x:c r="B88" s="28" t="str">
        <x:v>FY27 backlog delivery plan</x:v>
      </x:c>
      <x:c r="C88" s="28" t="str">
        <x:v>Capacity remediation</x:v>
      </x:c>
      <x:c r="D88" s="28" t="str">
        <x:v>All field labor</x:v>
      </x:c>
      <x:c r="E88" s="28" t="str">
        <x:v>2026-10</x:v>
      </x:c>
      <x:c r="F88" s="28" t="str">
        <x:v>Approved case</x:v>
      </x:c>
      <x:c r="G88" s="28" t="str">
        <x:v>Overtime premium cost</x:v>
      </x:c>
      <x:c r="H88" s="31" t="n">
        <x:v>42.5</x:v>
      </x:c>
      <x:c r="I88" s="28" t="str"/>
      <x:c r="J88" s="28" t="str">
        <x:v>USD per hour</x:v>
      </x:c>
      <x:c r="K88" s="28" t="str">
        <x:v>FY27 planning assumptions - v6 controller tie.xlsx</x:v>
      </x:c>
      <x:c r="L88" s="34" t="str">
        <x:v>2026-06-30</x:v>
      </x:c>
      <x:c r="M88" s="28" t="str"/>
    </x:row>
    <x:row r="89">
      <x:c r="A89" s="37" t="str">
        <x:v>PLN-00810</x:v>
      </x:c>
      <x:c r="B89" s="28" t="str">
        <x:v>FY27 backlog delivery plan</x:v>
      </x:c>
      <x:c r="C89" s="28" t="str">
        <x:v>Capacity remediation</x:v>
      </x:c>
      <x:c r="D89" s="28" t="str">
        <x:v>All field labor</x:v>
      </x:c>
      <x:c r="E89" s="28" t="str">
        <x:v>2026-10</x:v>
      </x:c>
      <x:c r="F89" s="28" t="str">
        <x:v>Approved case</x:v>
      </x:c>
      <x:c r="G89" s="28" t="str">
        <x:v>Contingent subcontract cost</x:v>
      </x:c>
      <x:c r="H89" s="31" t="n">
        <x:v>125</x:v>
      </x:c>
      <x:c r="I89" s="28" t="str"/>
      <x:c r="J89" s="28" t="str">
        <x:v>USD per hour</x:v>
      </x:c>
      <x:c r="K89" s="28" t="str">
        <x:v>FY27 planning assumptions - v6 controller tie.xlsx</x:v>
      </x:c>
      <x:c r="L89" s="34" t="str">
        <x:v>2026-06-30</x:v>
      </x:c>
      <x:c r="M89" s="28" t="str"/>
    </x:row>
    <x:row r="90">
      <x:c r="A90" s="37" t="str">
        <x:v>PLN-00811</x:v>
      </x:c>
      <x:c r="B90" s="28" t="str">
        <x:v>FY27 backlog delivery plan</x:v>
      </x:c>
      <x:c r="C90" s="28" t="str">
        <x:v>Monthly capacity</x:v>
      </x:c>
      <x:c r="D90" s="28" t="str">
        <x:v>All field labor</x:v>
      </x:c>
      <x:c r="E90" s="28" t="str">
        <x:v>2026-11</x:v>
      </x:c>
      <x:c r="F90" s="28" t="str">
        <x:v>Approved case</x:v>
      </x:c>
      <x:c r="G90" s="28" t="str">
        <x:v>Productive internal hours</x:v>
      </x:c>
      <x:c r="H90" s="31" t="n">
        <x:v>32620</x:v>
      </x:c>
      <x:c r="I90" s="28" t="str"/>
      <x:c r="J90" s="28" t="str">
        <x:v>hours</x:v>
      </x:c>
      <x:c r="K90" s="28" t="str">
        <x:v>FY27 planning assumptions - v6 controller tie.xlsx</x:v>
      </x:c>
      <x:c r="L90" s="34" t="str">
        <x:v>2026-06-30</x:v>
      </x:c>
      <x:c r="M90" s="28" t="str"/>
    </x:row>
    <x:row r="91">
      <x:c r="A91" s="37" t="str">
        <x:v>PLN-00812</x:v>
      </x:c>
      <x:c r="B91" s="28" t="str">
        <x:v>FY27 backlog delivery plan</x:v>
      </x:c>
      <x:c r="C91" s="28" t="str">
        <x:v>Monthly capacity</x:v>
      </x:c>
      <x:c r="D91" s="28" t="str">
        <x:v>All field labor</x:v>
      </x:c>
      <x:c r="E91" s="28" t="str">
        <x:v>2026-11</x:v>
      </x:c>
      <x:c r="F91" s="28" t="str">
        <x:v>Approved case</x:v>
      </x:c>
      <x:c r="G91" s="28" t="str">
        <x:v>Subcontractable hours</x:v>
      </x:c>
      <x:c r="H91" s="31" t="n">
        <x:v>4500</x:v>
      </x:c>
      <x:c r="I91" s="28" t="str"/>
      <x:c r="J91" s="28" t="str">
        <x:v>hours</x:v>
      </x:c>
      <x:c r="K91" s="28" t="str">
        <x:v>FY27 planning assumptions - v6 controller tie.xlsx</x:v>
      </x:c>
      <x:c r="L91" s="34" t="str">
        <x:v>2026-06-30</x:v>
      </x:c>
      <x:c r="M91" s="28" t="str"/>
    </x:row>
    <x:row r="92">
      <x:c r="A92" s="37" t="str">
        <x:v>PLN-00813</x:v>
      </x:c>
      <x:c r="B92" s="28" t="str">
        <x:v>FY27 backlog delivery plan</x:v>
      </x:c>
      <x:c r="C92" s="28" t="str">
        <x:v>Monthly capacity</x:v>
      </x:c>
      <x:c r="D92" s="28" t="str">
        <x:v>All field labor</x:v>
      </x:c>
      <x:c r="E92" s="28" t="str">
        <x:v>2026-11</x:v>
      </x:c>
      <x:c r="F92" s="28" t="str">
        <x:v>Approved case</x:v>
      </x:c>
      <x:c r="G92" s="28" t="str">
        <x:v>Overtime limit on internal hours</x:v>
      </x:c>
      <x:c r="H92" s="31" t="n">
        <x:v>0.08</x:v>
      </x:c>
      <x:c r="I92" s="28" t="str"/>
      <x:c r="J92" s="28" t="str">
        <x:v>decimal ratio</x:v>
      </x:c>
      <x:c r="K92" s="28" t="str">
        <x:v>FY27 planning assumptions - v6 controller tie.xlsx</x:v>
      </x:c>
      <x:c r="L92" s="34" t="str">
        <x:v>2026-06-30</x:v>
      </x:c>
      <x:c r="M92" s="28" t="str"/>
    </x:row>
    <x:row r="93">
      <x:c r="A93" s="37" t="str">
        <x:v>PLN-00814</x:v>
      </x:c>
      <x:c r="B93" s="28" t="str">
        <x:v>FY27 backlog delivery plan</x:v>
      </x:c>
      <x:c r="C93" s="28" t="str">
        <x:v>Capacity remediation</x:v>
      </x:c>
      <x:c r="D93" s="28" t="str">
        <x:v>All field labor</x:v>
      </x:c>
      <x:c r="E93" s="28" t="str">
        <x:v>2026-11</x:v>
      </x:c>
      <x:c r="F93" s="28" t="str">
        <x:v>Approved case</x:v>
      </x:c>
      <x:c r="G93" s="28" t="str">
        <x:v>Emergency overtime increment limit</x:v>
      </x:c>
      <x:c r="H93" s="31" t="n">
        <x:v>0.04</x:v>
      </x:c>
      <x:c r="I93" s="28" t="str"/>
      <x:c r="J93" s="28" t="str">
        <x:v>decimal ratio</x:v>
      </x:c>
      <x:c r="K93" s="28" t="str">
        <x:v>FY27 planning assumptions - v6 controller tie.xlsx</x:v>
      </x:c>
      <x:c r="L93" s="34" t="str">
        <x:v>2026-06-30</x:v>
      </x:c>
      <x:c r="M93" s="28" t="str"/>
    </x:row>
    <x:row r="94">
      <x:c r="A94" s="37" t="str">
        <x:v>PLN-00815</x:v>
      </x:c>
      <x:c r="B94" s="28" t="str">
        <x:v>FY27 backlog delivery plan</x:v>
      </x:c>
      <x:c r="C94" s="28" t="str">
        <x:v>Capacity remediation</x:v>
      </x:c>
      <x:c r="D94" s="28" t="str">
        <x:v>All field labor</x:v>
      </x:c>
      <x:c r="E94" s="28" t="str">
        <x:v>2026-11</x:v>
      </x:c>
      <x:c r="F94" s="28" t="str">
        <x:v>Approved case</x:v>
      </x:c>
      <x:c r="G94" s="28" t="str">
        <x:v>Contingent subcontract surge hours</x:v>
      </x:c>
      <x:c r="H94" s="31" t="n">
        <x:v>2500</x:v>
      </x:c>
      <x:c r="I94" s="28" t="str"/>
      <x:c r="J94" s="28" t="str">
        <x:v>hours</x:v>
      </x:c>
      <x:c r="K94" s="28" t="str">
        <x:v>FY27 planning assumptions - v6 controller tie.xlsx</x:v>
      </x:c>
      <x:c r="L94" s="34" t="str">
        <x:v>2026-06-30</x:v>
      </x:c>
      <x:c r="M94" s="28" t="str"/>
    </x:row>
    <x:row r="95">
      <x:c r="A95" s="37" t="str">
        <x:v>PLN-00816</x:v>
      </x:c>
      <x:c r="B95" s="28" t="str">
        <x:v>FY27 backlog delivery plan</x:v>
      </x:c>
      <x:c r="C95" s="28" t="str">
        <x:v>Capacity remediation</x:v>
      </x:c>
      <x:c r="D95" s="28" t="str">
        <x:v>All field labor</x:v>
      </x:c>
      <x:c r="E95" s="28" t="str">
        <x:v>2026-11</x:v>
      </x:c>
      <x:c r="F95" s="28" t="str">
        <x:v>Approved case</x:v>
      </x:c>
      <x:c r="G95" s="28" t="str">
        <x:v>Overtime premium cost</x:v>
      </x:c>
      <x:c r="H95" s="31" t="n">
        <x:v>42.5</x:v>
      </x:c>
      <x:c r="I95" s="28" t="str"/>
      <x:c r="J95" s="28" t="str">
        <x:v>USD per hour</x:v>
      </x:c>
      <x:c r="K95" s="28" t="str">
        <x:v>FY27 planning assumptions - v6 controller tie.xlsx</x:v>
      </x:c>
      <x:c r="L95" s="34" t="str">
        <x:v>2026-06-30</x:v>
      </x:c>
      <x:c r="M95" s="28" t="str"/>
    </x:row>
    <x:row r="96">
      <x:c r="A96" s="37" t="str">
        <x:v>PLN-00817</x:v>
      </x:c>
      <x:c r="B96" s="28" t="str">
        <x:v>FY27 backlog delivery plan</x:v>
      </x:c>
      <x:c r="C96" s="28" t="str">
        <x:v>Capacity remediation</x:v>
      </x:c>
      <x:c r="D96" s="28" t="str">
        <x:v>All field labor</x:v>
      </x:c>
      <x:c r="E96" s="28" t="str">
        <x:v>2026-11</x:v>
      </x:c>
      <x:c r="F96" s="28" t="str">
        <x:v>Approved case</x:v>
      </x:c>
      <x:c r="G96" s="28" t="str">
        <x:v>Contingent subcontract cost</x:v>
      </x:c>
      <x:c r="H96" s="31" t="n">
        <x:v>125</x:v>
      </x:c>
      <x:c r="I96" s="28" t="str"/>
      <x:c r="J96" s="28" t="str">
        <x:v>USD per hour</x:v>
      </x:c>
      <x:c r="K96" s="28" t="str">
        <x:v>FY27 planning assumptions - v6 controller tie.xlsx</x:v>
      </x:c>
      <x:c r="L96" s="34" t="str">
        <x:v>2026-06-30</x:v>
      </x:c>
      <x:c r="M96" s="28" t="str"/>
    </x:row>
    <x:row r="97">
      <x:c r="A97" s="37" t="str">
        <x:v>PLN-00818</x:v>
      </x:c>
      <x:c r="B97" s="28" t="str">
        <x:v>FY27 backlog delivery plan</x:v>
      </x:c>
      <x:c r="C97" s="28" t="str">
        <x:v>Monthly capacity</x:v>
      </x:c>
      <x:c r="D97" s="28" t="str">
        <x:v>All field labor</x:v>
      </x:c>
      <x:c r="E97" s="28" t="str">
        <x:v>2026-12</x:v>
      </x:c>
      <x:c r="F97" s="28" t="str">
        <x:v>Approved case</x:v>
      </x:c>
      <x:c r="G97" s="28" t="str">
        <x:v>Productive internal hours</x:v>
      </x:c>
      <x:c r="H97" s="31" t="n">
        <x:v>30100</x:v>
      </x:c>
      <x:c r="I97" s="28" t="str"/>
      <x:c r="J97" s="28" t="str">
        <x:v>hours</x:v>
      </x:c>
      <x:c r="K97" s="28" t="str">
        <x:v>FY27 planning assumptions - v6 controller tie.xlsx</x:v>
      </x:c>
      <x:c r="L97" s="34" t="str">
        <x:v>2026-06-30</x:v>
      </x:c>
      <x:c r="M97" s="28" t="str"/>
    </x:row>
    <x:row r="98">
      <x:c r="A98" s="37" t="str">
        <x:v>PLN-00819</x:v>
      </x:c>
      <x:c r="B98" s="28" t="str">
        <x:v>FY27 backlog delivery plan</x:v>
      </x:c>
      <x:c r="C98" s="28" t="str">
        <x:v>Monthly capacity</x:v>
      </x:c>
      <x:c r="D98" s="28" t="str">
        <x:v>All field labor</x:v>
      </x:c>
      <x:c r="E98" s="28" t="str">
        <x:v>2026-12</x:v>
      </x:c>
      <x:c r="F98" s="28" t="str">
        <x:v>Approved case</x:v>
      </x:c>
      <x:c r="G98" s="28" t="str">
        <x:v>Subcontractable hours</x:v>
      </x:c>
      <x:c r="H98" s="31" t="n">
        <x:v>4500</x:v>
      </x:c>
      <x:c r="I98" s="28" t="str"/>
      <x:c r="J98" s="28" t="str">
        <x:v>hours</x:v>
      </x:c>
      <x:c r="K98" s="28" t="str">
        <x:v>FY27 planning assumptions - v6 controller tie.xlsx</x:v>
      </x:c>
      <x:c r="L98" s="34" t="str">
        <x:v>2026-06-30</x:v>
      </x:c>
      <x:c r="M98" s="28" t="str"/>
    </x:row>
    <x:row r="99">
      <x:c r="A99" s="37" t="str">
        <x:v>PLN-00820</x:v>
      </x:c>
      <x:c r="B99" s="28" t="str">
        <x:v>FY27 backlog delivery plan</x:v>
      </x:c>
      <x:c r="C99" s="28" t="str">
        <x:v>Monthly capacity</x:v>
      </x:c>
      <x:c r="D99" s="28" t="str">
        <x:v>All field labor</x:v>
      </x:c>
      <x:c r="E99" s="28" t="str">
        <x:v>2026-12</x:v>
      </x:c>
      <x:c r="F99" s="28" t="str">
        <x:v>Approved case</x:v>
      </x:c>
      <x:c r="G99" s="28" t="str">
        <x:v>Overtime limit on internal hours</x:v>
      </x:c>
      <x:c r="H99" s="31" t="n">
        <x:v>0.08</x:v>
      </x:c>
      <x:c r="I99" s="28" t="str"/>
      <x:c r="J99" s="28" t="str">
        <x:v>decimal ratio</x:v>
      </x:c>
      <x:c r="K99" s="28" t="str">
        <x:v>FY27 planning assumptions - v6 controller tie.xlsx</x:v>
      </x:c>
      <x:c r="L99" s="34" t="str">
        <x:v>2026-06-30</x:v>
      </x:c>
      <x:c r="M99" s="28" t="str"/>
    </x:row>
    <x:row r="100">
      <x:c r="A100" s="37" t="str">
        <x:v>PLN-00821</x:v>
      </x:c>
      <x:c r="B100" s="28" t="str">
        <x:v>FY27 backlog delivery plan</x:v>
      </x:c>
      <x:c r="C100" s="28" t="str">
        <x:v>Capacity remediation</x:v>
      </x:c>
      <x:c r="D100" s="28" t="str">
        <x:v>All field labor</x:v>
      </x:c>
      <x:c r="E100" s="28" t="str">
        <x:v>2026-12</x:v>
      </x:c>
      <x:c r="F100" s="28" t="str">
        <x:v>Approved case</x:v>
      </x:c>
      <x:c r="G100" s="28" t="str">
        <x:v>Emergency overtime increment limit</x:v>
      </x:c>
      <x:c r="H100" s="31" t="n">
        <x:v>0.04</x:v>
      </x:c>
      <x:c r="I100" s="28" t="str"/>
      <x:c r="J100" s="28" t="str">
        <x:v>decimal ratio</x:v>
      </x:c>
      <x:c r="K100" s="28" t="str">
        <x:v>FY27 planning assumptions - v6 controller tie.xlsx</x:v>
      </x:c>
      <x:c r="L100" s="34" t="str">
        <x:v>2026-06-30</x:v>
      </x:c>
      <x:c r="M100" s="28" t="str"/>
    </x:row>
    <x:row r="101">
      <x:c r="A101" s="37" t="str">
        <x:v>PLN-00822</x:v>
      </x:c>
      <x:c r="B101" s="28" t="str">
        <x:v>FY27 backlog delivery plan</x:v>
      </x:c>
      <x:c r="C101" s="28" t="str">
        <x:v>Capacity remediation</x:v>
      </x:c>
      <x:c r="D101" s="28" t="str">
        <x:v>All field labor</x:v>
      </x:c>
      <x:c r="E101" s="28" t="str">
        <x:v>2026-12</x:v>
      </x:c>
      <x:c r="F101" s="28" t="str">
        <x:v>Approved case</x:v>
      </x:c>
      <x:c r="G101" s="28" t="str">
        <x:v>Contingent subcontract surge hours</x:v>
      </x:c>
      <x:c r="H101" s="31" t="n">
        <x:v>2500</x:v>
      </x:c>
      <x:c r="I101" s="28" t="str"/>
      <x:c r="J101" s="28" t="str">
        <x:v>hours</x:v>
      </x:c>
      <x:c r="K101" s="28" t="str">
        <x:v>FY27 planning assumptions - v6 controller tie.xlsx</x:v>
      </x:c>
      <x:c r="L101" s="34" t="str">
        <x:v>2026-06-30</x:v>
      </x:c>
      <x:c r="M101" s="28" t="str"/>
    </x:row>
    <x:row r="102">
      <x:c r="A102" s="37" t="str">
        <x:v>PLN-00823</x:v>
      </x:c>
      <x:c r="B102" s="28" t="str">
        <x:v>FY27 backlog delivery plan</x:v>
      </x:c>
      <x:c r="C102" s="28" t="str">
        <x:v>Capacity remediation</x:v>
      </x:c>
      <x:c r="D102" s="28" t="str">
        <x:v>All field labor</x:v>
      </x:c>
      <x:c r="E102" s="28" t="str">
        <x:v>2026-12</x:v>
      </x:c>
      <x:c r="F102" s="28" t="str">
        <x:v>Approved case</x:v>
      </x:c>
      <x:c r="G102" s="28" t="str">
        <x:v>Overtime premium cost</x:v>
      </x:c>
      <x:c r="H102" s="31" t="n">
        <x:v>42.5</x:v>
      </x:c>
      <x:c r="I102" s="28" t="str"/>
      <x:c r="J102" s="28" t="str">
        <x:v>USD per hour</x:v>
      </x:c>
      <x:c r="K102" s="28" t="str">
        <x:v>FY27 planning assumptions - v6 controller tie.xlsx</x:v>
      </x:c>
      <x:c r="L102" s="34" t="str">
        <x:v>2026-06-30</x:v>
      </x:c>
      <x:c r="M102" s="28" t="str"/>
    </x:row>
    <x:row r="103">
      <x:c r="A103" s="37" t="str">
        <x:v>PLN-00824</x:v>
      </x:c>
      <x:c r="B103" s="28" t="str">
        <x:v>FY27 backlog delivery plan</x:v>
      </x:c>
      <x:c r="C103" s="28" t="str">
        <x:v>Capacity remediation</x:v>
      </x:c>
      <x:c r="D103" s="28" t="str">
        <x:v>All field labor</x:v>
      </x:c>
      <x:c r="E103" s="28" t="str">
        <x:v>2026-12</x:v>
      </x:c>
      <x:c r="F103" s="28" t="str">
        <x:v>Approved case</x:v>
      </x:c>
      <x:c r="G103" s="28" t="str">
        <x:v>Contingent subcontract cost</x:v>
      </x:c>
      <x:c r="H103" s="31" t="n">
        <x:v>125</x:v>
      </x:c>
      <x:c r="I103" s="28" t="str"/>
      <x:c r="J103" s="28" t="str">
        <x:v>USD per hour</x:v>
      </x:c>
      <x:c r="K103" s="28" t="str">
        <x:v>FY27 planning assumptions - v6 controller tie.xlsx</x:v>
      </x:c>
      <x:c r="L103" s="34" t="str">
        <x:v>2026-06-30</x:v>
      </x:c>
      <x:c r="M103" s="28" t="str"/>
    </x:row>
    <x:row r="104">
      <x:c r="A104" s="37" t="str">
        <x:v>PLN-00825</x:v>
      </x:c>
      <x:c r="B104" s="28" t="str">
        <x:v>FY27 backlog delivery plan</x:v>
      </x:c>
      <x:c r="C104" s="28" t="str">
        <x:v>Monthly capacity</x:v>
      </x:c>
      <x:c r="D104" s="28" t="str">
        <x:v>All field labor</x:v>
      </x:c>
      <x:c r="E104" s="28" t="str">
        <x:v>2027-01</x:v>
      </x:c>
      <x:c r="F104" s="28" t="str">
        <x:v>Approved case</x:v>
      </x:c>
      <x:c r="G104" s="28" t="str">
        <x:v>Productive internal hours</x:v>
      </x:c>
      <x:c r="H104" s="31" t="n">
        <x:v>30380</x:v>
      </x:c>
      <x:c r="I104" s="28" t="str"/>
      <x:c r="J104" s="28" t="str">
        <x:v>hours</x:v>
      </x:c>
      <x:c r="K104" s="28" t="str">
        <x:v>FY27 planning assumptions - v6 controller tie.xlsx</x:v>
      </x:c>
      <x:c r="L104" s="34" t="str">
        <x:v>2026-06-30</x:v>
      </x:c>
      <x:c r="M104" s="28" t="str"/>
    </x:row>
    <x:row r="105">
      <x:c r="A105" s="37" t="str">
        <x:v>PLN-00826</x:v>
      </x:c>
      <x:c r="B105" s="28" t="str">
        <x:v>FY27 backlog delivery plan</x:v>
      </x:c>
      <x:c r="C105" s="28" t="str">
        <x:v>Monthly capacity</x:v>
      </x:c>
      <x:c r="D105" s="28" t="str">
        <x:v>All field labor</x:v>
      </x:c>
      <x:c r="E105" s="28" t="str">
        <x:v>2027-01</x:v>
      </x:c>
      <x:c r="F105" s="28" t="str">
        <x:v>Approved case</x:v>
      </x:c>
      <x:c r="G105" s="28" t="str">
        <x:v>Subcontractable hours</x:v>
      </x:c>
      <x:c r="H105" s="31" t="n">
        <x:v>4500</x:v>
      </x:c>
      <x:c r="I105" s="28" t="str"/>
      <x:c r="J105" s="28" t="str">
        <x:v>hours</x:v>
      </x:c>
      <x:c r="K105" s="28" t="str">
        <x:v>FY27 planning assumptions - v6 controller tie.xlsx</x:v>
      </x:c>
      <x:c r="L105" s="34" t="str">
        <x:v>2026-06-30</x:v>
      </x:c>
      <x:c r="M105" s="28" t="str"/>
    </x:row>
    <x:row r="106">
      <x:c r="A106" s="37" t="str">
        <x:v>PLN-00827</x:v>
      </x:c>
      <x:c r="B106" s="28" t="str">
        <x:v>FY27 backlog delivery plan</x:v>
      </x:c>
      <x:c r="C106" s="28" t="str">
        <x:v>Monthly capacity</x:v>
      </x:c>
      <x:c r="D106" s="28" t="str">
        <x:v>All field labor</x:v>
      </x:c>
      <x:c r="E106" s="28" t="str">
        <x:v>2027-01</x:v>
      </x:c>
      <x:c r="F106" s="28" t="str">
        <x:v>Approved case</x:v>
      </x:c>
      <x:c r="G106" s="28" t="str">
        <x:v>Overtime limit on internal hours</x:v>
      </x:c>
      <x:c r="H106" s="31" t="n">
        <x:v>0.08</x:v>
      </x:c>
      <x:c r="I106" s="28" t="str"/>
      <x:c r="J106" s="28" t="str">
        <x:v>decimal ratio</x:v>
      </x:c>
      <x:c r="K106" s="28" t="str">
        <x:v>FY27 planning assumptions - v6 controller tie.xlsx</x:v>
      </x:c>
      <x:c r="L106" s="34" t="str">
        <x:v>2026-06-30</x:v>
      </x:c>
      <x:c r="M106" s="28" t="str"/>
    </x:row>
    <x:row r="107">
      <x:c r="A107" s="37" t="str">
        <x:v>PLN-00828</x:v>
      </x:c>
      <x:c r="B107" s="28" t="str">
        <x:v>FY27 backlog delivery plan</x:v>
      </x:c>
      <x:c r="C107" s="28" t="str">
        <x:v>Capacity remediation</x:v>
      </x:c>
      <x:c r="D107" s="28" t="str">
        <x:v>All field labor</x:v>
      </x:c>
      <x:c r="E107" s="28" t="str">
        <x:v>2027-01</x:v>
      </x:c>
      <x:c r="F107" s="28" t="str">
        <x:v>Approved case</x:v>
      </x:c>
      <x:c r="G107" s="28" t="str">
        <x:v>Emergency overtime increment limit</x:v>
      </x:c>
      <x:c r="H107" s="31" t="n">
        <x:v>0.04</x:v>
      </x:c>
      <x:c r="I107" s="28" t="str"/>
      <x:c r="J107" s="28" t="str">
        <x:v>decimal ratio</x:v>
      </x:c>
      <x:c r="K107" s="28" t="str">
        <x:v>FY27 planning assumptions - v6 controller tie.xlsx</x:v>
      </x:c>
      <x:c r="L107" s="34" t="str">
        <x:v>2026-06-30</x:v>
      </x:c>
      <x:c r="M107" s="28" t="str"/>
    </x:row>
    <x:row r="108">
      <x:c r="A108" s="37" t="str">
        <x:v>PLN-00829</x:v>
      </x:c>
      <x:c r="B108" s="28" t="str">
        <x:v>FY27 backlog delivery plan</x:v>
      </x:c>
      <x:c r="C108" s="28" t="str">
        <x:v>Capacity remediation</x:v>
      </x:c>
      <x:c r="D108" s="28" t="str">
        <x:v>All field labor</x:v>
      </x:c>
      <x:c r="E108" s="28" t="str">
        <x:v>2027-01</x:v>
      </x:c>
      <x:c r="F108" s="28" t="str">
        <x:v>Approved case</x:v>
      </x:c>
      <x:c r="G108" s="28" t="str">
        <x:v>Contingent subcontract surge hours</x:v>
      </x:c>
      <x:c r="H108" s="31" t="n">
        <x:v>2500</x:v>
      </x:c>
      <x:c r="I108" s="28" t="str"/>
      <x:c r="J108" s="28" t="str">
        <x:v>hours</x:v>
      </x:c>
      <x:c r="K108" s="28" t="str">
        <x:v>FY27 planning assumptions - v6 controller tie.xlsx</x:v>
      </x:c>
      <x:c r="L108" s="34" t="str">
        <x:v>2026-06-30</x:v>
      </x:c>
      <x:c r="M108" s="28" t="str"/>
    </x:row>
    <x:row r="109">
      <x:c r="A109" s="37" t="str">
        <x:v>PLN-00830</x:v>
      </x:c>
      <x:c r="B109" s="28" t="str">
        <x:v>FY27 backlog delivery plan</x:v>
      </x:c>
      <x:c r="C109" s="28" t="str">
        <x:v>Capacity remediation</x:v>
      </x:c>
      <x:c r="D109" s="28" t="str">
        <x:v>All field labor</x:v>
      </x:c>
      <x:c r="E109" s="28" t="str">
        <x:v>2027-01</x:v>
      </x:c>
      <x:c r="F109" s="28" t="str">
        <x:v>Approved case</x:v>
      </x:c>
      <x:c r="G109" s="28" t="str">
        <x:v>Overtime premium cost</x:v>
      </x:c>
      <x:c r="H109" s="31" t="n">
        <x:v>42.5</x:v>
      </x:c>
      <x:c r="I109" s="28" t="str"/>
      <x:c r="J109" s="28" t="str">
        <x:v>USD per hour</x:v>
      </x:c>
      <x:c r="K109" s="28" t="str">
        <x:v>FY27 planning assumptions - v6 controller tie.xlsx</x:v>
      </x:c>
      <x:c r="L109" s="34" t="str">
        <x:v>2026-06-30</x:v>
      </x:c>
      <x:c r="M109" s="28" t="str"/>
    </x:row>
    <x:row r="110">
      <x:c r="A110" s="37" t="str">
        <x:v>PLN-00831</x:v>
      </x:c>
      <x:c r="B110" s="28" t="str">
        <x:v>FY27 backlog delivery plan</x:v>
      </x:c>
      <x:c r="C110" s="28" t="str">
        <x:v>Capacity remediation</x:v>
      </x:c>
      <x:c r="D110" s="28" t="str">
        <x:v>All field labor</x:v>
      </x:c>
      <x:c r="E110" s="28" t="str">
        <x:v>2027-01</x:v>
      </x:c>
      <x:c r="F110" s="28" t="str">
        <x:v>Approved case</x:v>
      </x:c>
      <x:c r="G110" s="28" t="str">
        <x:v>Contingent subcontract cost</x:v>
      </x:c>
      <x:c r="H110" s="31" t="n">
        <x:v>125</x:v>
      </x:c>
      <x:c r="I110" s="28" t="str"/>
      <x:c r="J110" s="28" t="str">
        <x:v>USD per hour</x:v>
      </x:c>
      <x:c r="K110" s="28" t="str">
        <x:v>FY27 planning assumptions - v6 controller tie.xlsx</x:v>
      </x:c>
      <x:c r="L110" s="34" t="str">
        <x:v>2026-06-30</x:v>
      </x:c>
      <x:c r="M110" s="28" t="str"/>
    </x:row>
    <x:row r="111">
      <x:c r="A111" s="37" t="str">
        <x:v>PLN-00832</x:v>
      </x:c>
      <x:c r="B111" s="28" t="str">
        <x:v>FY27 backlog delivery plan</x:v>
      </x:c>
      <x:c r="C111" s="28" t="str">
        <x:v>Monthly capacity</x:v>
      </x:c>
      <x:c r="D111" s="28" t="str">
        <x:v>All field labor</x:v>
      </x:c>
      <x:c r="E111" s="28" t="str">
        <x:v>2027-02</x:v>
      </x:c>
      <x:c r="F111" s="28" t="str">
        <x:v>Approved case</x:v>
      </x:c>
      <x:c r="G111" s="28" t="str">
        <x:v>Productive internal hours</x:v>
      </x:c>
      <x:c r="H111" s="31" t="n">
        <x:v>33460</x:v>
      </x:c>
      <x:c r="I111" s="28" t="str"/>
      <x:c r="J111" s="28" t="str">
        <x:v>hours</x:v>
      </x:c>
      <x:c r="K111" s="28" t="str">
        <x:v>FY27 planning assumptions - v6 controller tie.xlsx</x:v>
      </x:c>
      <x:c r="L111" s="34" t="str">
        <x:v>2026-06-30</x:v>
      </x:c>
      <x:c r="M111" s="28" t="str"/>
    </x:row>
    <x:row r="112">
      <x:c r="A112" s="37" t="str">
        <x:v>PLN-00833</x:v>
      </x:c>
      <x:c r="B112" s="28" t="str">
        <x:v>FY27 backlog delivery plan</x:v>
      </x:c>
      <x:c r="C112" s="28" t="str">
        <x:v>Monthly capacity</x:v>
      </x:c>
      <x:c r="D112" s="28" t="str">
        <x:v>All field labor</x:v>
      </x:c>
      <x:c r="E112" s="28" t="str">
        <x:v>2027-02</x:v>
      </x:c>
      <x:c r="F112" s="28" t="str">
        <x:v>Approved case</x:v>
      </x:c>
      <x:c r="G112" s="28" t="str">
        <x:v>Subcontractable hours</x:v>
      </x:c>
      <x:c r="H112" s="31" t="n">
        <x:v>3200</x:v>
      </x:c>
      <x:c r="I112" s="28" t="str"/>
      <x:c r="J112" s="28" t="str">
        <x:v>hours</x:v>
      </x:c>
      <x:c r="K112" s="28" t="str">
        <x:v>FY27 planning assumptions - v6 controller tie.xlsx</x:v>
      </x:c>
      <x:c r="L112" s="34" t="str">
        <x:v>2026-06-30</x:v>
      </x:c>
      <x:c r="M112" s="28" t="str"/>
    </x:row>
    <x:row r="113">
      <x:c r="A113" s="37" t="str">
        <x:v>PLN-00834</x:v>
      </x:c>
      <x:c r="B113" s="28" t="str">
        <x:v>FY27 backlog delivery plan</x:v>
      </x:c>
      <x:c r="C113" s="28" t="str">
        <x:v>Monthly capacity</x:v>
      </x:c>
      <x:c r="D113" s="28" t="str">
        <x:v>All field labor</x:v>
      </x:c>
      <x:c r="E113" s="28" t="str">
        <x:v>2027-02</x:v>
      </x:c>
      <x:c r="F113" s="28" t="str">
        <x:v>Approved case</x:v>
      </x:c>
      <x:c r="G113" s="28" t="str">
        <x:v>Overtime limit on internal hours</x:v>
      </x:c>
      <x:c r="H113" s="31" t="n">
        <x:v>0.08</x:v>
      </x:c>
      <x:c r="I113" s="28" t="str"/>
      <x:c r="J113" s="28" t="str">
        <x:v>decimal ratio</x:v>
      </x:c>
      <x:c r="K113" s="28" t="str">
        <x:v>FY27 planning assumptions - v6 controller tie.xlsx</x:v>
      </x:c>
      <x:c r="L113" s="34" t="str">
        <x:v>2026-06-30</x:v>
      </x:c>
      <x:c r="M113" s="28" t="str"/>
    </x:row>
    <x:row r="114">
      <x:c r="A114" s="37" t="str">
        <x:v>PLN-00835</x:v>
      </x:c>
      <x:c r="B114" s="28" t="str">
        <x:v>FY27 backlog delivery plan</x:v>
      </x:c>
      <x:c r="C114" s="28" t="str">
        <x:v>Capacity remediation</x:v>
      </x:c>
      <x:c r="D114" s="28" t="str">
        <x:v>All field labor</x:v>
      </x:c>
      <x:c r="E114" s="28" t="str">
        <x:v>2027-02</x:v>
      </x:c>
      <x:c r="F114" s="28" t="str">
        <x:v>Approved case</x:v>
      </x:c>
      <x:c r="G114" s="28" t="str">
        <x:v>Emergency overtime increment limit</x:v>
      </x:c>
      <x:c r="H114" s="31" t="n">
        <x:v>0.04</x:v>
      </x:c>
      <x:c r="I114" s="28" t="str"/>
      <x:c r="J114" s="28" t="str">
        <x:v>decimal ratio</x:v>
      </x:c>
      <x:c r="K114" s="28" t="str">
        <x:v>FY27 planning assumptions - v6 controller tie.xlsx</x:v>
      </x:c>
      <x:c r="L114" s="34" t="str">
        <x:v>2026-06-30</x:v>
      </x:c>
      <x:c r="M114" s="28" t="str"/>
    </x:row>
    <x:row r="115">
      <x:c r="A115" s="37" t="str">
        <x:v>PLN-00836</x:v>
      </x:c>
      <x:c r="B115" s="28" t="str">
        <x:v>FY27 backlog delivery plan</x:v>
      </x:c>
      <x:c r="C115" s="28" t="str">
        <x:v>Capacity remediation</x:v>
      </x:c>
      <x:c r="D115" s="28" t="str">
        <x:v>All field labor</x:v>
      </x:c>
      <x:c r="E115" s="28" t="str">
        <x:v>2027-02</x:v>
      </x:c>
      <x:c r="F115" s="28" t="str">
        <x:v>Approved case</x:v>
      </x:c>
      <x:c r="G115" s="28" t="str">
        <x:v>Contingent subcontract surge hours</x:v>
      </x:c>
      <x:c r="H115" s="31" t="n">
        <x:v>4000</x:v>
      </x:c>
      <x:c r="I115" s="28" t="str"/>
      <x:c r="J115" s="28" t="str">
        <x:v>hours</x:v>
      </x:c>
      <x:c r="K115" s="28" t="str">
        <x:v>FY27 planning assumptions - v6 controller tie.xlsx</x:v>
      </x:c>
      <x:c r="L115" s="34" t="str">
        <x:v>2026-06-30</x:v>
      </x:c>
      <x:c r="M115" s="28" t="str"/>
    </x:row>
    <x:row r="116">
      <x:c r="A116" s="37" t="str">
        <x:v>PLN-00837</x:v>
      </x:c>
      <x:c r="B116" s="28" t="str">
        <x:v>FY27 backlog delivery plan</x:v>
      </x:c>
      <x:c r="C116" s="28" t="str">
        <x:v>Capacity remediation</x:v>
      </x:c>
      <x:c r="D116" s="28" t="str">
        <x:v>All field labor</x:v>
      </x:c>
      <x:c r="E116" s="28" t="str">
        <x:v>2027-02</x:v>
      </x:c>
      <x:c r="F116" s="28" t="str">
        <x:v>Approved case</x:v>
      </x:c>
      <x:c r="G116" s="28" t="str">
        <x:v>Overtime premium cost</x:v>
      </x:c>
      <x:c r="H116" s="31" t="n">
        <x:v>42.5</x:v>
      </x:c>
      <x:c r="I116" s="28" t="str"/>
      <x:c r="J116" s="28" t="str">
        <x:v>USD per hour</x:v>
      </x:c>
      <x:c r="K116" s="28" t="str">
        <x:v>FY27 planning assumptions - v6 controller tie.xlsx</x:v>
      </x:c>
      <x:c r="L116" s="34" t="str">
        <x:v>2026-06-30</x:v>
      </x:c>
      <x:c r="M116" s="28" t="str"/>
    </x:row>
    <x:row r="117">
      <x:c r="A117" s="37" t="str">
        <x:v>PLN-00838</x:v>
      </x:c>
      <x:c r="B117" s="28" t="str">
        <x:v>FY27 backlog delivery plan</x:v>
      </x:c>
      <x:c r="C117" s="28" t="str">
        <x:v>Capacity remediation</x:v>
      </x:c>
      <x:c r="D117" s="28" t="str">
        <x:v>All field labor</x:v>
      </x:c>
      <x:c r="E117" s="28" t="str">
        <x:v>2027-02</x:v>
      </x:c>
      <x:c r="F117" s="28" t="str">
        <x:v>Approved case</x:v>
      </x:c>
      <x:c r="G117" s="28" t="str">
        <x:v>Contingent subcontract cost</x:v>
      </x:c>
      <x:c r="H117" s="31" t="n">
        <x:v>125</x:v>
      </x:c>
      <x:c r="I117" s="28" t="str"/>
      <x:c r="J117" s="28" t="str">
        <x:v>USD per hour</x:v>
      </x:c>
      <x:c r="K117" s="28" t="str">
        <x:v>FY27 planning assumptions - v6 controller tie.xlsx</x:v>
      </x:c>
      <x:c r="L117" s="34" t="str">
        <x:v>2026-06-30</x:v>
      </x:c>
      <x:c r="M117" s="28" t="str"/>
    </x:row>
    <x:row r="118">
      <x:c r="A118" s="37" t="str">
        <x:v>PLN-00839</x:v>
      </x:c>
      <x:c r="B118" s="28" t="str">
        <x:v>FY27 backlog delivery plan</x:v>
      </x:c>
      <x:c r="C118" s="28" t="str">
        <x:v>Monthly capacity</x:v>
      </x:c>
      <x:c r="D118" s="28" t="str">
        <x:v>All field labor</x:v>
      </x:c>
      <x:c r="E118" s="28" t="str">
        <x:v>2027-03</x:v>
      </x:c>
      <x:c r="F118" s="28" t="str">
        <x:v>Approved case</x:v>
      </x:c>
      <x:c r="G118" s="28" t="str">
        <x:v>Productive internal hours</x:v>
      </x:c>
      <x:c r="H118" s="31" t="n">
        <x:v>33740</x:v>
      </x:c>
      <x:c r="I118" s="28" t="str"/>
      <x:c r="J118" s="28" t="str">
        <x:v>hours</x:v>
      </x:c>
      <x:c r="K118" s="28" t="str">
        <x:v>FY27 planning assumptions - v6 controller tie.xlsx</x:v>
      </x:c>
      <x:c r="L118" s="34" t="str">
        <x:v>2026-06-30</x:v>
      </x:c>
      <x:c r="M118" s="28" t="str"/>
    </x:row>
    <x:row r="119">
      <x:c r="A119" s="37" t="str">
        <x:v>PLN-00840</x:v>
      </x:c>
      <x:c r="B119" s="28" t="str">
        <x:v>FY27 backlog delivery plan</x:v>
      </x:c>
      <x:c r="C119" s="28" t="str">
        <x:v>Monthly capacity</x:v>
      </x:c>
      <x:c r="D119" s="28" t="str">
        <x:v>All field labor</x:v>
      </x:c>
      <x:c r="E119" s="28" t="str">
        <x:v>2027-03</x:v>
      </x:c>
      <x:c r="F119" s="28" t="str">
        <x:v>Approved case</x:v>
      </x:c>
      <x:c r="G119" s="28" t="str">
        <x:v>Subcontractable hours</x:v>
      </x:c>
      <x:c r="H119" s="31" t="n">
        <x:v>3200</x:v>
      </x:c>
      <x:c r="I119" s="28" t="str"/>
      <x:c r="J119" s="28" t="str">
        <x:v>hours</x:v>
      </x:c>
      <x:c r="K119" s="28" t="str">
        <x:v>FY27 planning assumptions - v6 controller tie.xlsx</x:v>
      </x:c>
      <x:c r="L119" s="34" t="str">
        <x:v>2026-06-30</x:v>
      </x:c>
      <x:c r="M119" s="28" t="str"/>
    </x:row>
    <x:row r="120">
      <x:c r="A120" s="37" t="str">
        <x:v>PLN-00841</x:v>
      </x:c>
      <x:c r="B120" s="28" t="str">
        <x:v>FY27 backlog delivery plan</x:v>
      </x:c>
      <x:c r="C120" s="28" t="str">
        <x:v>Monthly capacity</x:v>
      </x:c>
      <x:c r="D120" s="28" t="str">
        <x:v>All field labor</x:v>
      </x:c>
      <x:c r="E120" s="28" t="str">
        <x:v>2027-03</x:v>
      </x:c>
      <x:c r="F120" s="28" t="str">
        <x:v>Approved case</x:v>
      </x:c>
      <x:c r="G120" s="28" t="str">
        <x:v>Overtime limit on internal hours</x:v>
      </x:c>
      <x:c r="H120" s="31" t="n">
        <x:v>0.05</x:v>
      </x:c>
      <x:c r="I120" s="28" t="str"/>
      <x:c r="J120" s="28" t="str">
        <x:v>decimal ratio</x:v>
      </x:c>
      <x:c r="K120" s="28" t="str">
        <x:v>FY27 planning assumptions - v6 controller tie.xlsx</x:v>
      </x:c>
      <x:c r="L120" s="34" t="str">
        <x:v>2026-06-30</x:v>
      </x:c>
      <x:c r="M120" s="28" t="str"/>
    </x:row>
    <x:row r="121">
      <x:c r="A121" s="37" t="str">
        <x:v>PLN-00842</x:v>
      </x:c>
      <x:c r="B121" s="28" t="str">
        <x:v>FY27 backlog delivery plan</x:v>
      </x:c>
      <x:c r="C121" s="28" t="str">
        <x:v>Capacity remediation</x:v>
      </x:c>
      <x:c r="D121" s="28" t="str">
        <x:v>All field labor</x:v>
      </x:c>
      <x:c r="E121" s="28" t="str">
        <x:v>2027-03</x:v>
      </x:c>
      <x:c r="F121" s="28" t="str">
        <x:v>Approved case</x:v>
      </x:c>
      <x:c r="G121" s="28" t="str">
        <x:v>Emergency overtime increment limit</x:v>
      </x:c>
      <x:c r="H121" s="31" t="n">
        <x:v>0.04</x:v>
      </x:c>
      <x:c r="I121" s="28" t="str"/>
      <x:c r="J121" s="28" t="str">
        <x:v>decimal ratio</x:v>
      </x:c>
      <x:c r="K121" s="28" t="str">
        <x:v>FY27 planning assumptions - v6 controller tie.xlsx</x:v>
      </x:c>
      <x:c r="L121" s="34" t="str">
        <x:v>2026-06-30</x:v>
      </x:c>
      <x:c r="M121" s="28" t="str"/>
    </x:row>
    <x:row r="122">
      <x:c r="A122" s="37" t="str">
        <x:v>PLN-00843</x:v>
      </x:c>
      <x:c r="B122" s="28" t="str">
        <x:v>FY27 backlog delivery plan</x:v>
      </x:c>
      <x:c r="C122" s="28" t="str">
        <x:v>Capacity remediation</x:v>
      </x:c>
      <x:c r="D122" s="28" t="str">
        <x:v>All field labor</x:v>
      </x:c>
      <x:c r="E122" s="28" t="str">
        <x:v>2027-03</x:v>
      </x:c>
      <x:c r="F122" s="28" t="str">
        <x:v>Approved case</x:v>
      </x:c>
      <x:c r="G122" s="28" t="str">
        <x:v>Contingent subcontract surge hours</x:v>
      </x:c>
      <x:c r="H122" s="31" t="n">
        <x:v>4000</x:v>
      </x:c>
      <x:c r="I122" s="28" t="str"/>
      <x:c r="J122" s="28" t="str">
        <x:v>hours</x:v>
      </x:c>
      <x:c r="K122" s="28" t="str">
        <x:v>FY27 planning assumptions - v6 controller tie.xlsx</x:v>
      </x:c>
      <x:c r="L122" s="34" t="str">
        <x:v>2026-06-30</x:v>
      </x:c>
      <x:c r="M122" s="28" t="str"/>
    </x:row>
    <x:row r="123">
      <x:c r="A123" s="37" t="str">
        <x:v>PLN-00844</x:v>
      </x:c>
      <x:c r="B123" s="28" t="str">
        <x:v>FY27 backlog delivery plan</x:v>
      </x:c>
      <x:c r="C123" s="28" t="str">
        <x:v>Capacity remediation</x:v>
      </x:c>
      <x:c r="D123" s="28" t="str">
        <x:v>All field labor</x:v>
      </x:c>
      <x:c r="E123" s="28" t="str">
        <x:v>2027-03</x:v>
      </x:c>
      <x:c r="F123" s="28" t="str">
        <x:v>Approved case</x:v>
      </x:c>
      <x:c r="G123" s="28" t="str">
        <x:v>Overtime premium cost</x:v>
      </x:c>
      <x:c r="H123" s="31" t="n">
        <x:v>42.5</x:v>
      </x:c>
      <x:c r="I123" s="28" t="str"/>
      <x:c r="J123" s="28" t="str">
        <x:v>USD per hour</x:v>
      </x:c>
      <x:c r="K123" s="28" t="str">
        <x:v>FY27 planning assumptions - v6 controller tie.xlsx</x:v>
      </x:c>
      <x:c r="L123" s="34" t="str">
        <x:v>2026-06-30</x:v>
      </x:c>
      <x:c r="M123" s="28" t="str"/>
    </x:row>
    <x:row r="124">
      <x:c r="A124" s="37" t="str">
        <x:v>PLN-00845</x:v>
      </x:c>
      <x:c r="B124" s="28" t="str">
        <x:v>FY27 backlog delivery plan</x:v>
      </x:c>
      <x:c r="C124" s="28" t="str">
        <x:v>Capacity remediation</x:v>
      </x:c>
      <x:c r="D124" s="28" t="str">
        <x:v>All field labor</x:v>
      </x:c>
      <x:c r="E124" s="28" t="str">
        <x:v>2027-03</x:v>
      </x:c>
      <x:c r="F124" s="28" t="str">
        <x:v>Approved case</x:v>
      </x:c>
      <x:c r="G124" s="28" t="str">
        <x:v>Contingent subcontract cost</x:v>
      </x:c>
      <x:c r="H124" s="31" t="n">
        <x:v>125</x:v>
      </x:c>
      <x:c r="I124" s="28" t="str"/>
      <x:c r="J124" s="28" t="str">
        <x:v>USD per hour</x:v>
      </x:c>
      <x:c r="K124" s="28" t="str">
        <x:v>FY27 planning assumptions - v6 controller tie.xlsx</x:v>
      </x:c>
      <x:c r="L124" s="34" t="str">
        <x:v>2026-06-30</x:v>
      </x:c>
      <x:c r="M124" s="28" t="str"/>
    </x:row>
    <x:row r="125">
      <x:c r="A125" s="37" t="str">
        <x:v>PLN-00846</x:v>
      </x:c>
      <x:c r="B125" s="28" t="str">
        <x:v>FY27 backlog delivery plan</x:v>
      </x:c>
      <x:c r="C125" s="28" t="str">
        <x:v>Monthly capacity</x:v>
      </x:c>
      <x:c r="D125" s="28" t="str">
        <x:v>All field labor</x:v>
      </x:c>
      <x:c r="E125" s="28" t="str">
        <x:v>2027-04</x:v>
      </x:c>
      <x:c r="F125" s="28" t="str">
        <x:v>Approved case</x:v>
      </x:c>
      <x:c r="G125" s="28" t="str">
        <x:v>Productive internal hours</x:v>
      </x:c>
      <x:c r="H125" s="31" t="n">
        <x:v>34020</x:v>
      </x:c>
      <x:c r="I125" s="28" t="str"/>
      <x:c r="J125" s="28" t="str">
        <x:v>hours</x:v>
      </x:c>
      <x:c r="K125" s="28" t="str">
        <x:v>FY27 planning assumptions - v6 controller tie.xlsx</x:v>
      </x:c>
      <x:c r="L125" s="34" t="str">
        <x:v>2026-06-30</x:v>
      </x:c>
      <x:c r="M125" s="28" t="str"/>
    </x:row>
    <x:row r="126">
      <x:c r="A126" s="37" t="str">
        <x:v>PLN-00847</x:v>
      </x:c>
      <x:c r="B126" s="28" t="str">
        <x:v>FY27 backlog delivery plan</x:v>
      </x:c>
      <x:c r="C126" s="28" t="str">
        <x:v>Monthly capacity</x:v>
      </x:c>
      <x:c r="D126" s="28" t="str">
        <x:v>All field labor</x:v>
      </x:c>
      <x:c r="E126" s="28" t="str">
        <x:v>2027-04</x:v>
      </x:c>
      <x:c r="F126" s="28" t="str">
        <x:v>Approved case</x:v>
      </x:c>
      <x:c r="G126" s="28" t="str">
        <x:v>Subcontractable hours</x:v>
      </x:c>
      <x:c r="H126" s="31" t="n">
        <x:v>3200</x:v>
      </x:c>
      <x:c r="I126" s="28" t="str"/>
      <x:c r="J126" s="28" t="str">
        <x:v>hours</x:v>
      </x:c>
      <x:c r="K126" s="28" t="str">
        <x:v>FY27 planning assumptions - v6 controller tie.xlsx</x:v>
      </x:c>
      <x:c r="L126" s="34" t="str">
        <x:v>2026-06-30</x:v>
      </x:c>
      <x:c r="M126" s="28" t="str"/>
    </x:row>
    <x:row r="127">
      <x:c r="A127" s="37" t="str">
        <x:v>PLN-00848</x:v>
      </x:c>
      <x:c r="B127" s="28" t="str">
        <x:v>FY27 backlog delivery plan</x:v>
      </x:c>
      <x:c r="C127" s="28" t="str">
        <x:v>Monthly capacity</x:v>
      </x:c>
      <x:c r="D127" s="28" t="str">
        <x:v>All field labor</x:v>
      </x:c>
      <x:c r="E127" s="28" t="str">
        <x:v>2027-04</x:v>
      </x:c>
      <x:c r="F127" s="28" t="str">
        <x:v>Approved case</x:v>
      </x:c>
      <x:c r="G127" s="28" t="str">
        <x:v>Overtime limit on internal hours</x:v>
      </x:c>
      <x:c r="H127" s="31" t="n">
        <x:v>0.05</x:v>
      </x:c>
      <x:c r="I127" s="28" t="str"/>
      <x:c r="J127" s="28" t="str">
        <x:v>decimal ratio</x:v>
      </x:c>
      <x:c r="K127" s="28" t="str">
        <x:v>FY27 planning assumptions - v6 controller tie.xlsx</x:v>
      </x:c>
      <x:c r="L127" s="34" t="str">
        <x:v>2026-06-30</x:v>
      </x:c>
      <x:c r="M127" s="28" t="str"/>
    </x:row>
    <x:row r="128">
      <x:c r="A128" s="37" t="str">
        <x:v>PLN-00849</x:v>
      </x:c>
      <x:c r="B128" s="28" t="str">
        <x:v>FY27 backlog delivery plan</x:v>
      </x:c>
      <x:c r="C128" s="28" t="str">
        <x:v>Capacity remediation</x:v>
      </x:c>
      <x:c r="D128" s="28" t="str">
        <x:v>All field labor</x:v>
      </x:c>
      <x:c r="E128" s="28" t="str">
        <x:v>2027-04</x:v>
      </x:c>
      <x:c r="F128" s="28" t="str">
        <x:v>Approved case</x:v>
      </x:c>
      <x:c r="G128" s="28" t="str">
        <x:v>Emergency overtime increment limit</x:v>
      </x:c>
      <x:c r="H128" s="31" t="n">
        <x:v>0.04</x:v>
      </x:c>
      <x:c r="I128" s="28" t="str"/>
      <x:c r="J128" s="28" t="str">
        <x:v>decimal ratio</x:v>
      </x:c>
      <x:c r="K128" s="28" t="str">
        <x:v>FY27 planning assumptions - v6 controller tie.xlsx</x:v>
      </x:c>
      <x:c r="L128" s="34" t="str">
        <x:v>2026-06-30</x:v>
      </x:c>
      <x:c r="M128" s="28" t="str"/>
    </x:row>
    <x:row r="129">
      <x:c r="A129" s="37" t="str">
        <x:v>PLN-00850</x:v>
      </x:c>
      <x:c r="B129" s="28" t="str">
        <x:v>FY27 backlog delivery plan</x:v>
      </x:c>
      <x:c r="C129" s="28" t="str">
        <x:v>Capacity remediation</x:v>
      </x:c>
      <x:c r="D129" s="28" t="str">
        <x:v>All field labor</x:v>
      </x:c>
      <x:c r="E129" s="28" t="str">
        <x:v>2027-04</x:v>
      </x:c>
      <x:c r="F129" s="28" t="str">
        <x:v>Approved case</x:v>
      </x:c>
      <x:c r="G129" s="28" t="str">
        <x:v>Contingent subcontract surge hours</x:v>
      </x:c>
      <x:c r="H129" s="31" t="n">
        <x:v>4000</x:v>
      </x:c>
      <x:c r="I129" s="28" t="str"/>
      <x:c r="J129" s="28" t="str">
        <x:v>hours</x:v>
      </x:c>
      <x:c r="K129" s="28" t="str">
        <x:v>FY27 planning assumptions - v6 controller tie.xlsx</x:v>
      </x:c>
      <x:c r="L129" s="34" t="str">
        <x:v>2026-06-30</x:v>
      </x:c>
      <x:c r="M129" s="28" t="str"/>
    </x:row>
    <x:row r="130">
      <x:c r="A130" s="37" t="str">
        <x:v>PLN-00851</x:v>
      </x:c>
      <x:c r="B130" s="28" t="str">
        <x:v>FY27 backlog delivery plan</x:v>
      </x:c>
      <x:c r="C130" s="28" t="str">
        <x:v>Capacity remediation</x:v>
      </x:c>
      <x:c r="D130" s="28" t="str">
        <x:v>All field labor</x:v>
      </x:c>
      <x:c r="E130" s="28" t="str">
        <x:v>2027-04</x:v>
      </x:c>
      <x:c r="F130" s="28" t="str">
        <x:v>Approved case</x:v>
      </x:c>
      <x:c r="G130" s="28" t="str">
        <x:v>Overtime premium cost</x:v>
      </x:c>
      <x:c r="H130" s="31" t="n">
        <x:v>42.5</x:v>
      </x:c>
      <x:c r="I130" s="28" t="str"/>
      <x:c r="J130" s="28" t="str">
        <x:v>USD per hour</x:v>
      </x:c>
      <x:c r="K130" s="28" t="str">
        <x:v>FY27 planning assumptions - v6 controller tie.xlsx</x:v>
      </x:c>
      <x:c r="L130" s="34" t="str">
        <x:v>2026-06-30</x:v>
      </x:c>
      <x:c r="M130" s="28" t="str"/>
    </x:row>
    <x:row r="131">
      <x:c r="A131" s="37" t="str">
        <x:v>PLN-00852</x:v>
      </x:c>
      <x:c r="B131" s="28" t="str">
        <x:v>FY27 backlog delivery plan</x:v>
      </x:c>
      <x:c r="C131" s="28" t="str">
        <x:v>Capacity remediation</x:v>
      </x:c>
      <x:c r="D131" s="28" t="str">
        <x:v>All field labor</x:v>
      </x:c>
      <x:c r="E131" s="28" t="str">
        <x:v>2027-04</x:v>
      </x:c>
      <x:c r="F131" s="28" t="str">
        <x:v>Approved case</x:v>
      </x:c>
      <x:c r="G131" s="28" t="str">
        <x:v>Contingent subcontract cost</x:v>
      </x:c>
      <x:c r="H131" s="31" t="n">
        <x:v>125</x:v>
      </x:c>
      <x:c r="I131" s="28" t="str"/>
      <x:c r="J131" s="28" t="str">
        <x:v>USD per hour</x:v>
      </x:c>
      <x:c r="K131" s="28" t="str">
        <x:v>FY27 planning assumptions - v6 controller tie.xlsx</x:v>
      </x:c>
      <x:c r="L131" s="34" t="str">
        <x:v>2026-06-30</x:v>
      </x:c>
      <x:c r="M131" s="28" t="str"/>
    </x:row>
    <x:row r="132">
      <x:c r="A132" s="37" t="str">
        <x:v>PLN-00853</x:v>
      </x:c>
      <x:c r="B132" s="28" t="str">
        <x:v>FY27 backlog delivery plan</x:v>
      </x:c>
      <x:c r="C132" s="28" t="str">
        <x:v>Monthly capacity</x:v>
      </x:c>
      <x:c r="D132" s="28" t="str">
        <x:v>All field labor</x:v>
      </x:c>
      <x:c r="E132" s="28" t="str">
        <x:v>2027-05</x:v>
      </x:c>
      <x:c r="F132" s="28" t="str">
        <x:v>Approved case</x:v>
      </x:c>
      <x:c r="G132" s="28" t="str">
        <x:v>Productive internal hours</x:v>
      </x:c>
      <x:c r="H132" s="31" t="n">
        <x:v>34300</x:v>
      </x:c>
      <x:c r="I132" s="28" t="str"/>
      <x:c r="J132" s="28" t="str">
        <x:v>hours</x:v>
      </x:c>
      <x:c r="K132" s="28" t="str">
        <x:v>FY27 planning assumptions - v6 controller tie.xlsx</x:v>
      </x:c>
      <x:c r="L132" s="34" t="str">
        <x:v>2026-06-30</x:v>
      </x:c>
      <x:c r="M132" s="28" t="str"/>
    </x:row>
    <x:row r="133">
      <x:c r="A133" s="37" t="str">
        <x:v>PLN-00854</x:v>
      </x:c>
      <x:c r="B133" s="28" t="str">
        <x:v>FY27 backlog delivery plan</x:v>
      </x:c>
      <x:c r="C133" s="28" t="str">
        <x:v>Monthly capacity</x:v>
      </x:c>
      <x:c r="D133" s="28" t="str">
        <x:v>All field labor</x:v>
      </x:c>
      <x:c r="E133" s="28" t="str">
        <x:v>2027-05</x:v>
      </x:c>
      <x:c r="F133" s="28" t="str">
        <x:v>Approved case</x:v>
      </x:c>
      <x:c r="G133" s="28" t="str">
        <x:v>Subcontractable hours</x:v>
      </x:c>
      <x:c r="H133" s="31" t="n">
        <x:v>3200</x:v>
      </x:c>
      <x:c r="I133" s="28" t="str"/>
      <x:c r="J133" s="28" t="str">
        <x:v>hours</x:v>
      </x:c>
      <x:c r="K133" s="28" t="str">
        <x:v>FY27 planning assumptions - v6 controller tie.xlsx</x:v>
      </x:c>
      <x:c r="L133" s="34" t="str">
        <x:v>2026-06-30</x:v>
      </x:c>
      <x:c r="M133" s="28" t="str"/>
    </x:row>
    <x:row r="134">
      <x:c r="A134" s="37" t="str">
        <x:v>PLN-00855</x:v>
      </x:c>
      <x:c r="B134" s="28" t="str">
        <x:v>FY27 backlog delivery plan</x:v>
      </x:c>
      <x:c r="C134" s="28" t="str">
        <x:v>Monthly capacity</x:v>
      </x:c>
      <x:c r="D134" s="28" t="str">
        <x:v>All field labor</x:v>
      </x:c>
      <x:c r="E134" s="28" t="str">
        <x:v>2027-05</x:v>
      </x:c>
      <x:c r="F134" s="28" t="str">
        <x:v>Approved case</x:v>
      </x:c>
      <x:c r="G134" s="28" t="str">
        <x:v>Overtime limit on internal hours</x:v>
      </x:c>
      <x:c r="H134" s="31" t="n">
        <x:v>0.08</x:v>
      </x:c>
      <x:c r="I134" s="28" t="str"/>
      <x:c r="J134" s="28" t="str">
        <x:v>decimal ratio</x:v>
      </x:c>
      <x:c r="K134" s="28" t="str">
        <x:v>FY27 planning assumptions - v6 controller tie.xlsx</x:v>
      </x:c>
      <x:c r="L134" s="34" t="str">
        <x:v>2026-06-30</x:v>
      </x:c>
      <x:c r="M134" s="28" t="str"/>
    </x:row>
    <x:row r="135">
      <x:c r="A135" s="37" t="str">
        <x:v>PLN-00856</x:v>
      </x:c>
      <x:c r="B135" s="28" t="str">
        <x:v>FY27 backlog delivery plan</x:v>
      </x:c>
      <x:c r="C135" s="28" t="str">
        <x:v>Capacity remediation</x:v>
      </x:c>
      <x:c r="D135" s="28" t="str">
        <x:v>All field labor</x:v>
      </x:c>
      <x:c r="E135" s="28" t="str">
        <x:v>2027-05</x:v>
      </x:c>
      <x:c r="F135" s="28" t="str">
        <x:v>Approved case</x:v>
      </x:c>
      <x:c r="G135" s="28" t="str">
        <x:v>Emergency overtime increment limit</x:v>
      </x:c>
      <x:c r="H135" s="31" t="n">
        <x:v>0.04</x:v>
      </x:c>
      <x:c r="I135" s="28" t="str"/>
      <x:c r="J135" s="28" t="str">
        <x:v>decimal ratio</x:v>
      </x:c>
      <x:c r="K135" s="28" t="str">
        <x:v>FY27 planning assumptions - v6 controller tie.xlsx</x:v>
      </x:c>
      <x:c r="L135" s="34" t="str">
        <x:v>2026-06-30</x:v>
      </x:c>
      <x:c r="M135" s="28" t="str"/>
    </x:row>
    <x:row r="136">
      <x:c r="A136" s="37" t="str">
        <x:v>PLN-00857</x:v>
      </x:c>
      <x:c r="B136" s="28" t="str">
        <x:v>FY27 backlog delivery plan</x:v>
      </x:c>
      <x:c r="C136" s="28" t="str">
        <x:v>Capacity remediation</x:v>
      </x:c>
      <x:c r="D136" s="28" t="str">
        <x:v>All field labor</x:v>
      </x:c>
      <x:c r="E136" s="28" t="str">
        <x:v>2027-05</x:v>
      </x:c>
      <x:c r="F136" s="28" t="str">
        <x:v>Approved case</x:v>
      </x:c>
      <x:c r="G136" s="28" t="str">
        <x:v>Contingent subcontract surge hours</x:v>
      </x:c>
      <x:c r="H136" s="31" t="n">
        <x:v>4000</x:v>
      </x:c>
      <x:c r="I136" s="28" t="str"/>
      <x:c r="J136" s="28" t="str">
        <x:v>hours</x:v>
      </x:c>
      <x:c r="K136" s="28" t="str">
        <x:v>FY27 planning assumptions - v6 controller tie.xlsx</x:v>
      </x:c>
      <x:c r="L136" s="34" t="str">
        <x:v>2026-06-30</x:v>
      </x:c>
      <x:c r="M136" s="28" t="str"/>
    </x:row>
    <x:row r="137">
      <x:c r="A137" s="37" t="str">
        <x:v>PLN-00858</x:v>
      </x:c>
      <x:c r="B137" s="28" t="str">
        <x:v>FY27 backlog delivery plan</x:v>
      </x:c>
      <x:c r="C137" s="28" t="str">
        <x:v>Capacity remediation</x:v>
      </x:c>
      <x:c r="D137" s="28" t="str">
        <x:v>All field labor</x:v>
      </x:c>
      <x:c r="E137" s="28" t="str">
        <x:v>2027-05</x:v>
      </x:c>
      <x:c r="F137" s="28" t="str">
        <x:v>Approved case</x:v>
      </x:c>
      <x:c r="G137" s="28" t="str">
        <x:v>Overtime premium cost</x:v>
      </x:c>
      <x:c r="H137" s="31" t="n">
        <x:v>42.5</x:v>
      </x:c>
      <x:c r="I137" s="28" t="str"/>
      <x:c r="J137" s="28" t="str">
        <x:v>USD per hour</x:v>
      </x:c>
      <x:c r="K137" s="28" t="str">
        <x:v>FY27 planning assumptions - v6 controller tie.xlsx</x:v>
      </x:c>
      <x:c r="L137" s="34" t="str">
        <x:v>2026-06-30</x:v>
      </x:c>
      <x:c r="M137" s="28" t="str"/>
    </x:row>
    <x:row r="138">
      <x:c r="A138" s="37" t="str">
        <x:v>PLN-00859</x:v>
      </x:c>
      <x:c r="B138" s="28" t="str">
        <x:v>FY27 backlog delivery plan</x:v>
      </x:c>
      <x:c r="C138" s="28" t="str">
        <x:v>Capacity remediation</x:v>
      </x:c>
      <x:c r="D138" s="28" t="str">
        <x:v>All field labor</x:v>
      </x:c>
      <x:c r="E138" s="28" t="str">
        <x:v>2027-05</x:v>
      </x:c>
      <x:c r="F138" s="28" t="str">
        <x:v>Approved case</x:v>
      </x:c>
      <x:c r="G138" s="28" t="str">
        <x:v>Contingent subcontract cost</x:v>
      </x:c>
      <x:c r="H138" s="31" t="n">
        <x:v>125</x:v>
      </x:c>
      <x:c r="I138" s="28" t="str"/>
      <x:c r="J138" s="28" t="str">
        <x:v>USD per hour</x:v>
      </x:c>
      <x:c r="K138" s="28" t="str">
        <x:v>FY27 planning assumptions - v6 controller tie.xlsx</x:v>
      </x:c>
      <x:c r="L138" s="34" t="str">
        <x:v>2026-06-30</x:v>
      </x:c>
      <x:c r="M138" s="28" t="str"/>
    </x:row>
    <x:row r="139">
      <x:c r="A139" s="37" t="str">
        <x:v>PLN-00860</x:v>
      </x:c>
      <x:c r="B139" s="28" t="str">
        <x:v>FY27 backlog delivery plan</x:v>
      </x:c>
      <x:c r="C139" s="28" t="str">
        <x:v>Monthly capacity</x:v>
      </x:c>
      <x:c r="D139" s="28" t="str">
        <x:v>All field labor</x:v>
      </x:c>
      <x:c r="E139" s="28" t="str">
        <x:v>2027-06</x:v>
      </x:c>
      <x:c r="F139" s="28" t="str">
        <x:v>Approved case</x:v>
      </x:c>
      <x:c r="G139" s="28" t="str">
        <x:v>Productive internal hours</x:v>
      </x:c>
      <x:c r="H139" s="31" t="n">
        <x:v>34580</x:v>
      </x:c>
      <x:c r="I139" s="28" t="str"/>
      <x:c r="J139" s="28" t="str">
        <x:v>hours</x:v>
      </x:c>
      <x:c r="K139" s="28" t="str">
        <x:v>FY27 planning assumptions - v6 controller tie.xlsx</x:v>
      </x:c>
      <x:c r="L139" s="34" t="str">
        <x:v>2026-06-30</x:v>
      </x:c>
      <x:c r="M139" s="28" t="str"/>
    </x:row>
    <x:row r="140">
      <x:c r="A140" s="37" t="str">
        <x:v>PLN-00861</x:v>
      </x:c>
      <x:c r="B140" s="28" t="str">
        <x:v>FY27 backlog delivery plan</x:v>
      </x:c>
      <x:c r="C140" s="28" t="str">
        <x:v>Monthly capacity</x:v>
      </x:c>
      <x:c r="D140" s="28" t="str">
        <x:v>All field labor</x:v>
      </x:c>
      <x:c r="E140" s="28" t="str">
        <x:v>2027-06</x:v>
      </x:c>
      <x:c r="F140" s="28" t="str">
        <x:v>Approved case</x:v>
      </x:c>
      <x:c r="G140" s="28" t="str">
        <x:v>Subcontractable hours</x:v>
      </x:c>
      <x:c r="H140" s="31" t="n">
        <x:v>3200</x:v>
      </x:c>
      <x:c r="I140" s="28" t="str"/>
      <x:c r="J140" s="28" t="str">
        <x:v>hours</x:v>
      </x:c>
      <x:c r="K140" s="28" t="str">
        <x:v>FY27 planning assumptions - v6 controller tie.xlsx</x:v>
      </x:c>
      <x:c r="L140" s="34" t="str">
        <x:v>2026-06-30</x:v>
      </x:c>
      <x:c r="M140" s="28" t="str"/>
    </x:row>
    <x:row r="141">
      <x:c r="A141" s="37" t="str">
        <x:v>PLN-00862</x:v>
      </x:c>
      <x:c r="B141" s="28" t="str">
        <x:v>FY27 backlog delivery plan</x:v>
      </x:c>
      <x:c r="C141" s="28" t="str">
        <x:v>Monthly capacity</x:v>
      </x:c>
      <x:c r="D141" s="28" t="str">
        <x:v>All field labor</x:v>
      </x:c>
      <x:c r="E141" s="28" t="str">
        <x:v>2027-06</x:v>
      </x:c>
      <x:c r="F141" s="28" t="str">
        <x:v>Approved case</x:v>
      </x:c>
      <x:c r="G141" s="28" t="str">
        <x:v>Overtime limit on internal hours</x:v>
      </x:c>
      <x:c r="H141" s="31" t="n">
        <x:v>0.08</x:v>
      </x:c>
      <x:c r="I141" s="28" t="str"/>
      <x:c r="J141" s="28" t="str">
        <x:v>decimal ratio</x:v>
      </x:c>
      <x:c r="K141" s="28" t="str">
        <x:v>FY27 planning assumptions - v6 controller tie.xlsx</x:v>
      </x:c>
      <x:c r="L141" s="34" t="str">
        <x:v>2026-06-30</x:v>
      </x:c>
      <x:c r="M141" s="28" t="str"/>
    </x:row>
    <x:row r="142">
      <x:c r="A142" s="37" t="str">
        <x:v>PLN-00863</x:v>
      </x:c>
      <x:c r="B142" s="28" t="str">
        <x:v>FY27 backlog delivery plan</x:v>
      </x:c>
      <x:c r="C142" s="28" t="str">
        <x:v>Capacity remediation</x:v>
      </x:c>
      <x:c r="D142" s="28" t="str">
        <x:v>All field labor</x:v>
      </x:c>
      <x:c r="E142" s="28" t="str">
        <x:v>2027-06</x:v>
      </x:c>
      <x:c r="F142" s="28" t="str">
        <x:v>Approved case</x:v>
      </x:c>
      <x:c r="G142" s="28" t="str">
        <x:v>Emergency overtime increment limit</x:v>
      </x:c>
      <x:c r="H142" s="31" t="n">
        <x:v>0.04</x:v>
      </x:c>
      <x:c r="I142" s="28" t="str"/>
      <x:c r="J142" s="28" t="str">
        <x:v>decimal ratio</x:v>
      </x:c>
      <x:c r="K142" s="28" t="str">
        <x:v>FY27 planning assumptions - v6 controller tie.xlsx</x:v>
      </x:c>
      <x:c r="L142" s="34" t="str">
        <x:v>2026-06-30</x:v>
      </x:c>
      <x:c r="M142" s="28" t="str"/>
    </x:row>
    <x:row r="143">
      <x:c r="A143" s="37" t="str">
        <x:v>PLN-00864</x:v>
      </x:c>
      <x:c r="B143" s="28" t="str">
        <x:v>FY27 backlog delivery plan</x:v>
      </x:c>
      <x:c r="C143" s="28" t="str">
        <x:v>Capacity remediation</x:v>
      </x:c>
      <x:c r="D143" s="28" t="str">
        <x:v>All field labor</x:v>
      </x:c>
      <x:c r="E143" s="28" t="str">
        <x:v>2027-06</x:v>
      </x:c>
      <x:c r="F143" s="28" t="str">
        <x:v>Approved case</x:v>
      </x:c>
      <x:c r="G143" s="28" t="str">
        <x:v>Contingent subcontract surge hours</x:v>
      </x:c>
      <x:c r="H143" s="31" t="n">
        <x:v>4000</x:v>
      </x:c>
      <x:c r="I143" s="28" t="str"/>
      <x:c r="J143" s="28" t="str">
        <x:v>hours</x:v>
      </x:c>
      <x:c r="K143" s="28" t="str">
        <x:v>FY27 planning assumptions - v6 controller tie.xlsx</x:v>
      </x:c>
      <x:c r="L143" s="34" t="str">
        <x:v>2026-06-30</x:v>
      </x:c>
      <x:c r="M143" s="28" t="str"/>
    </x:row>
    <x:row r="144">
      <x:c r="A144" s="37" t="str">
        <x:v>PLN-00865</x:v>
      </x:c>
      <x:c r="B144" s="28" t="str">
        <x:v>FY27 backlog delivery plan</x:v>
      </x:c>
      <x:c r="C144" s="28" t="str">
        <x:v>Capacity remediation</x:v>
      </x:c>
      <x:c r="D144" s="28" t="str">
        <x:v>All field labor</x:v>
      </x:c>
      <x:c r="E144" s="28" t="str">
        <x:v>2027-06</x:v>
      </x:c>
      <x:c r="F144" s="28" t="str">
        <x:v>Approved case</x:v>
      </x:c>
      <x:c r="G144" s="28" t="str">
        <x:v>Overtime premium cost</x:v>
      </x:c>
      <x:c r="H144" s="31" t="n">
        <x:v>42.5</x:v>
      </x:c>
      <x:c r="I144" s="28" t="str"/>
      <x:c r="J144" s="28" t="str">
        <x:v>USD per hour</x:v>
      </x:c>
      <x:c r="K144" s="28" t="str">
        <x:v>FY27 planning assumptions - v6 controller tie.xlsx</x:v>
      </x:c>
      <x:c r="L144" s="34" t="str">
        <x:v>2026-06-30</x:v>
      </x:c>
      <x:c r="M144" s="28" t="str"/>
    </x:row>
    <x:row r="145">
      <x:c r="A145" s="37" t="str">
        <x:v>PLN-00866</x:v>
      </x:c>
      <x:c r="B145" s="28" t="str">
        <x:v>FY27 backlog delivery plan</x:v>
      </x:c>
      <x:c r="C145" s="28" t="str">
        <x:v>Capacity remediation</x:v>
      </x:c>
      <x:c r="D145" s="28" t="str">
        <x:v>All field labor</x:v>
      </x:c>
      <x:c r="E145" s="28" t="str">
        <x:v>2027-06</x:v>
      </x:c>
      <x:c r="F145" s="28" t="str">
        <x:v>Approved case</x:v>
      </x:c>
      <x:c r="G145" s="28" t="str">
        <x:v>Contingent subcontract cost</x:v>
      </x:c>
      <x:c r="H145" s="31" t="n">
        <x:v>125</x:v>
      </x:c>
      <x:c r="I145" s="28" t="str"/>
      <x:c r="J145" s="28" t="str">
        <x:v>USD per hour</x:v>
      </x:c>
      <x:c r="K145" s="28" t="str">
        <x:v>FY27 planning assumptions - v6 controller tie.xlsx</x:v>
      </x:c>
      <x:c r="L145" s="34" t="str">
        <x:v>2026-06-30</x:v>
      </x:c>
      <x:c r="M145" s="28" t="str"/>
    </x:row>
    <x:row r="146">
      <x:c r="A146" s="37" t="str">
        <x:v>PLN-01066</x:v>
      </x:c>
      <x:c r="B146" s="28" t="str">
        <x:v>Backlog, pipeline, and capacity conversion</x:v>
      </x:c>
      <x:c r="C146" s="28" t="str">
        <x:v>Signed backlog conversion</x:v>
      </x:c>
      <x:c r="D146" s="28" t="str">
        <x:v>Cedar Medical</x:v>
      </x:c>
      <x:c r="E146" s="28" t="str">
        <x:v>2026-06-30</x:v>
      </x:c>
      <x:c r="F146" s="28" t="str">
        <x:v>Approved case</x:v>
      </x:c>
      <x:c r="G146" s="28" t="str">
        <x:v>Signed backlog</x:v>
      </x:c>
      <x:c r="H146" s="31" t="n">
        <x:v>8400000</x:v>
      </x:c>
      <x:c r="I146" s="28" t="str"/>
      <x:c r="J146" s="28" t="str">
        <x:v>USD</x:v>
      </x:c>
      <x:c r="K146" s="28" t="str">
        <x:v>Finance operating schedule</x:v>
      </x:c>
      <x:c r="L146" s="34" t="str">
        <x:v>2026-06-30</x:v>
      </x:c>
      <x:c r="M146" s="28" t="str"/>
    </x:row>
    <x:row r="147">
      <x:c r="A147" s="37" t="str">
        <x:v>PLN-01067</x:v>
      </x:c>
      <x:c r="B147" s="28" t="str">
        <x:v>Backlog, pipeline, and capacity conversion</x:v>
      </x:c>
      <x:c r="C147" s="28" t="str">
        <x:v>Signed backlog conversion</x:v>
      </x:c>
      <x:c r="D147" s="28" t="str">
        <x:v>Cedar Medical</x:v>
      </x:c>
      <x:c r="E147" s="28" t="str">
        <x:v>2026-06-30</x:v>
      </x:c>
      <x:c r="F147" s="28" t="str">
        <x:v>Approved case</x:v>
      </x:c>
      <x:c r="G147" s="28" t="str">
        <x:v>Cancellation probability</x:v>
      </x:c>
      <x:c r="H147" s="31" t="n">
        <x:v>0.05</x:v>
      </x:c>
      <x:c r="I147" s="28" t="str"/>
      <x:c r="J147" s="28" t="str">
        <x:v>decimal ratio</x:v>
      </x:c>
      <x:c r="K147" s="28" t="str">
        <x:v>Finance operating schedule</x:v>
      </x:c>
      <x:c r="L147" s="34" t="str">
        <x:v>2026-06-30</x:v>
      </x:c>
      <x:c r="M147" s="28" t="str"/>
    </x:row>
    <x:row r="148">
      <x:c r="A148" s="37" t="str">
        <x:v>PLN-01068</x:v>
      </x:c>
      <x:c r="B148" s="28" t="str">
        <x:v>Backlog, pipeline, and capacity conversion</x:v>
      </x:c>
      <x:c r="C148" s="28" t="str">
        <x:v>Signed backlog conversion</x:v>
      </x:c>
      <x:c r="D148" s="28" t="str">
        <x:v>Cedar Medical</x:v>
      </x:c>
      <x:c r="E148" s="28" t="str">
        <x:v>2026-06-30</x:v>
      </x:c>
      <x:c r="F148" s="28" t="str">
        <x:v>Approved case</x:v>
      </x:c>
      <x:c r="G148" s="28" t="str">
        <x:v>H2 burn percent</x:v>
      </x:c>
      <x:c r="H148" s="31" t="n">
        <x:v>0.42</x:v>
      </x:c>
      <x:c r="I148" s="28" t="str"/>
      <x:c r="J148" s="28" t="str">
        <x:v>decimal ratio</x:v>
      </x:c>
      <x:c r="K148" s="28" t="str">
        <x:v>Finance operating schedule</x:v>
      </x:c>
      <x:c r="L148" s="34" t="str">
        <x:v>2026-06-30</x:v>
      </x:c>
      <x:c r="M148" s="28" t="str"/>
    </x:row>
    <x:row r="149">
      <x:c r="A149" s="37" t="str">
        <x:v>PLN-01069</x:v>
      </x:c>
      <x:c r="B149" s="28" t="str">
        <x:v>Backlog, pipeline, and capacity conversion</x:v>
      </x:c>
      <x:c r="C149" s="28" t="str">
        <x:v>Signed backlog conversion</x:v>
      </x:c>
      <x:c r="D149" s="28" t="str">
        <x:v>Cedar Medical</x:v>
      </x:c>
      <x:c r="E149" s="28" t="str">
        <x:v>2026-06-30</x:v>
      </x:c>
      <x:c r="F149" s="28" t="str">
        <x:v>Approved case</x:v>
      </x:c>
      <x:c r="G149" s="28" t="str">
        <x:v>FY27 burn percent</x:v>
      </x:c>
      <x:c r="H149" s="31" t="n">
        <x:v>0.45</x:v>
      </x:c>
      <x:c r="I149" s="28" t="str"/>
      <x:c r="J149" s="28" t="str">
        <x:v>decimal ratio</x:v>
      </x:c>
      <x:c r="K149" s="28" t="str">
        <x:v>Finance operating schedule</x:v>
      </x:c>
      <x:c r="L149" s="34" t="str">
        <x:v>2026-06-30</x:v>
      </x:c>
      <x:c r="M149" s="28" t="str"/>
    </x:row>
    <x:row r="150">
      <x:c r="A150" s="37" t="str">
        <x:v>PLN-01070</x:v>
      </x:c>
      <x:c r="B150" s="28" t="str">
        <x:v>Backlog, pipeline, and capacity conversion</x:v>
      </x:c>
      <x:c r="C150" s="28" t="str">
        <x:v>Signed backlog conversion</x:v>
      </x:c>
      <x:c r="D150" s="28" t="str">
        <x:v>Cedar Medical</x:v>
      </x:c>
      <x:c r="E150" s="28" t="str">
        <x:v>2026-06-30</x:v>
      </x:c>
      <x:c r="F150" s="28" t="str">
        <x:v>Approved case</x:v>
      </x:c>
      <x:c r="G150" s="28" t="str">
        <x:v>Gross margin</x:v>
      </x:c>
      <x:c r="H150" s="31" t="n">
        <x:v>0.245</x:v>
      </x:c>
      <x:c r="I150" s="28" t="str"/>
      <x:c r="J150" s="28" t="str">
        <x:v>decimal ratio</x:v>
      </x:c>
      <x:c r="K150" s="28" t="str">
        <x:v>Finance operating schedule</x:v>
      </x:c>
      <x:c r="L150" s="34" t="str">
        <x:v>2026-06-30</x:v>
      </x:c>
      <x:c r="M150" s="28" t="str"/>
    </x:row>
    <x:row r="151">
      <x:c r="A151" s="37" t="str">
        <x:v>PLN-01071</x:v>
      </x:c>
      <x:c r="B151" s="28" t="str">
        <x:v>Backlog, pipeline, and capacity conversion</x:v>
      </x:c>
      <x:c r="C151" s="28" t="str">
        <x:v>Signed backlog conversion</x:v>
      </x:c>
      <x:c r="D151" s="28" t="str">
        <x:v>Portland Schools</x:v>
      </x:c>
      <x:c r="E151" s="28" t="str">
        <x:v>2026-06-30</x:v>
      </x:c>
      <x:c r="F151" s="28" t="str">
        <x:v>Approved case</x:v>
      </x:c>
      <x:c r="G151" s="28" t="str">
        <x:v>Signed backlog</x:v>
      </x:c>
      <x:c r="H151" s="31" t="n">
        <x:v>6750000</x:v>
      </x:c>
      <x:c r="I151" s="28" t="str"/>
      <x:c r="J151" s="28" t="str">
        <x:v>USD</x:v>
      </x:c>
      <x:c r="K151" s="28" t="str">
        <x:v>Finance operating schedule</x:v>
      </x:c>
      <x:c r="L151" s="34" t="str">
        <x:v>2026-06-30</x:v>
      </x:c>
      <x:c r="M151" s="28" t="str"/>
    </x:row>
    <x:row r="152">
      <x:c r="A152" s="37" t="str">
        <x:v>PLN-01072</x:v>
      </x:c>
      <x:c r="B152" s="28" t="str">
        <x:v>Backlog, pipeline, and capacity conversion</x:v>
      </x:c>
      <x:c r="C152" s="28" t="str">
        <x:v>Signed backlog conversion</x:v>
      </x:c>
      <x:c r="D152" s="28" t="str">
        <x:v>Portland Schools</x:v>
      </x:c>
      <x:c r="E152" s="28" t="str">
        <x:v>2026-06-30</x:v>
      </x:c>
      <x:c r="F152" s="28" t="str">
        <x:v>Approved case</x:v>
      </x:c>
      <x:c r="G152" s="28" t="str">
        <x:v>Cancellation probability</x:v>
      </x:c>
      <x:c r="H152" s="31" t="n">
        <x:v>0</x:v>
      </x:c>
      <x:c r="I152" s="28" t="str"/>
      <x:c r="J152" s="28" t="str">
        <x:v>decimal ratio</x:v>
      </x:c>
      <x:c r="K152" s="28" t="str">
        <x:v>Finance operating schedule</x:v>
      </x:c>
      <x:c r="L152" s="34" t="str">
        <x:v>2026-06-30</x:v>
      </x:c>
      <x:c r="M152" s="28" t="str"/>
    </x:row>
    <x:row r="153">
      <x:c r="A153" s="37" t="str">
        <x:v>PLN-01073</x:v>
      </x:c>
      <x:c r="B153" s="28" t="str">
        <x:v>Backlog, pipeline, and capacity conversion</x:v>
      </x:c>
      <x:c r="C153" s="28" t="str">
        <x:v>Signed backlog conversion</x:v>
      </x:c>
      <x:c r="D153" s="28" t="str">
        <x:v>Portland Schools</x:v>
      </x:c>
      <x:c r="E153" s="28" t="str">
        <x:v>2026-06-30</x:v>
      </x:c>
      <x:c r="F153" s="28" t="str">
        <x:v>Approved case</x:v>
      </x:c>
      <x:c r="G153" s="28" t="str">
        <x:v>H2 burn percent</x:v>
      </x:c>
      <x:c r="H153" s="31" t="n">
        <x:v>0.55</x:v>
      </x:c>
      <x:c r="I153" s="28" t="str"/>
      <x:c r="J153" s="28" t="str">
        <x:v>decimal ratio</x:v>
      </x:c>
      <x:c r="K153" s="28" t="str">
        <x:v>Finance operating schedule</x:v>
      </x:c>
      <x:c r="L153" s="34" t="str">
        <x:v>2026-06-30</x:v>
      </x:c>
      <x:c r="M153" s="28" t="str"/>
    </x:row>
    <x:row r="154">
      <x:c r="A154" s="37" t="str">
        <x:v>PLN-01074</x:v>
      </x:c>
      <x:c r="B154" s="28" t="str">
        <x:v>Backlog, pipeline, and capacity conversion</x:v>
      </x:c>
      <x:c r="C154" s="28" t="str">
        <x:v>Signed backlog conversion</x:v>
      </x:c>
      <x:c r="D154" s="28" t="str">
        <x:v>Portland Schools</x:v>
      </x:c>
      <x:c r="E154" s="28" t="str">
        <x:v>2026-06-30</x:v>
      </x:c>
      <x:c r="F154" s="28" t="str">
        <x:v>Approved case</x:v>
      </x:c>
      <x:c r="G154" s="28" t="str">
        <x:v>FY27 burn percent</x:v>
      </x:c>
      <x:c r="H154" s="31" t="n">
        <x:v>0.38</x:v>
      </x:c>
      <x:c r="I154" s="28" t="str"/>
      <x:c r="J154" s="28" t="str">
        <x:v>decimal ratio</x:v>
      </x:c>
      <x:c r="K154" s="28" t="str">
        <x:v>Finance operating schedule</x:v>
      </x:c>
      <x:c r="L154" s="34" t="str">
        <x:v>2026-06-30</x:v>
      </x:c>
      <x:c r="M154" s="28" t="str"/>
    </x:row>
    <x:row r="155">
      <x:c r="A155" s="37" t="str">
        <x:v>PLN-01075</x:v>
      </x:c>
      <x:c r="B155" s="28" t="str">
        <x:v>Backlog, pipeline, and capacity conversion</x:v>
      </x:c>
      <x:c r="C155" s="28" t="str">
        <x:v>Signed backlog conversion</x:v>
      </x:c>
      <x:c r="D155" s="28" t="str">
        <x:v>Portland Schools</x:v>
      </x:c>
      <x:c r="E155" s="28" t="str">
        <x:v>2026-06-30</x:v>
      </x:c>
      <x:c r="F155" s="28" t="str">
        <x:v>Approved case</x:v>
      </x:c>
      <x:c r="G155" s="28" t="str">
        <x:v>Gross margin</x:v>
      </x:c>
      <x:c r="H155" s="31" t="n">
        <x:v>0.218</x:v>
      </x:c>
      <x:c r="I155" s="28" t="str"/>
      <x:c r="J155" s="28" t="str">
        <x:v>decimal ratio</x:v>
      </x:c>
      <x:c r="K155" s="28" t="str">
        <x:v>Finance operating schedule</x:v>
      </x:c>
      <x:c r="L155" s="34" t="str">
        <x:v>2026-06-30</x:v>
      </x:c>
      <x:c r="M155" s="28" t="str"/>
    </x:row>
    <x:row r="156">
      <x:c r="A156" s="37" t="str">
        <x:v>PLN-01076</x:v>
      </x:c>
      <x:c r="B156" s="28" t="str">
        <x:v>Backlog, pipeline, and capacity conversion</x:v>
      </x:c>
      <x:c r="C156" s="28" t="str">
        <x:v>Signed backlog conversion</x:v>
      </x:c>
      <x:c r="D156" s="28" t="str">
        <x:v>Helix Data Center</x:v>
      </x:c>
      <x:c r="E156" s="28" t="str">
        <x:v>2026-06-30</x:v>
      </x:c>
      <x:c r="F156" s="28" t="str">
        <x:v>Approved case</x:v>
      </x:c>
      <x:c r="G156" s="28" t="str">
        <x:v>Signed backlog</x:v>
      </x:c>
      <x:c r="H156" s="31" t="n">
        <x:v>10200000</x:v>
      </x:c>
      <x:c r="I156" s="28" t="str"/>
      <x:c r="J156" s="28" t="str">
        <x:v>USD</x:v>
      </x:c>
      <x:c r="K156" s="28" t="str">
        <x:v>Finance operating schedule</x:v>
      </x:c>
      <x:c r="L156" s="34" t="str">
        <x:v>2026-06-30</x:v>
      </x:c>
      <x:c r="M156" s="28" t="str"/>
    </x:row>
    <x:row r="157">
      <x:c r="A157" s="37" t="str">
        <x:v>PLN-01077</x:v>
      </x:c>
      <x:c r="B157" s="28" t="str">
        <x:v>Backlog, pipeline, and capacity conversion</x:v>
      </x:c>
      <x:c r="C157" s="28" t="str">
        <x:v>Signed backlog conversion</x:v>
      </x:c>
      <x:c r="D157" s="28" t="str">
        <x:v>Helix Data Center</x:v>
      </x:c>
      <x:c r="E157" s="28" t="str">
        <x:v>2026-06-30</x:v>
      </x:c>
      <x:c r="F157" s="28" t="str">
        <x:v>Approved case</x:v>
      </x:c>
      <x:c r="G157" s="28" t="str">
        <x:v>Cancellation probability</x:v>
      </x:c>
      <x:c r="H157" s="31" t="n">
        <x:v>0.12</x:v>
      </x:c>
      <x:c r="I157" s="28" t="str"/>
      <x:c r="J157" s="28" t="str">
        <x:v>decimal ratio</x:v>
      </x:c>
      <x:c r="K157" s="28" t="str">
        <x:v>Finance operating schedule</x:v>
      </x:c>
      <x:c r="L157" s="34" t="str">
        <x:v>2026-06-30</x:v>
      </x:c>
      <x:c r="M157" s="28" t="str"/>
    </x:row>
    <x:row r="158">
      <x:c r="A158" s="37" t="str">
        <x:v>PLN-01078</x:v>
      </x:c>
      <x:c r="B158" s="28" t="str">
        <x:v>Backlog, pipeline, and capacity conversion</x:v>
      </x:c>
      <x:c r="C158" s="28" t="str">
        <x:v>Signed backlog conversion</x:v>
      </x:c>
      <x:c r="D158" s="28" t="str">
        <x:v>Helix Data Center</x:v>
      </x:c>
      <x:c r="E158" s="28" t="str">
        <x:v>2026-06-30</x:v>
      </x:c>
      <x:c r="F158" s="28" t="str">
        <x:v>Approved case</x:v>
      </x:c>
      <x:c r="G158" s="28" t="str">
        <x:v>H2 burn percent</x:v>
      </x:c>
      <x:c r="H158" s="31" t="n">
        <x:v>0.3</x:v>
      </x:c>
      <x:c r="I158" s="28" t="str"/>
      <x:c r="J158" s="28" t="str">
        <x:v>decimal ratio</x:v>
      </x:c>
      <x:c r="K158" s="28" t="str">
        <x:v>Finance operating schedule</x:v>
      </x:c>
      <x:c r="L158" s="34" t="str">
        <x:v>2026-06-30</x:v>
      </x:c>
      <x:c r="M158" s="28" t="str"/>
    </x:row>
    <x:row r="159">
      <x:c r="A159" s="37" t="str">
        <x:v>PLN-01079</x:v>
      </x:c>
      <x:c r="B159" s="28" t="str">
        <x:v>Backlog, pipeline, and capacity conversion</x:v>
      </x:c>
      <x:c r="C159" s="28" t="str">
        <x:v>Signed backlog conversion</x:v>
      </x:c>
      <x:c r="D159" s="28" t="str">
        <x:v>Helix Data Center</x:v>
      </x:c>
      <x:c r="E159" s="28" t="str">
        <x:v>2026-06-30</x:v>
      </x:c>
      <x:c r="F159" s="28" t="str">
        <x:v>Approved case</x:v>
      </x:c>
      <x:c r="G159" s="28" t="str">
        <x:v>FY27 burn percent</x:v>
      </x:c>
      <x:c r="H159" s="31" t="n">
        <x:v>0.5</x:v>
      </x:c>
      <x:c r="I159" s="28" t="str"/>
      <x:c r="J159" s="28" t="str">
        <x:v>decimal ratio</x:v>
      </x:c>
      <x:c r="K159" s="28" t="str">
        <x:v>Finance operating schedule</x:v>
      </x:c>
      <x:c r="L159" s="34" t="str">
        <x:v>2026-06-30</x:v>
      </x:c>
      <x:c r="M159" s="28" t="str"/>
    </x:row>
    <x:row r="160">
      <x:c r="A160" s="37" t="str">
        <x:v>PLN-01080</x:v>
      </x:c>
      <x:c r="B160" s="28" t="str">
        <x:v>Backlog, pipeline, and capacity conversion</x:v>
      </x:c>
      <x:c r="C160" s="28" t="str">
        <x:v>Signed backlog conversion</x:v>
      </x:c>
      <x:c r="D160" s="28" t="str">
        <x:v>Helix Data Center</x:v>
      </x:c>
      <x:c r="E160" s="28" t="str">
        <x:v>2026-06-30</x:v>
      </x:c>
      <x:c r="F160" s="28" t="str">
        <x:v>Approved case</x:v>
      </x:c>
      <x:c r="G160" s="28" t="str">
        <x:v>Gross margin</x:v>
      </x:c>
      <x:c r="H160" s="31" t="n">
        <x:v>0.271</x:v>
      </x:c>
      <x:c r="I160" s="28" t="str"/>
      <x:c r="J160" s="28" t="str">
        <x:v>decimal ratio</x:v>
      </x:c>
      <x:c r="K160" s="28" t="str">
        <x:v>Finance operating schedule</x:v>
      </x:c>
      <x:c r="L160" s="34" t="str">
        <x:v>2026-06-30</x:v>
      </x:c>
      <x:c r="M160" s="28" t="str"/>
    </x:row>
    <x:row r="161">
      <x:c r="A161" s="37" t="str">
        <x:v>PLN-01081</x:v>
      </x:c>
      <x:c r="B161" s="28" t="str">
        <x:v>Backlog, pipeline, and capacity conversion</x:v>
      </x:c>
      <x:c r="C161" s="28" t="str">
        <x:v>Signed backlog conversion</x:v>
      </x:c>
      <x:c r="D161" s="28" t="str">
        <x:v>Juniper Offices</x:v>
      </x:c>
      <x:c r="E161" s="28" t="str">
        <x:v>2026-06-30</x:v>
      </x:c>
      <x:c r="F161" s="28" t="str">
        <x:v>Approved case</x:v>
      </x:c>
      <x:c r="G161" s="28" t="str">
        <x:v>Signed backlog</x:v>
      </x:c>
      <x:c r="H161" s="31" t="n">
        <x:v>4950</x:v>
      </x:c>
      <x:c r="I161" s="28" t="str"/>
      <x:c r="J161" s="28" t="str">
        <x:v>USD thousands</x:v>
      </x:c>
      <x:c r="K161" s="28" t="str">
        <x:v>Finance operating schedule</x:v>
      </x:c>
      <x:c r="L161" s="34" t="str">
        <x:v>2026-06-30</x:v>
      </x:c>
      <x:c r="M161" s="28" t="str"/>
    </x:row>
    <x:row r="162">
      <x:c r="A162" s="37" t="str">
        <x:v>PLN-01082</x:v>
      </x:c>
      <x:c r="B162" s="28" t="str">
        <x:v>Backlog, pipeline, and capacity conversion</x:v>
      </x:c>
      <x:c r="C162" s="28" t="str">
        <x:v>Signed backlog conversion</x:v>
      </x:c>
      <x:c r="D162" s="28" t="str">
        <x:v>Juniper Offices</x:v>
      </x:c>
      <x:c r="E162" s="28" t="str">
        <x:v>2026-06-30</x:v>
      </x:c>
      <x:c r="F162" s="28" t="str">
        <x:v>Approved case</x:v>
      </x:c>
      <x:c r="G162" s="28" t="str">
        <x:v>Cancellation probability</x:v>
      </x:c>
      <x:c r="H162" s="31" t="n">
        <x:v>0.08</x:v>
      </x:c>
      <x:c r="I162" s="28" t="str"/>
      <x:c r="J162" s="28" t="str">
        <x:v>decimal ratio</x:v>
      </x:c>
      <x:c r="K162" s="28" t="str">
        <x:v>Finance operating schedule</x:v>
      </x:c>
      <x:c r="L162" s="34" t="str">
        <x:v>2026-06-30</x:v>
      </x:c>
      <x:c r="M162" s="28" t="str"/>
    </x:row>
    <x:row r="163">
      <x:c r="A163" s="37" t="str">
        <x:v>PLN-01083</x:v>
      </x:c>
      <x:c r="B163" s="28" t="str">
        <x:v>Backlog, pipeline, and capacity conversion</x:v>
      </x:c>
      <x:c r="C163" s="28" t="str">
        <x:v>Signed backlog conversion</x:v>
      </x:c>
      <x:c r="D163" s="28" t="str">
        <x:v>Juniper Offices</x:v>
      </x:c>
      <x:c r="E163" s="28" t="str">
        <x:v>2026-06-30</x:v>
      </x:c>
      <x:c r="F163" s="28" t="str">
        <x:v>Approved case</x:v>
      </x:c>
      <x:c r="G163" s="28" t="str">
        <x:v>H2 burn percent</x:v>
      </x:c>
      <x:c r="H163" s="31" t="n">
        <x:v>0.62</x:v>
      </x:c>
      <x:c r="I163" s="28" t="str"/>
      <x:c r="J163" s="28" t="str">
        <x:v>decimal ratio</x:v>
      </x:c>
      <x:c r="K163" s="28" t="str">
        <x:v>Finance operating schedule</x:v>
      </x:c>
      <x:c r="L163" s="34" t="str">
        <x:v>2026-06-30</x:v>
      </x:c>
      <x:c r="M163" s="28" t="str"/>
    </x:row>
    <x:row r="164">
      <x:c r="A164" s="37" t="str">
        <x:v>PLN-01084</x:v>
      </x:c>
      <x:c r="B164" s="28" t="str">
        <x:v>Backlog, pipeline, and capacity conversion</x:v>
      </x:c>
      <x:c r="C164" s="28" t="str">
        <x:v>Signed backlog conversion</x:v>
      </x:c>
      <x:c r="D164" s="28" t="str">
        <x:v>Juniper Offices</x:v>
      </x:c>
      <x:c r="E164" s="28" t="str">
        <x:v>2026-06-30</x:v>
      </x:c>
      <x:c r="F164" s="28" t="str">
        <x:v>Approved case</x:v>
      </x:c>
      <x:c r="G164" s="28" t="str">
        <x:v>FY27 burn percent</x:v>
      </x:c>
      <x:c r="H164" s="31" t="n">
        <x:v>0.28</x:v>
      </x:c>
      <x:c r="I164" s="28" t="str"/>
      <x:c r="J164" s="28" t="str">
        <x:v>decimal ratio</x:v>
      </x:c>
      <x:c r="K164" s="28" t="str">
        <x:v>Finance operating schedule</x:v>
      </x:c>
      <x:c r="L164" s="34" t="str">
        <x:v>2026-06-30</x:v>
      </x:c>
      <x:c r="M164" s="28" t="str"/>
    </x:row>
    <x:row r="165">
      <x:c r="A165" s="37" t="str">
        <x:v>PLN-01085</x:v>
      </x:c>
      <x:c r="B165" s="28" t="str">
        <x:v>Backlog, pipeline, and capacity conversion</x:v>
      </x:c>
      <x:c r="C165" s="28" t="str">
        <x:v>Signed backlog conversion</x:v>
      </x:c>
      <x:c r="D165" s="28" t="str">
        <x:v>Juniper Offices</x:v>
      </x:c>
      <x:c r="E165" s="28" t="str">
        <x:v>2026-06-30</x:v>
      </x:c>
      <x:c r="F165" s="28" t="str">
        <x:v>Approved case</x:v>
      </x:c>
      <x:c r="G165" s="28" t="str">
        <x:v>Gross margin</x:v>
      </x:c>
      <x:c r="H165" s="31" t="n">
        <x:v>0.236</x:v>
      </x:c>
      <x:c r="I165" s="28" t="str"/>
      <x:c r="J165" s="28" t="str">
        <x:v>decimal ratio</x:v>
      </x:c>
      <x:c r="K165" s="28" t="str">
        <x:v>Finance operating schedule</x:v>
      </x:c>
      <x:c r="L165" s="34" t="str">
        <x:v>2026-06-30</x:v>
      </x:c>
      <x:c r="M165" s="28" t="str"/>
    </x:row>
    <x:row r="166">
      <x:c r="A166" s="37" t="str">
        <x:v>PLN-01086</x:v>
      </x:c>
      <x:c r="B166" s="28" t="str">
        <x:v>Backlog, pipeline, and capacity conversion</x:v>
      </x:c>
      <x:c r="C166" s="28" t="str">
        <x:v>Signed backlog conversion</x:v>
      </x:c>
      <x:c r="D166" s="28" t="str">
        <x:v>Cascade Retail</x:v>
      </x:c>
      <x:c r="E166" s="28" t="str">
        <x:v>2026-06-30</x:v>
      </x:c>
      <x:c r="F166" s="28" t="str">
        <x:v>Approved case</x:v>
      </x:c>
      <x:c r="G166" s="28" t="str">
        <x:v>Signed backlog</x:v>
      </x:c>
      <x:c r="H166" s="31" t="n">
        <x:v>5600000</x:v>
      </x:c>
      <x:c r="I166" s="28" t="str"/>
      <x:c r="J166" s="28" t="str">
        <x:v>USD</x:v>
      </x:c>
      <x:c r="K166" s="28" t="str">
        <x:v>Finance operating schedule</x:v>
      </x:c>
      <x:c r="L166" s="34" t="str">
        <x:v>2026-06-30</x:v>
      </x:c>
      <x:c r="M166" s="28" t="str"/>
    </x:row>
    <x:row r="167">
      <x:c r="A167" s="37" t="str">
        <x:v>PLN-01087</x:v>
      </x:c>
      <x:c r="B167" s="28" t="str">
        <x:v>Backlog, pipeline, and capacity conversion</x:v>
      </x:c>
      <x:c r="C167" s="28" t="str">
        <x:v>Signed backlog conversion</x:v>
      </x:c>
      <x:c r="D167" s="28" t="str">
        <x:v>Cascade Retail</x:v>
      </x:c>
      <x:c r="E167" s="28" t="str">
        <x:v>2026-06-30</x:v>
      </x:c>
      <x:c r="F167" s="28" t="str">
        <x:v>Approved case</x:v>
      </x:c>
      <x:c r="G167" s="28" t="str">
        <x:v>Cancellation probability</x:v>
      </x:c>
      <x:c r="H167" s="31" t="n">
        <x:v>0.18</x:v>
      </x:c>
      <x:c r="I167" s="28" t="str"/>
      <x:c r="J167" s="28" t="str">
        <x:v>decimal ratio</x:v>
      </x:c>
      <x:c r="K167" s="28" t="str">
        <x:v>Finance operating schedule</x:v>
      </x:c>
      <x:c r="L167" s="34" t="str">
        <x:v>2026-06-30</x:v>
      </x:c>
      <x:c r="M167" s="28" t="str"/>
    </x:row>
    <x:row r="168">
      <x:c r="A168" s="37" t="str">
        <x:v>PLN-01088</x:v>
      </x:c>
      <x:c r="B168" s="28" t="str">
        <x:v>Backlog, pipeline, and capacity conversion</x:v>
      </x:c>
      <x:c r="C168" s="28" t="str">
        <x:v>Signed backlog conversion</x:v>
      </x:c>
      <x:c r="D168" s="28" t="str">
        <x:v>Cascade Retail</x:v>
      </x:c>
      <x:c r="E168" s="28" t="str">
        <x:v>2026-06-30</x:v>
      </x:c>
      <x:c r="F168" s="28" t="str">
        <x:v>Approved case</x:v>
      </x:c>
      <x:c r="G168" s="28" t="str">
        <x:v>H2 burn percent</x:v>
      </x:c>
      <x:c r="H168" s="31" t="n">
        <x:v>0.47</x:v>
      </x:c>
      <x:c r="I168" s="28" t="str"/>
      <x:c r="J168" s="28" t="str">
        <x:v>decimal ratio</x:v>
      </x:c>
      <x:c r="K168" s="28" t="str">
        <x:v>Finance operating schedule</x:v>
      </x:c>
      <x:c r="L168" s="34" t="str">
        <x:v>2026-06-30</x:v>
      </x:c>
      <x:c r="M168" s="28" t="str"/>
    </x:row>
    <x:row r="169">
      <x:c r="A169" s="37" t="str">
        <x:v>PLN-01089</x:v>
      </x:c>
      <x:c r="B169" s="28" t="str">
        <x:v>Backlog, pipeline, and capacity conversion</x:v>
      </x:c>
      <x:c r="C169" s="28" t="str">
        <x:v>Signed backlog conversion</x:v>
      </x:c>
      <x:c r="D169" s="28" t="str">
        <x:v>Cascade Retail</x:v>
      </x:c>
      <x:c r="E169" s="28" t="str">
        <x:v>2026-06-30</x:v>
      </x:c>
      <x:c r="F169" s="28" t="str">
        <x:v>Approved case</x:v>
      </x:c>
      <x:c r="G169" s="28" t="str">
        <x:v>FY27 burn percent</x:v>
      </x:c>
      <x:c r="H169" s="31" t="n">
        <x:v>0.35</x:v>
      </x:c>
      <x:c r="I169" s="28" t="str"/>
      <x:c r="J169" s="28" t="str">
        <x:v>decimal ratio</x:v>
      </x:c>
      <x:c r="K169" s="28" t="str">
        <x:v>Finance operating schedule</x:v>
      </x:c>
      <x:c r="L169" s="34" t="str">
        <x:v>2026-06-30</x:v>
      </x:c>
      <x:c r="M169" s="28" t="str"/>
    </x:row>
    <x:row r="170">
      <x:c r="A170" s="37" t="str">
        <x:v>PLN-01090</x:v>
      </x:c>
      <x:c r="B170" s="28" t="str">
        <x:v>Backlog, pipeline, and capacity conversion</x:v>
      </x:c>
      <x:c r="C170" s="28" t="str">
        <x:v>Signed backlog conversion</x:v>
      </x:c>
      <x:c r="D170" s="28" t="str">
        <x:v>Cascade Retail</x:v>
      </x:c>
      <x:c r="E170" s="28" t="str">
        <x:v>2026-06-30</x:v>
      </x:c>
      <x:c r="F170" s="28" t="str">
        <x:v>Approved case</x:v>
      </x:c>
      <x:c r="G170" s="28" t="str">
        <x:v>Gross margin</x:v>
      </x:c>
      <x:c r="H170" s="31" t="n">
        <x:v>0.205</x:v>
      </x:c>
      <x:c r="I170" s="28" t="str"/>
      <x:c r="J170" s="28" t="str">
        <x:v>decimal ratio</x:v>
      </x:c>
      <x:c r="K170" s="28" t="str">
        <x:v>Finance operating schedule</x:v>
      </x:c>
      <x:c r="L170" s="34" t="str">
        <x:v>2026-06-30</x:v>
      </x:c>
      <x:c r="M170" s="28" t="str"/>
    </x:row>
    <x:row r="171">
      <x:c r="A171" s="37" t="str">
        <x:v>PLN-01091</x:v>
      </x:c>
      <x:c r="B171" s="28" t="str">
        <x:v>Backlog, pipeline, and capacity conversion</x:v>
      </x:c>
      <x:c r="C171" s="28" t="str">
        <x:v>Qualified award pipeline</x:v>
      </x:c>
      <x:c r="D171" s="28" t="str">
        <x:v>Riverfront Hospital</x:v>
      </x:c>
      <x:c r="E171" s="28" t="str">
        <x:v>FY27</x:v>
      </x:c>
      <x:c r="F171" s="28" t="str">
        <x:v>Approved case</x:v>
      </x:c>
      <x:c r="G171" s="28" t="str">
        <x:v>Potential award</x:v>
      </x:c>
      <x:c r="H171" s="31" t="n">
        <x:v>7800000</x:v>
      </x:c>
      <x:c r="I171" s="28" t="str"/>
      <x:c r="J171" s="28" t="str">
        <x:v>USD</x:v>
      </x:c>
      <x:c r="K171" s="28" t="str">
        <x:v>Finance operating schedule</x:v>
      </x:c>
      <x:c r="L171" s="34" t="str">
        <x:v>2026-06-30</x:v>
      </x:c>
      <x:c r="M171" s="28" t="str"/>
    </x:row>
    <x:row r="172">
      <x:c r="A172" s="37" t="str">
        <x:v>PLN-01092</x:v>
      </x:c>
      <x:c r="B172" s="28" t="str">
        <x:v>Backlog, pipeline, and capacity conversion</x:v>
      </x:c>
      <x:c r="C172" s="28" t="str">
        <x:v>Qualified award pipeline</x:v>
      </x:c>
      <x:c r="D172" s="28" t="str">
        <x:v>Riverfront Hospital</x:v>
      </x:c>
      <x:c r="E172" s="28" t="str">
        <x:v>FY27</x:v>
      </x:c>
      <x:c r="F172" s="28" t="str">
        <x:v>Approved case</x:v>
      </x:c>
      <x:c r="G172" s="28" t="str">
        <x:v>Award probability</x:v>
      </x:c>
      <x:c r="H172" s="31" t="n">
        <x:v>0.7</x:v>
      </x:c>
      <x:c r="I172" s="28" t="str"/>
      <x:c r="J172" s="28" t="str">
        <x:v>decimal ratio</x:v>
      </x:c>
      <x:c r="K172" s="28" t="str">
        <x:v>Finance operating schedule</x:v>
      </x:c>
      <x:c r="L172" s="34" t="str">
        <x:v>2026-06-30</x:v>
      </x:c>
      <x:c r="M172" s="28" t="str"/>
    </x:row>
    <x:row r="173">
      <x:c r="A173" s="37" t="str">
        <x:v>PLN-01093</x:v>
      </x:c>
      <x:c r="B173" s="28" t="str">
        <x:v>Backlog, pipeline, and capacity conversion</x:v>
      </x:c>
      <x:c r="C173" s="28" t="str">
        <x:v>Qualified award pipeline</x:v>
      </x:c>
      <x:c r="D173" s="28" t="str">
        <x:v>Riverfront Hospital</x:v>
      </x:c>
      <x:c r="E173" s="28" t="str">
        <x:v>FY27</x:v>
      </x:c>
      <x:c r="F173" s="28" t="str">
        <x:v>Approved case</x:v>
      </x:c>
      <x:c r="G173" s="28" t="str">
        <x:v>FY27 conversion percent</x:v>
      </x:c>
      <x:c r="H173" s="31" t="n">
        <x:v>0.4</x:v>
      </x:c>
      <x:c r="I173" s="28" t="str"/>
      <x:c r="J173" s="28" t="str">
        <x:v>decimal ratio</x:v>
      </x:c>
      <x:c r="K173" s="28" t="str">
        <x:v>Finance operating schedule</x:v>
      </x:c>
      <x:c r="L173" s="34" t="str">
        <x:v>2026-06-30</x:v>
      </x:c>
      <x:c r="M173" s="28" t="str"/>
    </x:row>
    <x:row r="174">
      <x:c r="A174" s="37" t="str">
        <x:v>PLN-01094</x:v>
      </x:c>
      <x:c r="B174" s="28" t="str">
        <x:v>Backlog, pipeline, and capacity conversion</x:v>
      </x:c>
      <x:c r="C174" s="28" t="str">
        <x:v>Qualified award pipeline</x:v>
      </x:c>
      <x:c r="D174" s="28" t="str">
        <x:v>Riverfront Hospital</x:v>
      </x:c>
      <x:c r="E174" s="28" t="str">
        <x:v>FY27</x:v>
      </x:c>
      <x:c r="F174" s="28" t="str">
        <x:v>Approved case</x:v>
      </x:c>
      <x:c r="G174" s="28" t="str">
        <x:v>Gross margin</x:v>
      </x:c>
      <x:c r="H174" s="31" t="n">
        <x:v>0.252</x:v>
      </x:c>
      <x:c r="I174" s="28" t="str"/>
      <x:c r="J174" s="28" t="str">
        <x:v>decimal ratio</x:v>
      </x:c>
      <x:c r="K174" s="28" t="str">
        <x:v>Finance operating schedule</x:v>
      </x:c>
      <x:c r="L174" s="34" t="str">
        <x:v>2026-06-30</x:v>
      </x:c>
      <x:c r="M174" s="28" t="str"/>
    </x:row>
    <x:row r="175">
      <x:c r="A175" s="37" t="str">
        <x:v>PLN-01095</x:v>
      </x:c>
      <x:c r="B175" s="28" t="str">
        <x:v>Backlog, pipeline, and capacity conversion</x:v>
      </x:c>
      <x:c r="C175" s="28" t="str">
        <x:v>Qualified award pipeline</x:v>
      </x:c>
      <x:c r="D175" s="28" t="str">
        <x:v>Orchard Labs</x:v>
      </x:c>
      <x:c r="E175" s="28" t="str">
        <x:v>FY27</x:v>
      </x:c>
      <x:c r="F175" s="28" t="str">
        <x:v>Approved case</x:v>
      </x:c>
      <x:c r="G175" s="28" t="str">
        <x:v>Potential award</x:v>
      </x:c>
      <x:c r="H175" s="31" t="n">
        <x:v>4600000</x:v>
      </x:c>
      <x:c r="I175" s="28" t="str"/>
      <x:c r="J175" s="28" t="str">
        <x:v>USD</x:v>
      </x:c>
      <x:c r="K175" s="28" t="str">
        <x:v>Finance operating schedule</x:v>
      </x:c>
      <x:c r="L175" s="34" t="str">
        <x:v>2026-06-30</x:v>
      </x:c>
      <x:c r="M175" s="28" t="str"/>
    </x:row>
    <x:row r="176">
      <x:c r="A176" s="37" t="str">
        <x:v>PLN-01096</x:v>
      </x:c>
      <x:c r="B176" s="28" t="str">
        <x:v>Backlog, pipeline, and capacity conversion</x:v>
      </x:c>
      <x:c r="C176" s="28" t="str">
        <x:v>Qualified award pipeline</x:v>
      </x:c>
      <x:c r="D176" s="28" t="str">
        <x:v>Orchard Labs</x:v>
      </x:c>
      <x:c r="E176" s="28" t="str">
        <x:v>FY27</x:v>
      </x:c>
      <x:c r="F176" s="28" t="str">
        <x:v>Approved case</x:v>
      </x:c>
      <x:c r="G176" s="28" t="str">
        <x:v>Award probability</x:v>
      </x:c>
      <x:c r="H176" s="31" t="n">
        <x:v>0.55</x:v>
      </x:c>
      <x:c r="I176" s="28" t="str"/>
      <x:c r="J176" s="28" t="str">
        <x:v>decimal ratio</x:v>
      </x:c>
      <x:c r="K176" s="28" t="str">
        <x:v>Finance operating schedule</x:v>
      </x:c>
      <x:c r="L176" s="34" t="str">
        <x:v>2026-06-30</x:v>
      </x:c>
      <x:c r="M176" s="28" t="str"/>
    </x:row>
    <x:row r="177">
      <x:c r="A177" s="37" t="str">
        <x:v>PLN-01097</x:v>
      </x:c>
      <x:c r="B177" s="28" t="str">
        <x:v>Backlog, pipeline, and capacity conversion</x:v>
      </x:c>
      <x:c r="C177" s="28" t="str">
        <x:v>Qualified award pipeline</x:v>
      </x:c>
      <x:c r="D177" s="28" t="str">
        <x:v>Orchard Labs</x:v>
      </x:c>
      <x:c r="E177" s="28" t="str">
        <x:v>FY27</x:v>
      </x:c>
      <x:c r="F177" s="28" t="str">
        <x:v>Approved case</x:v>
      </x:c>
      <x:c r="G177" s="28" t="str">
        <x:v>FY27 conversion percent</x:v>
      </x:c>
      <x:c r="H177" s="31" t="n">
        <x:v>0.35</x:v>
      </x:c>
      <x:c r="I177" s="28" t="str"/>
      <x:c r="J177" s="28" t="str">
        <x:v>decimal ratio</x:v>
      </x:c>
      <x:c r="K177" s="28" t="str">
        <x:v>Finance operating schedule</x:v>
      </x:c>
      <x:c r="L177" s="34" t="str">
        <x:v>2026-06-30</x:v>
      </x:c>
      <x:c r="M177" s="28" t="str"/>
    </x:row>
    <x:row r="178">
      <x:c r="A178" s="37" t="str">
        <x:v>PLN-01098</x:v>
      </x:c>
      <x:c r="B178" s="28" t="str">
        <x:v>Backlog, pipeline, and capacity conversion</x:v>
      </x:c>
      <x:c r="C178" s="28" t="str">
        <x:v>Qualified award pipeline</x:v>
      </x:c>
      <x:c r="D178" s="28" t="str">
        <x:v>Orchard Labs</x:v>
      </x:c>
      <x:c r="E178" s="28" t="str">
        <x:v>FY27</x:v>
      </x:c>
      <x:c r="F178" s="28" t="str">
        <x:v>Approved case</x:v>
      </x:c>
      <x:c r="G178" s="28" t="str">
        <x:v>Gross margin</x:v>
      </x:c>
      <x:c r="H178" s="31" t="n">
        <x:v>0.278</x:v>
      </x:c>
      <x:c r="I178" s="28" t="str"/>
      <x:c r="J178" s="28" t="str">
        <x:v>decimal ratio</x:v>
      </x:c>
      <x:c r="K178" s="28" t="str">
        <x:v>Finance operating schedule</x:v>
      </x:c>
      <x:c r="L178" s="34" t="str">
        <x:v>2026-06-30</x:v>
      </x:c>
      <x:c r="M178" s="28" t="str"/>
    </x:row>
    <x:row r="179">
      <x:c r="A179" s="37" t="str">
        <x:v>PLN-01099</x:v>
      </x:c>
      <x:c r="B179" s="28" t="str">
        <x:v>Backlog, pipeline, and capacity conversion</x:v>
      </x:c>
      <x:c r="C179" s="28" t="str">
        <x:v>Qualified award pipeline</x:v>
      </x:c>
      <x:c r="D179" s="28" t="str">
        <x:v>State Archive</x:v>
      </x:c>
      <x:c r="E179" s="28" t="str">
        <x:v>FY27</x:v>
      </x:c>
      <x:c r="F179" s="28" t="str">
        <x:v>Approved case</x:v>
      </x:c>
      <x:c r="G179" s="28" t="str">
        <x:v>Potential award</x:v>
      </x:c>
      <x:c r="H179" s="31" t="n">
        <x:v>6200000</x:v>
      </x:c>
      <x:c r="I179" s="28" t="str"/>
      <x:c r="J179" s="28" t="str">
        <x:v>USD</x:v>
      </x:c>
      <x:c r="K179" s="28" t="str">
        <x:v>Finance operating schedule</x:v>
      </x:c>
      <x:c r="L179" s="34" t="str">
        <x:v>2026-06-30</x:v>
      </x:c>
      <x:c r="M179" s="28" t="str"/>
    </x:row>
    <x:row r="180">
      <x:c r="A180" s="37" t="str">
        <x:v>PLN-01100</x:v>
      </x:c>
      <x:c r="B180" s="28" t="str">
        <x:v>Backlog, pipeline, and capacity conversion</x:v>
      </x:c>
      <x:c r="C180" s="28" t="str">
        <x:v>Qualified award pipeline</x:v>
      </x:c>
      <x:c r="D180" s="28" t="str">
        <x:v>State Archive</x:v>
      </x:c>
      <x:c r="E180" s="28" t="str">
        <x:v>FY27</x:v>
      </x:c>
      <x:c r="F180" s="28" t="str">
        <x:v>Approved case</x:v>
      </x:c>
      <x:c r="G180" s="28" t="str">
        <x:v>Award probability</x:v>
      </x:c>
      <x:c r="H180" s="31" t="n">
        <x:v>0.25</x:v>
      </x:c>
      <x:c r="I180" s="28" t="str"/>
      <x:c r="J180" s="28" t="str">
        <x:v>decimal ratio</x:v>
      </x:c>
      <x:c r="K180" s="28" t="str">
        <x:v>Finance operating schedule</x:v>
      </x:c>
      <x:c r="L180" s="34" t="str">
        <x:v>2026-06-30</x:v>
      </x:c>
      <x:c r="M180" s="28" t="str"/>
    </x:row>
    <x:row r="181">
      <x:c r="A181" s="37" t="str">
        <x:v>PLN-01101</x:v>
      </x:c>
      <x:c r="B181" s="28" t="str">
        <x:v>Backlog, pipeline, and capacity conversion</x:v>
      </x:c>
      <x:c r="C181" s="28" t="str">
        <x:v>Qualified award pipeline</x:v>
      </x:c>
      <x:c r="D181" s="28" t="str">
        <x:v>State Archive</x:v>
      </x:c>
      <x:c r="E181" s="28" t="str">
        <x:v>FY27</x:v>
      </x:c>
      <x:c r="F181" s="28" t="str">
        <x:v>Approved case</x:v>
      </x:c>
      <x:c r="G181" s="28" t="str">
        <x:v>FY27 conversion percent</x:v>
      </x:c>
      <x:c r="H181" s="31" t="n">
        <x:v>0.45</x:v>
      </x:c>
      <x:c r="I181" s="28" t="str"/>
      <x:c r="J181" s="28" t="str">
        <x:v>decimal ratio</x:v>
      </x:c>
      <x:c r="K181" s="28" t="str">
        <x:v>Finance operating schedule</x:v>
      </x:c>
      <x:c r="L181" s="34" t="str">
        <x:v>2026-06-30</x:v>
      </x:c>
      <x:c r="M181" s="28" t="str"/>
    </x:row>
    <x:row r="182">
      <x:c r="A182" s="37" t="str">
        <x:v>PLN-01102</x:v>
      </x:c>
      <x:c r="B182" s="28" t="str">
        <x:v>Backlog, pipeline, and capacity conversion</x:v>
      </x:c>
      <x:c r="C182" s="28" t="str">
        <x:v>Qualified award pipeline</x:v>
      </x:c>
      <x:c r="D182" s="28" t="str">
        <x:v>State Archive</x:v>
      </x:c>
      <x:c r="E182" s="28" t="str">
        <x:v>FY27</x:v>
      </x:c>
      <x:c r="F182" s="28" t="str">
        <x:v>Approved case</x:v>
      </x:c>
      <x:c r="G182" s="28" t="str">
        <x:v>Gross margin</x:v>
      </x:c>
      <x:c r="H182" s="31" t="n">
        <x:v>0.221</x:v>
      </x:c>
      <x:c r="I182" s="28" t="str"/>
      <x:c r="J182" s="28" t="str">
        <x:v>decimal ratio</x:v>
      </x:c>
      <x:c r="K182" s="28" t="str">
        <x:v>Finance operating schedule</x:v>
      </x:c>
      <x:c r="L182" s="34" t="str">
        <x:v>2026-06-30</x:v>
      </x:c>
      <x:c r="M182" s="28" t="str"/>
    </x:row>
    <x:row r="183">
      <x:c r="A183" s="37" t="str">
        <x:v>PLN-01103</x:v>
      </x:c>
      <x:c r="B183" s="28" t="str">
        <x:v>Backlog, pipeline, and capacity conversion</x:v>
      </x:c>
      <x:c r="C183" s="28" t="str">
        <x:v>Qualified award pipeline</x:v>
      </x:c>
      <x:c r="D183" s="28" t="str">
        <x:v>Summit Hotel</x:v>
      </x:c>
      <x:c r="E183" s="28" t="str">
        <x:v>FY27</x:v>
      </x:c>
      <x:c r="F183" s="28" t="str">
        <x:v>Approved case</x:v>
      </x:c>
      <x:c r="G183" s="28" t="str">
        <x:v>Potential award</x:v>
      </x:c>
      <x:c r="H183" s="31" t="n">
        <x:v>3900000</x:v>
      </x:c>
      <x:c r="I183" s="28" t="str"/>
      <x:c r="J183" s="28" t="str">
        <x:v>USD</x:v>
      </x:c>
      <x:c r="K183" s="28" t="str">
        <x:v>Finance operating schedule</x:v>
      </x:c>
      <x:c r="L183" s="34" t="str">
        <x:v>2026-06-30</x:v>
      </x:c>
      <x:c r="M183" s="28" t="str"/>
    </x:row>
    <x:row r="184">
      <x:c r="A184" s="37" t="str">
        <x:v>PLN-01104</x:v>
      </x:c>
      <x:c r="B184" s="28" t="str">
        <x:v>Backlog, pipeline, and capacity conversion</x:v>
      </x:c>
      <x:c r="C184" s="28" t="str">
        <x:v>Qualified award pipeline</x:v>
      </x:c>
      <x:c r="D184" s="28" t="str">
        <x:v>Summit Hotel</x:v>
      </x:c>
      <x:c r="E184" s="28" t="str">
        <x:v>FY27</x:v>
      </x:c>
      <x:c r="F184" s="28" t="str">
        <x:v>Approved case</x:v>
      </x:c>
      <x:c r="G184" s="28" t="str">
        <x:v>Award probability</x:v>
      </x:c>
      <x:c r="H184" s="31" t="n">
        <x:v>0.8</x:v>
      </x:c>
      <x:c r="I184" s="28" t="str"/>
      <x:c r="J184" s="28" t="str">
        <x:v>decimal ratio</x:v>
      </x:c>
      <x:c r="K184" s="28" t="str">
        <x:v>Finance operating schedule</x:v>
      </x:c>
      <x:c r="L184" s="34" t="str">
        <x:v>2026-06-30</x:v>
      </x:c>
      <x:c r="M184" s="28" t="str"/>
    </x:row>
    <x:row r="185">
      <x:c r="A185" s="37" t="str">
        <x:v>PLN-01105</x:v>
      </x:c>
      <x:c r="B185" s="28" t="str">
        <x:v>Backlog, pipeline, and capacity conversion</x:v>
      </x:c>
      <x:c r="C185" s="28" t="str">
        <x:v>Qualified award pipeline</x:v>
      </x:c>
      <x:c r="D185" s="28" t="str">
        <x:v>Summit Hotel</x:v>
      </x:c>
      <x:c r="E185" s="28" t="str">
        <x:v>FY27</x:v>
      </x:c>
      <x:c r="F185" s="28" t="str">
        <x:v>Approved case</x:v>
      </x:c>
      <x:c r="G185" s="28" t="str">
        <x:v>FY27 conversion percent</x:v>
      </x:c>
      <x:c r="H185" s="31" t="n">
        <x:v>0.5</x:v>
      </x:c>
      <x:c r="I185" s="28" t="str"/>
      <x:c r="J185" s="28" t="str">
        <x:v>decimal ratio</x:v>
      </x:c>
      <x:c r="K185" s="28" t="str">
        <x:v>Finance operating schedule</x:v>
      </x:c>
      <x:c r="L185" s="34" t="str">
        <x:v>2026-06-30</x:v>
      </x:c>
      <x:c r="M185" s="28" t="str"/>
    </x:row>
    <x:row r="186">
      <x:c r="A186" s="37" t="str">
        <x:v>PLN-01106</x:v>
      </x:c>
      <x:c r="B186" s="28" t="str">
        <x:v>Backlog, pipeline, and capacity conversion</x:v>
      </x:c>
      <x:c r="C186" s="28" t="str">
        <x:v>Qualified award pipeline</x:v>
      </x:c>
      <x:c r="D186" s="28" t="str">
        <x:v>Summit Hotel</x:v>
      </x:c>
      <x:c r="E186" s="28" t="str">
        <x:v>FY27</x:v>
      </x:c>
      <x:c r="F186" s="28" t="str">
        <x:v>Approved case</x:v>
      </x:c>
      <x:c r="G186" s="28" t="str">
        <x:v>Gross margin</x:v>
      </x:c>
      <x:c r="H186" s="31" t="n">
        <x:v>0.264</x:v>
      </x:c>
      <x:c r="I186" s="28" t="str"/>
      <x:c r="J186" s="28" t="str">
        <x:v>decimal ratio</x:v>
      </x:c>
      <x:c r="K186" s="28" t="str">
        <x:v>Finance operating schedule</x:v>
      </x:c>
      <x:c r="L186" s="34" t="str">
        <x:v>2026-06-30</x:v>
      </x:c>
      <x:c r="M186" s="28" t="str"/>
    </x:row>
    <x:row r="187">
      <x:c r="A187" s="37" t="str">
        <x:v>PLN-01107</x:v>
      </x:c>
      <x:c r="B187" s="28" t="str">
        <x:v>Backlog, pipeline, and capacity conversion</x:v>
      </x:c>
      <x:c r="C187" s="28" t="str">
        <x:v>Backlog coverage policy</x:v>
      </x:c>
      <x:c r="D187" s="28" t="str">
        <x:v>Construction</x:v>
      </x:c>
      <x:c r="E187" s="28" t="str">
        <x:v>Plan</x:v>
      </x:c>
      <x:c r="F187" s="28" t="str">
        <x:v>Approved case</x:v>
      </x:c>
      <x:c r="G187" s="28" t="str">
        <x:v>H2 revenue plan</x:v>
      </x:c>
      <x:c r="H187" s="31" t="n">
        <x:v>15900000</x:v>
      </x:c>
      <x:c r="I187" s="28" t="str"/>
      <x:c r="J187" s="28" t="str">
        <x:v>USD</x:v>
      </x:c>
      <x:c r="K187" s="28" t="str">
        <x:v>Finance operating schedule</x:v>
      </x:c>
      <x:c r="L187" s="34" t="str">
        <x:v>2026-06-30</x:v>
      </x:c>
      <x:c r="M187" s="28" t="str"/>
    </x:row>
    <x:row r="188">
      <x:c r="A188" s="37" t="str">
        <x:v>PLN-01108</x:v>
      </x:c>
      <x:c r="B188" s="28" t="str">
        <x:v>Backlog, pipeline, and capacity conversion</x:v>
      </x:c>
      <x:c r="C188" s="28" t="str">
        <x:v>Backlog coverage policy</x:v>
      </x:c>
      <x:c r="D188" s="28" t="str">
        <x:v>Construction</x:v>
      </x:c>
      <x:c r="E188" s="28" t="str">
        <x:v>Plan</x:v>
      </x:c>
      <x:c r="F188" s="28" t="str">
        <x:v>Approved case</x:v>
      </x:c>
      <x:c r="G188" s="28" t="str">
        <x:v>FY27 construction revenue plan</x:v>
      </x:c>
      <x:c r="H188" s="31" t="n">
        <x:v>31100000</x:v>
      </x:c>
      <x:c r="I188" s="28" t="str"/>
      <x:c r="J188" s="28" t="str">
        <x:v>USD</x:v>
      </x:c>
      <x:c r="K188" s="28" t="str">
        <x:v>Finance operating schedule</x:v>
      </x:c>
      <x:c r="L188" s="34" t="str">
        <x:v>2026-06-30</x:v>
      </x:c>
      <x:c r="M188" s="28" t="str"/>
    </x:row>
    <x:row r="189">
      <x:c r="A189" s="37" t="str">
        <x:v>PLN-01109</x:v>
      </x:c>
      <x:c r="B189" s="28" t="str">
        <x:v>Backlog, pipeline, and capacity conversion</x:v>
      </x:c>
      <x:c r="C189" s="28" t="str">
        <x:v>Backlog coverage policy</x:v>
      </x:c>
      <x:c r="D189" s="28" t="str">
        <x:v>Construction</x:v>
      </x:c>
      <x:c r="E189" s="28" t="str">
        <x:v>Plan</x:v>
      </x:c>
      <x:c r="F189" s="28" t="str">
        <x:v>Approved case</x:v>
      </x:c>
      <x:c r="G189" s="28" t="str">
        <x:v>Maximum internal delivery</x:v>
      </x:c>
      <x:c r="H189" s="31" t="n">
        <x:v>18000</x:v>
      </x:c>
      <x:c r="I189" s="28" t="str"/>
      <x:c r="J189" s="28" t="str">
        <x:v>USD thousands</x:v>
      </x:c>
      <x:c r="K189" s="28" t="str">
        <x:v>Finance operating schedule</x:v>
      </x:c>
      <x:c r="L189" s="34" t="str">
        <x:v>2026-06-30</x:v>
      </x:c>
      <x:c r="M189" s="28" t="str"/>
    </x:row>
    <x:row r="190">
      <x:c r="A190" s="37" t="str">
        <x:v>PLN-01124</x:v>
      </x:c>
      <x:c r="B190" s="28" t="str">
        <x:v>Backlog, pipeline, and capacity conversion</x:v>
      </x:c>
      <x:c r="C190" s="28" t="str">
        <x:v>FY27 delivery portfolio candidates</x:v>
      </x:c>
      <x:c r="D190" s="28" t="str">
        <x:v>Cedar Medical</x:v>
      </x:c>
      <x:c r="E190" s="28" t="str">
        <x:v>FY27</x:v>
      </x:c>
      <x:c r="F190" s="28" t="str">
        <x:v>Approved case</x:v>
      </x:c>
      <x:c r="G190" s="28" t="str">
        <x:v>Risk-adjusted revenue</x:v>
      </x:c>
      <x:c r="H190" s="31" t="n">
        <x:v>3350000</x:v>
      </x:c>
      <x:c r="I190" s="28" t="str"/>
      <x:c r="J190" s="28" t="str">
        <x:v>USD</x:v>
      </x:c>
      <x:c r="K190" s="28" t="str">
        <x:v>Finance operating schedule</x:v>
      </x:c>
      <x:c r="L190" s="34" t="str">
        <x:v>2026-06-30</x:v>
      </x:c>
      <x:c r="M190" s="28" t="str"/>
    </x:row>
    <x:row r="191">
      <x:c r="A191" s="37" t="str">
        <x:v>PLN-01125</x:v>
      </x:c>
      <x:c r="B191" s="28" t="str">
        <x:v>Backlog, pipeline, and capacity conversion</x:v>
      </x:c>
      <x:c r="C191" s="28" t="str">
        <x:v>FY27 delivery portfolio candidates</x:v>
      </x:c>
      <x:c r="D191" s="28" t="str">
        <x:v>Cedar Medical</x:v>
      </x:c>
      <x:c r="E191" s="28" t="str">
        <x:v>FY27</x:v>
      </x:c>
      <x:c r="F191" s="28" t="str">
        <x:v>Approved case</x:v>
      </x:c>
      <x:c r="G191" s="28" t="str">
        <x:v>Gross margin</x:v>
      </x:c>
      <x:c r="H191" s="31" t="n">
        <x:v>0.245</x:v>
      </x:c>
      <x:c r="I191" s="28" t="str"/>
      <x:c r="J191" s="28" t="str">
        <x:v>decimal ratio</x:v>
      </x:c>
      <x:c r="K191" s="28" t="str">
        <x:v>Finance operating schedule</x:v>
      </x:c>
      <x:c r="L191" s="34" t="str">
        <x:v>2026-06-30</x:v>
      </x:c>
      <x:c r="M191" s="28" t="str"/>
    </x:row>
    <x:row r="192">
      <x:c r="A192" s="37" t="str">
        <x:v>PLN-01126</x:v>
      </x:c>
      <x:c r="B192" s="28" t="str">
        <x:v>Backlog, pipeline, and capacity conversion</x:v>
      </x:c>
      <x:c r="C192" s="28" t="str">
        <x:v>FY27 delivery portfolio candidates</x:v>
      </x:c>
      <x:c r="D192" s="28" t="str">
        <x:v>Cedar Medical</x:v>
      </x:c>
      <x:c r="E192" s="28" t="str">
        <x:v>FY27</x:v>
      </x:c>
      <x:c r="F192" s="28" t="str">
        <x:v>Approved case</x:v>
      </x:c>
      <x:c r="G192" s="28" t="str">
        <x:v>Required labor hours</x:v>
      </x:c>
      <x:c r="H192" s="31" t="n">
        <x:v>17500</x:v>
      </x:c>
      <x:c r="I192" s="28" t="str"/>
      <x:c r="J192" s="28" t="str">
        <x:v>hours</x:v>
      </x:c>
      <x:c r="K192" s="28" t="str">
        <x:v>Finance operating schedule</x:v>
      </x:c>
      <x:c r="L192" s="34" t="str">
        <x:v>2026-06-30</x:v>
      </x:c>
      <x:c r="M192" s="28" t="str"/>
    </x:row>
    <x:row r="193">
      <x:c r="A193" s="37" t="str">
        <x:v>PLN-01127</x:v>
      </x:c>
      <x:c r="B193" s="28" t="str">
        <x:v>Backlog, pipeline, and capacity conversion</x:v>
      </x:c>
      <x:c r="C193" s="28" t="str">
        <x:v>FY27 delivery portfolio candidates</x:v>
      </x:c>
      <x:c r="D193" s="28" t="str">
        <x:v>Cedar Medical</x:v>
      </x:c>
      <x:c r="E193" s="28" t="str">
        <x:v>FY27</x:v>
      </x:c>
      <x:c r="F193" s="28" t="str">
        <x:v>Approved case</x:v>
      </x:c>
      <x:c r="G193" s="28" t="str">
        <x:v>Bonded revenue</x:v>
      </x:c>
      <x:c r="H193" s="31" t="n">
        <x:v>3350</x:v>
      </x:c>
      <x:c r="I193" s="28" t="str"/>
      <x:c r="J193" s="28" t="str">
        <x:v>USD thousands</x:v>
      </x:c>
      <x:c r="K193" s="28" t="str">
        <x:v>Finance operating schedule</x:v>
      </x:c>
      <x:c r="L193" s="34" t="str">
        <x:v>2026-06-30</x:v>
      </x:c>
      <x:c r="M193" s="28" t="str"/>
    </x:row>
    <x:row r="194">
      <x:c r="A194" s="37" t="str">
        <x:v>PLN-01128</x:v>
      </x:c>
      <x:c r="B194" s="28" t="str">
        <x:v>Backlog, pipeline, and capacity conversion</x:v>
      </x:c>
      <x:c r="C194" s="28" t="str">
        <x:v>FY27 delivery portfolio candidates</x:v>
      </x:c>
      <x:c r="D194" s="28" t="str">
        <x:v>Cedar Medical</x:v>
      </x:c>
      <x:c r="E194" s="28" t="str">
        <x:v>FY27</x:v>
      </x:c>
      <x:c r="F194" s="28" t="str">
        <x:v>Approved case</x:v>
      </x:c>
      <x:c r="G194" s="28" t="str">
        <x:v>Mandatory signed award</x:v>
      </x:c>
      <x:c r="H194" s="31" t="n">
        <x:v>1</x:v>
      </x:c>
      <x:c r="I194" s="28" t="str"/>
      <x:c r="J194" s="28" t="str">
        <x:v>boolean</x:v>
      </x:c>
      <x:c r="K194" s="28" t="str">
        <x:v>Finance operating schedule</x:v>
      </x:c>
      <x:c r="L194" s="34" t="str">
        <x:v>2026-06-30</x:v>
      </x:c>
      <x:c r="M194" s="28" t="str"/>
    </x:row>
    <x:row r="195">
      <x:c r="A195" s="37" t="str">
        <x:v>PLN-01129</x:v>
      </x:c>
      <x:c r="B195" s="28" t="str">
        <x:v>Backlog, pipeline, and capacity conversion</x:v>
      </x:c>
      <x:c r="C195" s="28" t="str">
        <x:v>FY27 delivery portfolio candidates</x:v>
      </x:c>
      <x:c r="D195" s="28" t="str">
        <x:v>Portland Schools</x:v>
      </x:c>
      <x:c r="E195" s="28" t="str">
        <x:v>FY27</x:v>
      </x:c>
      <x:c r="F195" s="28" t="str">
        <x:v>Approved case</x:v>
      </x:c>
      <x:c r="G195" s="28" t="str">
        <x:v>Risk-adjusted revenue</x:v>
      </x:c>
      <x:c r="H195" s="31" t="n">
        <x:v>2565000</x:v>
      </x:c>
      <x:c r="I195" s="28" t="str"/>
      <x:c r="J195" s="28" t="str">
        <x:v>USD</x:v>
      </x:c>
      <x:c r="K195" s="28" t="str">
        <x:v>Finance operating schedule</x:v>
      </x:c>
      <x:c r="L195" s="34" t="str">
        <x:v>2026-06-30</x:v>
      </x:c>
      <x:c r="M195" s="28" t="str"/>
    </x:row>
    <x:row r="196">
      <x:c r="A196" s="37" t="str">
        <x:v>PLN-01130</x:v>
      </x:c>
      <x:c r="B196" s="28" t="str">
        <x:v>Backlog, pipeline, and capacity conversion</x:v>
      </x:c>
      <x:c r="C196" s="28" t="str">
        <x:v>FY27 delivery portfolio candidates</x:v>
      </x:c>
      <x:c r="D196" s="28" t="str">
        <x:v>Portland Schools</x:v>
      </x:c>
      <x:c r="E196" s="28" t="str">
        <x:v>FY27</x:v>
      </x:c>
      <x:c r="F196" s="28" t="str">
        <x:v>Approved case</x:v>
      </x:c>
      <x:c r="G196" s="28" t="str">
        <x:v>Gross margin</x:v>
      </x:c>
      <x:c r="H196" s="31" t="n">
        <x:v>0.218</x:v>
      </x:c>
      <x:c r="I196" s="28" t="str"/>
      <x:c r="J196" s="28" t="str">
        <x:v>decimal ratio</x:v>
      </x:c>
      <x:c r="K196" s="28" t="str">
        <x:v>Finance operating schedule</x:v>
      </x:c>
      <x:c r="L196" s="34" t="str">
        <x:v>2026-06-30</x:v>
      </x:c>
      <x:c r="M196" s="28" t="str"/>
    </x:row>
    <x:row r="197">
      <x:c r="A197" s="37" t="str">
        <x:v>PLN-01131</x:v>
      </x:c>
      <x:c r="B197" s="28" t="str">
        <x:v>Backlog, pipeline, and capacity conversion</x:v>
      </x:c>
      <x:c r="C197" s="28" t="str">
        <x:v>FY27 delivery portfolio candidates</x:v>
      </x:c>
      <x:c r="D197" s="28" t="str">
        <x:v>Portland Schools</x:v>
      </x:c>
      <x:c r="E197" s="28" t="str">
        <x:v>FY27</x:v>
      </x:c>
      <x:c r="F197" s="28" t="str">
        <x:v>Approved case</x:v>
      </x:c>
      <x:c r="G197" s="28" t="str">
        <x:v>Required labor hours</x:v>
      </x:c>
      <x:c r="H197" s="31" t="n">
        <x:v>15600</x:v>
      </x:c>
      <x:c r="I197" s="28" t="str"/>
      <x:c r="J197" s="28" t="str">
        <x:v>hours</x:v>
      </x:c>
      <x:c r="K197" s="28" t="str">
        <x:v>Finance operating schedule</x:v>
      </x:c>
      <x:c r="L197" s="34" t="str">
        <x:v>2026-06-30</x:v>
      </x:c>
      <x:c r="M197" s="28" t="str"/>
    </x:row>
    <x:row r="198">
      <x:c r="A198" s="37" t="str">
        <x:v>PLN-01132</x:v>
      </x:c>
      <x:c r="B198" s="28" t="str">
        <x:v>Backlog, pipeline, and capacity conversion</x:v>
      </x:c>
      <x:c r="C198" s="28" t="str">
        <x:v>FY27 delivery portfolio candidates</x:v>
      </x:c>
      <x:c r="D198" s="28" t="str">
        <x:v>Portland Schools</x:v>
      </x:c>
      <x:c r="E198" s="28" t="str">
        <x:v>FY27</x:v>
      </x:c>
      <x:c r="F198" s="28" t="str">
        <x:v>Approved case</x:v>
      </x:c>
      <x:c r="G198" s="28" t="str">
        <x:v>Bonded revenue</x:v>
      </x:c>
      <x:c r="H198" s="31" t="n">
        <x:v>2565000</x:v>
      </x:c>
      <x:c r="I198" s="28" t="str"/>
      <x:c r="J198" s="28" t="str">
        <x:v>USD</x:v>
      </x:c>
      <x:c r="K198" s="28" t="str">
        <x:v>Finance operating schedule</x:v>
      </x:c>
      <x:c r="L198" s="34" t="str">
        <x:v>2026-06-30</x:v>
      </x:c>
      <x:c r="M198" s="28" t="str"/>
    </x:row>
    <x:row r="199">
      <x:c r="A199" s="37" t="str">
        <x:v>PLN-01133</x:v>
      </x:c>
      <x:c r="B199" s="28" t="str">
        <x:v>Backlog, pipeline, and capacity conversion</x:v>
      </x:c>
      <x:c r="C199" s="28" t="str">
        <x:v>FY27 delivery portfolio candidates</x:v>
      </x:c>
      <x:c r="D199" s="28" t="str">
        <x:v>Portland Schools</x:v>
      </x:c>
      <x:c r="E199" s="28" t="str">
        <x:v>FY27</x:v>
      </x:c>
      <x:c r="F199" s="28" t="str">
        <x:v>Approved case</x:v>
      </x:c>
      <x:c r="G199" s="28" t="str">
        <x:v>Mandatory signed award</x:v>
      </x:c>
      <x:c r="H199" s="31" t="n">
        <x:v>1</x:v>
      </x:c>
      <x:c r="I199" s="28" t="str"/>
      <x:c r="J199" s="28" t="str">
        <x:v>boolean</x:v>
      </x:c>
      <x:c r="K199" s="28" t="str">
        <x:v>Finance operating schedule</x:v>
      </x:c>
      <x:c r="L199" s="34" t="str">
        <x:v>2026-06-30</x:v>
      </x:c>
      <x:c r="M199" s="28" t="str"/>
    </x:row>
    <x:row r="200">
      <x:c r="A200" s="37" t="str">
        <x:v>PLN-01134</x:v>
      </x:c>
      <x:c r="B200" s="28" t="str">
        <x:v>Backlog, pipeline, and capacity conversion</x:v>
      </x:c>
      <x:c r="C200" s="28" t="str">
        <x:v>FY27 delivery portfolio candidates</x:v>
      </x:c>
      <x:c r="D200" s="28" t="str">
        <x:v>Helix Data Center</x:v>
      </x:c>
      <x:c r="E200" s="28" t="str">
        <x:v>FY27</x:v>
      </x:c>
      <x:c r="F200" s="28" t="str">
        <x:v>Approved case</x:v>
      </x:c>
      <x:c r="G200" s="28" t="str">
        <x:v>Risk-adjusted revenue</x:v>
      </x:c>
      <x:c r="H200" s="31" t="n">
        <x:v>4488000</x:v>
      </x:c>
      <x:c r="I200" s="28" t="str"/>
      <x:c r="J200" s="28" t="str">
        <x:v>USD</x:v>
      </x:c>
      <x:c r="K200" s="28" t="str">
        <x:v>Finance operating schedule</x:v>
      </x:c>
      <x:c r="L200" s="34" t="str">
        <x:v>2026-06-30</x:v>
      </x:c>
      <x:c r="M200" s="28" t="str"/>
    </x:row>
    <x:row r="201">
      <x:c r="A201" s="37" t="str">
        <x:v>PLN-01135</x:v>
      </x:c>
      <x:c r="B201" s="28" t="str">
        <x:v>Backlog, pipeline, and capacity conversion</x:v>
      </x:c>
      <x:c r="C201" s="28" t="str">
        <x:v>FY27 delivery portfolio candidates</x:v>
      </x:c>
      <x:c r="D201" s="28" t="str">
        <x:v>Helix Data Center</x:v>
      </x:c>
      <x:c r="E201" s="28" t="str">
        <x:v>FY27</x:v>
      </x:c>
      <x:c r="F201" s="28" t="str">
        <x:v>Approved case</x:v>
      </x:c>
      <x:c r="G201" s="28" t="str">
        <x:v>Gross margin</x:v>
      </x:c>
      <x:c r="H201" s="31" t="n">
        <x:v>0.271</x:v>
      </x:c>
      <x:c r="I201" s="28" t="str"/>
      <x:c r="J201" s="28" t="str">
        <x:v>decimal ratio</x:v>
      </x:c>
      <x:c r="K201" s="28" t="str">
        <x:v>Finance operating schedule</x:v>
      </x:c>
      <x:c r="L201" s="34" t="str">
        <x:v>2026-06-30</x:v>
      </x:c>
      <x:c r="M201" s="28" t="str"/>
    </x:row>
    <x:row r="202">
      <x:c r="A202" s="37" t="str">
        <x:v>PLN-01136</x:v>
      </x:c>
      <x:c r="B202" s="28" t="str">
        <x:v>Backlog, pipeline, and capacity conversion</x:v>
      </x:c>
      <x:c r="C202" s="28" t="str">
        <x:v>FY27 delivery portfolio candidates</x:v>
      </x:c>
      <x:c r="D202" s="28" t="str">
        <x:v>Helix Data Center</x:v>
      </x:c>
      <x:c r="E202" s="28" t="str">
        <x:v>FY27</x:v>
      </x:c>
      <x:c r="F202" s="28" t="str">
        <x:v>Approved case</x:v>
      </x:c>
      <x:c r="G202" s="28" t="str">
        <x:v>Required labor hours</x:v>
      </x:c>
      <x:c r="H202" s="31" t="n">
        <x:v>25900</x:v>
      </x:c>
      <x:c r="I202" s="28" t="str"/>
      <x:c r="J202" s="28" t="str">
        <x:v>hours</x:v>
      </x:c>
      <x:c r="K202" s="28" t="str">
        <x:v>Finance operating schedule</x:v>
      </x:c>
      <x:c r="L202" s="34" t="str">
        <x:v>2026-06-30</x:v>
      </x:c>
      <x:c r="M202" s="28" t="str"/>
    </x:row>
    <x:row r="203">
      <x:c r="A203" s="37" t="str">
        <x:v>PLN-01137</x:v>
      </x:c>
      <x:c r="B203" s="28" t="str">
        <x:v>Backlog, pipeline, and capacity conversion</x:v>
      </x:c>
      <x:c r="C203" s="28" t="str">
        <x:v>FY27 delivery portfolio candidates</x:v>
      </x:c>
      <x:c r="D203" s="28" t="str">
        <x:v>Helix Data Center</x:v>
      </x:c>
      <x:c r="E203" s="28" t="str">
        <x:v>FY27</x:v>
      </x:c>
      <x:c r="F203" s="28" t="str">
        <x:v>Approved case</x:v>
      </x:c>
      <x:c r="G203" s="28" t="str">
        <x:v>Bonded revenue</x:v>
      </x:c>
      <x:c r="H203" s="31" t="n">
        <x:v>4488000</x:v>
      </x:c>
      <x:c r="I203" s="28" t="str"/>
      <x:c r="J203" s="28" t="str">
        <x:v>USD</x:v>
      </x:c>
      <x:c r="K203" s="28" t="str">
        <x:v>Finance operating schedule</x:v>
      </x:c>
      <x:c r="L203" s="34" t="str">
        <x:v>2026-06-30</x:v>
      </x:c>
      <x:c r="M203" s="28" t="str"/>
    </x:row>
    <x:row r="204">
      <x:c r="A204" s="37" t="str">
        <x:v>PLN-01138</x:v>
      </x:c>
      <x:c r="B204" s="28" t="str">
        <x:v>Backlog, pipeline, and capacity conversion</x:v>
      </x:c>
      <x:c r="C204" s="28" t="str">
        <x:v>FY27 delivery portfolio candidates</x:v>
      </x:c>
      <x:c r="D204" s="28" t="str">
        <x:v>Helix Data Center</x:v>
      </x:c>
      <x:c r="E204" s="28" t="str">
        <x:v>FY27</x:v>
      </x:c>
      <x:c r="F204" s="28" t="str">
        <x:v>Approved case</x:v>
      </x:c>
      <x:c r="G204" s="28" t="str">
        <x:v>Mandatory signed award</x:v>
      </x:c>
      <x:c r="H204" s="31" t="n">
        <x:v>1</x:v>
      </x:c>
      <x:c r="I204" s="28" t="str"/>
      <x:c r="J204" s="28" t="str">
        <x:v>boolean</x:v>
      </x:c>
      <x:c r="K204" s="28" t="str">
        <x:v>Finance operating schedule</x:v>
      </x:c>
      <x:c r="L204" s="34" t="str">
        <x:v>2026-06-30</x:v>
      </x:c>
      <x:c r="M204" s="28" t="str"/>
    </x:row>
    <x:row r="205">
      <x:c r="A205" s="37" t="str">
        <x:v>PLN-01139</x:v>
      </x:c>
      <x:c r="B205" s="28" t="str">
        <x:v>Backlog, pipeline, and capacity conversion</x:v>
      </x:c>
      <x:c r="C205" s="28" t="str">
        <x:v>FY27 delivery portfolio candidates</x:v>
      </x:c>
      <x:c r="D205" s="28" t="str">
        <x:v>Juniper Offices</x:v>
      </x:c>
      <x:c r="E205" s="28" t="str">
        <x:v>FY27</x:v>
      </x:c>
      <x:c r="F205" s="28" t="str">
        <x:v>Approved case</x:v>
      </x:c>
      <x:c r="G205" s="28" t="str">
        <x:v>Risk-adjusted revenue</x:v>
      </x:c>
      <x:c r="H205" s="31" t="n">
        <x:v>1275</x:v>
      </x:c>
      <x:c r="I205" s="28" t="str"/>
      <x:c r="J205" s="28" t="str">
        <x:v>USD thousands</x:v>
      </x:c>
      <x:c r="K205" s="28" t="str">
        <x:v>Finance operating schedule</x:v>
      </x:c>
      <x:c r="L205" s="34" t="str">
        <x:v>2026-06-30</x:v>
      </x:c>
      <x:c r="M205" s="28" t="str"/>
    </x:row>
    <x:row r="206">
      <x:c r="A206" s="37" t="str">
        <x:v>PLN-01140</x:v>
      </x:c>
      <x:c r="B206" s="28" t="str">
        <x:v>Backlog, pipeline, and capacity conversion</x:v>
      </x:c>
      <x:c r="C206" s="28" t="str">
        <x:v>FY27 delivery portfolio candidates</x:v>
      </x:c>
      <x:c r="D206" s="28" t="str">
        <x:v>Juniper Offices</x:v>
      </x:c>
      <x:c r="E206" s="28" t="str">
        <x:v>FY27</x:v>
      </x:c>
      <x:c r="F206" s="28" t="str">
        <x:v>Approved case</x:v>
      </x:c>
      <x:c r="G206" s="28" t="str">
        <x:v>Gross margin</x:v>
      </x:c>
      <x:c r="H206" s="31" t="n">
        <x:v>0.236</x:v>
      </x:c>
      <x:c r="I206" s="28" t="str"/>
      <x:c r="J206" s="28" t="str">
        <x:v>decimal ratio</x:v>
      </x:c>
      <x:c r="K206" s="28" t="str">
        <x:v>Finance operating schedule</x:v>
      </x:c>
      <x:c r="L206" s="34" t="str">
        <x:v>2026-06-30</x:v>
      </x:c>
      <x:c r="M206" s="28" t="str"/>
    </x:row>
    <x:row r="207">
      <x:c r="A207" s="37" t="str">
        <x:v>PLN-01141</x:v>
      </x:c>
      <x:c r="B207" s="28" t="str">
        <x:v>Backlog, pipeline, and capacity conversion</x:v>
      </x:c>
      <x:c r="C207" s="28" t="str">
        <x:v>FY27 delivery portfolio candidates</x:v>
      </x:c>
      <x:c r="D207" s="28" t="str">
        <x:v>Juniper Offices</x:v>
      </x:c>
      <x:c r="E207" s="28" t="str">
        <x:v>FY27</x:v>
      </x:c>
      <x:c r="F207" s="28" t="str">
        <x:v>Approved case</x:v>
      </x:c>
      <x:c r="G207" s="28" t="str">
        <x:v>Required labor hours</x:v>
      </x:c>
      <x:c r="H207" s="31" t="n">
        <x:v>7100</x:v>
      </x:c>
      <x:c r="I207" s="28" t="str"/>
      <x:c r="J207" s="28" t="str">
        <x:v>hours</x:v>
      </x:c>
      <x:c r="K207" s="28" t="str">
        <x:v>Finance operating schedule</x:v>
      </x:c>
      <x:c r="L207" s="34" t="str">
        <x:v>2026-06-30</x:v>
      </x:c>
      <x:c r="M207" s="28" t="str"/>
    </x:row>
    <x:row r="208">
      <x:c r="A208" s="37" t="str">
        <x:v>PLN-01142</x:v>
      </x:c>
      <x:c r="B208" s="28" t="str">
        <x:v>Backlog, pipeline, and capacity conversion</x:v>
      </x:c>
      <x:c r="C208" s="28" t="str">
        <x:v>FY27 delivery portfolio candidates</x:v>
      </x:c>
      <x:c r="D208" s="28" t="str">
        <x:v>Juniper Offices</x:v>
      </x:c>
      <x:c r="E208" s="28" t="str">
        <x:v>FY27</x:v>
      </x:c>
      <x:c r="F208" s="28" t="str">
        <x:v>Approved case</x:v>
      </x:c>
      <x:c r="G208" s="28" t="str">
        <x:v>Bonded revenue</x:v>
      </x:c>
      <x:c r="H208" s="31" t="n">
        <x:v>1275000</x:v>
      </x:c>
      <x:c r="I208" s="28" t="str"/>
      <x:c r="J208" s="28" t="str">
        <x:v>USD</x:v>
      </x:c>
      <x:c r="K208" s="28" t="str">
        <x:v>Finance operating schedule</x:v>
      </x:c>
      <x:c r="L208" s="34" t="str">
        <x:v>2026-06-30</x:v>
      </x:c>
      <x:c r="M208" s="28" t="str"/>
    </x:row>
    <x:row r="209">
      <x:c r="A209" s="37" t="str">
        <x:v>PLN-01143</x:v>
      </x:c>
      <x:c r="B209" s="28" t="str">
        <x:v>Backlog, pipeline, and capacity conversion</x:v>
      </x:c>
      <x:c r="C209" s="28" t="str">
        <x:v>FY27 delivery portfolio candidates</x:v>
      </x:c>
      <x:c r="D209" s="28" t="str">
        <x:v>Juniper Offices</x:v>
      </x:c>
      <x:c r="E209" s="28" t="str">
        <x:v>FY27</x:v>
      </x:c>
      <x:c r="F209" s="28" t="str">
        <x:v>Approved case</x:v>
      </x:c>
      <x:c r="G209" s="28" t="str">
        <x:v>Mandatory signed award</x:v>
      </x:c>
      <x:c r="H209" s="31" t="n">
        <x:v>1</x:v>
      </x:c>
      <x:c r="I209" s="28" t="str"/>
      <x:c r="J209" s="28" t="str">
        <x:v>boolean</x:v>
      </x:c>
      <x:c r="K209" s="28" t="str">
        <x:v>Finance operating schedule</x:v>
      </x:c>
      <x:c r="L209" s="34" t="str">
        <x:v>2026-06-30</x:v>
      </x:c>
      <x:c r="M209" s="28" t="str"/>
    </x:row>
    <x:row r="210">
      <x:c r="A210" s="37" t="str">
        <x:v>PLN-01144</x:v>
      </x:c>
      <x:c r="B210" s="28" t="str">
        <x:v>Backlog, pipeline, and capacity conversion</x:v>
      </x:c>
      <x:c r="C210" s="28" t="str">
        <x:v>FY27 delivery portfolio candidates</x:v>
      </x:c>
      <x:c r="D210" s="28" t="str">
        <x:v>Cascade Retail</x:v>
      </x:c>
      <x:c r="E210" s="28" t="str">
        <x:v>FY27</x:v>
      </x:c>
      <x:c r="F210" s="28" t="str">
        <x:v>Approved case</x:v>
      </x:c>
      <x:c r="G210" s="28" t="str">
        <x:v>Risk-adjusted revenue</x:v>
      </x:c>
      <x:c r="H210" s="31" t="n">
        <x:v>1928000</x:v>
      </x:c>
      <x:c r="I210" s="28" t="str"/>
      <x:c r="J210" s="28" t="str">
        <x:v>USD</x:v>
      </x:c>
      <x:c r="K210" s="28" t="str">
        <x:v>Finance operating schedule</x:v>
      </x:c>
      <x:c r="L210" s="34" t="str">
        <x:v>2026-06-30</x:v>
      </x:c>
      <x:c r="M210" s="28" t="str"/>
    </x:row>
    <x:row r="211">
      <x:c r="A211" s="37" t="str">
        <x:v>PLN-01145</x:v>
      </x:c>
      <x:c r="B211" s="28" t="str">
        <x:v>Backlog, pipeline, and capacity conversion</x:v>
      </x:c>
      <x:c r="C211" s="28" t="str">
        <x:v>FY27 delivery portfolio candidates</x:v>
      </x:c>
      <x:c r="D211" s="28" t="str">
        <x:v>Cascade Retail</x:v>
      </x:c>
      <x:c r="E211" s="28" t="str">
        <x:v>FY27</x:v>
      </x:c>
      <x:c r="F211" s="28" t="str">
        <x:v>Approved case</x:v>
      </x:c>
      <x:c r="G211" s="28" t="str">
        <x:v>Gross margin</x:v>
      </x:c>
      <x:c r="H211" s="31" t="n">
        <x:v>0.205</x:v>
      </x:c>
      <x:c r="I211" s="28" t="str"/>
      <x:c r="J211" s="28" t="str">
        <x:v>decimal ratio</x:v>
      </x:c>
      <x:c r="K211" s="28" t="str">
        <x:v>Finance operating schedule</x:v>
      </x:c>
      <x:c r="L211" s="34" t="str">
        <x:v>2026-06-30</x:v>
      </x:c>
      <x:c r="M211" s="28" t="str"/>
    </x:row>
    <x:row r="212">
      <x:c r="A212" s="37" t="str">
        <x:v>PLN-01146</x:v>
      </x:c>
      <x:c r="B212" s="28" t="str">
        <x:v>Backlog, pipeline, and capacity conversion</x:v>
      </x:c>
      <x:c r="C212" s="28" t="str">
        <x:v>FY27 delivery portfolio candidates</x:v>
      </x:c>
      <x:c r="D212" s="28" t="str">
        <x:v>Cascade Retail</x:v>
      </x:c>
      <x:c r="E212" s="28" t="str">
        <x:v>FY27</x:v>
      </x:c>
      <x:c r="F212" s="28" t="str">
        <x:v>Approved case</x:v>
      </x:c>
      <x:c r="G212" s="28" t="str">
        <x:v>Required labor hours</x:v>
      </x:c>
      <x:c r="H212" s="31" t="n">
        <x:v>13200</x:v>
      </x:c>
      <x:c r="I212" s="28" t="str"/>
      <x:c r="J212" s="28" t="str">
        <x:v>hours</x:v>
      </x:c>
      <x:c r="K212" s="28" t="str">
        <x:v>Finance operating schedule</x:v>
      </x:c>
      <x:c r="L212" s="34" t="str">
        <x:v>2026-06-30</x:v>
      </x:c>
      <x:c r="M212" s="28" t="str"/>
    </x:row>
    <x:row r="213">
      <x:c r="A213" s="37" t="str">
        <x:v>PLN-01147</x:v>
      </x:c>
      <x:c r="B213" s="28" t="str">
        <x:v>Backlog, pipeline, and capacity conversion</x:v>
      </x:c>
      <x:c r="C213" s="28" t="str">
        <x:v>FY27 delivery portfolio candidates</x:v>
      </x:c>
      <x:c r="D213" s="28" t="str">
        <x:v>Cascade Retail</x:v>
      </x:c>
      <x:c r="E213" s="28" t="str">
        <x:v>FY27</x:v>
      </x:c>
      <x:c r="F213" s="28" t="str">
        <x:v>Approved case</x:v>
      </x:c>
      <x:c r="G213" s="28" t="str">
        <x:v>Bonded revenue</x:v>
      </x:c>
      <x:c r="H213" s="31" t="n">
        <x:v>1928</x:v>
      </x:c>
      <x:c r="I213" s="28" t="str"/>
      <x:c r="J213" s="28" t="str">
        <x:v>USD thousands</x:v>
      </x:c>
      <x:c r="K213" s="28" t="str">
        <x:v>Finance operating schedule</x:v>
      </x:c>
      <x:c r="L213" s="34" t="str">
        <x:v>2026-06-30</x:v>
      </x:c>
      <x:c r="M213" s="28" t="str"/>
    </x:row>
    <x:row r="214">
      <x:c r="A214" s="37" t="str">
        <x:v>PLN-01148</x:v>
      </x:c>
      <x:c r="B214" s="28" t="str">
        <x:v>Backlog, pipeline, and capacity conversion</x:v>
      </x:c>
      <x:c r="C214" s="28" t="str">
        <x:v>FY27 delivery portfolio candidates</x:v>
      </x:c>
      <x:c r="D214" s="28" t="str">
        <x:v>Cascade Retail</x:v>
      </x:c>
      <x:c r="E214" s="28" t="str">
        <x:v>FY27</x:v>
      </x:c>
      <x:c r="F214" s="28" t="str">
        <x:v>Approved case</x:v>
      </x:c>
      <x:c r="G214" s="28" t="str">
        <x:v>Mandatory signed award</x:v>
      </x:c>
      <x:c r="H214" s="31" t="n">
        <x:v>0</x:v>
      </x:c>
      <x:c r="I214" s="28" t="str"/>
      <x:c r="J214" s="28" t="str">
        <x:v>boolean</x:v>
      </x:c>
      <x:c r="K214" s="28" t="str">
        <x:v>Finance operating schedule</x:v>
      </x:c>
      <x:c r="L214" s="34" t="str">
        <x:v>2026-06-30</x:v>
      </x:c>
      <x:c r="M214" s="28" t="str"/>
    </x:row>
    <x:row r="215">
      <x:c r="A215" s="37" t="str">
        <x:v>PLN-01149</x:v>
      </x:c>
      <x:c r="B215" s="28" t="str">
        <x:v>Backlog, pipeline, and capacity conversion</x:v>
      </x:c>
      <x:c r="C215" s="28" t="str">
        <x:v>FY27 delivery portfolio candidates</x:v>
      </x:c>
      <x:c r="D215" s="28" t="str">
        <x:v>Riverfront Hospital</x:v>
      </x:c>
      <x:c r="E215" s="28" t="str">
        <x:v>FY27</x:v>
      </x:c>
      <x:c r="F215" s="28" t="str">
        <x:v>Approved case</x:v>
      </x:c>
      <x:c r="G215" s="28" t="str">
        <x:v>Risk-adjusted revenue</x:v>
      </x:c>
      <x:c r="H215" s="31" t="n">
        <x:v>2184000</x:v>
      </x:c>
      <x:c r="I215" s="28" t="str"/>
      <x:c r="J215" s="28" t="str">
        <x:v>USD</x:v>
      </x:c>
      <x:c r="K215" s="28" t="str">
        <x:v>Finance operating schedule</x:v>
      </x:c>
      <x:c r="L215" s="34" t="str">
        <x:v>2026-06-30</x:v>
      </x:c>
      <x:c r="M215" s="28" t="str"/>
    </x:row>
    <x:row r="216">
      <x:c r="A216" s="37" t="str">
        <x:v>PLN-01150</x:v>
      </x:c>
      <x:c r="B216" s="28" t="str">
        <x:v>Backlog, pipeline, and capacity conversion</x:v>
      </x:c>
      <x:c r="C216" s="28" t="str">
        <x:v>FY27 delivery portfolio candidates</x:v>
      </x:c>
      <x:c r="D216" s="28" t="str">
        <x:v>Riverfront Hospital</x:v>
      </x:c>
      <x:c r="E216" s="28" t="str">
        <x:v>FY27</x:v>
      </x:c>
      <x:c r="F216" s="28" t="str">
        <x:v>Approved case</x:v>
      </x:c>
      <x:c r="G216" s="28" t="str">
        <x:v>Gross margin</x:v>
      </x:c>
      <x:c r="H216" s="31" t="n">
        <x:v>0.252</x:v>
      </x:c>
      <x:c r="I216" s="28" t="str"/>
      <x:c r="J216" s="28" t="str">
        <x:v>decimal ratio</x:v>
      </x:c>
      <x:c r="K216" s="28" t="str">
        <x:v>Finance operating schedule</x:v>
      </x:c>
      <x:c r="L216" s="34" t="str">
        <x:v>2026-06-30</x:v>
      </x:c>
      <x:c r="M216" s="28" t="str"/>
    </x:row>
    <x:row r="217">
      <x:c r="A217" s="37" t="str">
        <x:v>PLN-01151</x:v>
      </x:c>
      <x:c r="B217" s="28" t="str">
        <x:v>Backlog, pipeline, and capacity conversion</x:v>
      </x:c>
      <x:c r="C217" s="28" t="str">
        <x:v>FY27 delivery portfolio candidates</x:v>
      </x:c>
      <x:c r="D217" s="28" t="str">
        <x:v>Riverfront Hospital</x:v>
      </x:c>
      <x:c r="E217" s="28" t="str">
        <x:v>FY27</x:v>
      </x:c>
      <x:c r="F217" s="28" t="str">
        <x:v>Approved case</x:v>
      </x:c>
      <x:c r="G217" s="28" t="str">
        <x:v>Required labor hours</x:v>
      </x:c>
      <x:c r="H217" s="31" t="n">
        <x:v>12400</x:v>
      </x:c>
      <x:c r="I217" s="28" t="str"/>
      <x:c r="J217" s="28" t="str">
        <x:v>hours</x:v>
      </x:c>
      <x:c r="K217" s="28" t="str">
        <x:v>Finance operating schedule</x:v>
      </x:c>
      <x:c r="L217" s="34" t="str">
        <x:v>2026-06-30</x:v>
      </x:c>
      <x:c r="M217" s="28" t="str"/>
    </x:row>
    <x:row r="218">
      <x:c r="A218" s="37" t="str">
        <x:v>PLN-01152</x:v>
      </x:c>
      <x:c r="B218" s="28" t="str">
        <x:v>Backlog, pipeline, and capacity conversion</x:v>
      </x:c>
      <x:c r="C218" s="28" t="str">
        <x:v>FY27 delivery portfolio candidates</x:v>
      </x:c>
      <x:c r="D218" s="28" t="str">
        <x:v>Riverfront Hospital</x:v>
      </x:c>
      <x:c r="E218" s="28" t="str">
        <x:v>FY27</x:v>
      </x:c>
      <x:c r="F218" s="28" t="str">
        <x:v>Approved case</x:v>
      </x:c>
      <x:c r="G218" s="28" t="str">
        <x:v>Bonded revenue</x:v>
      </x:c>
      <x:c r="H218" s="31" t="n">
        <x:v>2184000</x:v>
      </x:c>
      <x:c r="I218" s="28" t="str"/>
      <x:c r="J218" s="28" t="str">
        <x:v>USD</x:v>
      </x:c>
      <x:c r="K218" s="28" t="str">
        <x:v>Finance operating schedule</x:v>
      </x:c>
      <x:c r="L218" s="34" t="str">
        <x:v>2026-06-30</x:v>
      </x:c>
      <x:c r="M218" s="28" t="str"/>
    </x:row>
    <x:row r="219">
      <x:c r="A219" s="37" t="str">
        <x:v>PLN-01153</x:v>
      </x:c>
      <x:c r="B219" s="28" t="str">
        <x:v>Backlog, pipeline, and capacity conversion</x:v>
      </x:c>
      <x:c r="C219" s="28" t="str">
        <x:v>FY27 delivery portfolio candidates</x:v>
      </x:c>
      <x:c r="D219" s="28" t="str">
        <x:v>Riverfront Hospital</x:v>
      </x:c>
      <x:c r="E219" s="28" t="str">
        <x:v>FY27</x:v>
      </x:c>
      <x:c r="F219" s="28" t="str">
        <x:v>Approved case</x:v>
      </x:c>
      <x:c r="G219" s="28" t="str">
        <x:v>Mandatory signed award</x:v>
      </x:c>
      <x:c r="H219" s="31" t="n">
        <x:v>0</x:v>
      </x:c>
      <x:c r="I219" s="28" t="str"/>
      <x:c r="J219" s="28" t="str">
        <x:v>boolean</x:v>
      </x:c>
      <x:c r="K219" s="28" t="str">
        <x:v>Finance operating schedule</x:v>
      </x:c>
      <x:c r="L219" s="34" t="str">
        <x:v>2026-06-30</x:v>
      </x:c>
      <x:c r="M219" s="28" t="str"/>
    </x:row>
    <x:row r="220">
      <x:c r="A220" s="37" t="str">
        <x:v>PLN-01154</x:v>
      </x:c>
      <x:c r="B220" s="28" t="str">
        <x:v>Backlog, pipeline, and capacity conversion</x:v>
      </x:c>
      <x:c r="C220" s="28" t="str">
        <x:v>FY27 delivery portfolio candidates</x:v>
      </x:c>
      <x:c r="D220" s="28" t="str">
        <x:v>Orchard Labs</x:v>
      </x:c>
      <x:c r="E220" s="28" t="str">
        <x:v>FY27</x:v>
      </x:c>
      <x:c r="F220" s="28" t="str">
        <x:v>Approved case</x:v>
      </x:c>
      <x:c r="G220" s="28" t="str">
        <x:v>Risk-adjusted revenue</x:v>
      </x:c>
      <x:c r="H220" s="31" t="n">
        <x:v>885500</x:v>
      </x:c>
      <x:c r="I220" s="28" t="str"/>
      <x:c r="J220" s="28" t="str">
        <x:v>USD</x:v>
      </x:c>
      <x:c r="K220" s="28" t="str">
        <x:v>Finance operating schedule</x:v>
      </x:c>
      <x:c r="L220" s="34" t="str">
        <x:v>2026-06-30</x:v>
      </x:c>
      <x:c r="M220" s="28" t="str"/>
    </x:row>
    <x:row r="221">
      <x:c r="A221" s="37" t="str">
        <x:v>PLN-01155</x:v>
      </x:c>
      <x:c r="B221" s="28" t="str">
        <x:v>Backlog, pipeline, and capacity conversion</x:v>
      </x:c>
      <x:c r="C221" s="28" t="str">
        <x:v>FY27 delivery portfolio candidates</x:v>
      </x:c>
      <x:c r="D221" s="28" t="str">
        <x:v>Orchard Labs</x:v>
      </x:c>
      <x:c r="E221" s="28" t="str">
        <x:v>FY27</x:v>
      </x:c>
      <x:c r="F221" s="28" t="str">
        <x:v>Approved case</x:v>
      </x:c>
      <x:c r="G221" s="28" t="str">
        <x:v>Gross margin</x:v>
      </x:c>
      <x:c r="H221" s="31" t="n">
        <x:v>0.278</x:v>
      </x:c>
      <x:c r="I221" s="28" t="str"/>
      <x:c r="J221" s="28" t="str">
        <x:v>decimal ratio</x:v>
      </x:c>
      <x:c r="K221" s="28" t="str">
        <x:v>Finance operating schedule</x:v>
      </x:c>
      <x:c r="L221" s="34" t="str">
        <x:v>2026-06-30</x:v>
      </x:c>
      <x:c r="M221" s="28" t="str"/>
    </x:row>
    <x:row r="222">
      <x:c r="A222" s="37" t="str">
        <x:v>PLN-01156</x:v>
      </x:c>
      <x:c r="B222" s="28" t="str">
        <x:v>Backlog, pipeline, and capacity conversion</x:v>
      </x:c>
      <x:c r="C222" s="28" t="str">
        <x:v>FY27 delivery portfolio candidates</x:v>
      </x:c>
      <x:c r="D222" s="28" t="str">
        <x:v>Orchard Labs</x:v>
      </x:c>
      <x:c r="E222" s="28" t="str">
        <x:v>FY27</x:v>
      </x:c>
      <x:c r="F222" s="28" t="str">
        <x:v>Approved case</x:v>
      </x:c>
      <x:c r="G222" s="28" t="str">
        <x:v>Required labor hours</x:v>
      </x:c>
      <x:c r="H222" s="31" t="n">
        <x:v>4700</x:v>
      </x:c>
      <x:c r="I222" s="28" t="str"/>
      <x:c r="J222" s="28" t="str">
        <x:v>hours</x:v>
      </x:c>
      <x:c r="K222" s="28" t="str">
        <x:v>Finance operating schedule</x:v>
      </x:c>
      <x:c r="L222" s="34" t="str">
        <x:v>2026-06-30</x:v>
      </x:c>
      <x:c r="M222" s="28" t="str"/>
    </x:row>
    <x:row r="223">
      <x:c r="A223" s="37" t="str">
        <x:v>PLN-01157</x:v>
      </x:c>
      <x:c r="B223" s="28" t="str">
        <x:v>Backlog, pipeline, and capacity conversion</x:v>
      </x:c>
      <x:c r="C223" s="28" t="str">
        <x:v>FY27 delivery portfolio candidates</x:v>
      </x:c>
      <x:c r="D223" s="28" t="str">
        <x:v>Orchard Labs</x:v>
      </x:c>
      <x:c r="E223" s="28" t="str">
        <x:v>FY27</x:v>
      </x:c>
      <x:c r="F223" s="28" t="str">
        <x:v>Approved case</x:v>
      </x:c>
      <x:c r="G223" s="28" t="str">
        <x:v>Bonded revenue</x:v>
      </x:c>
      <x:c r="H223" s="31" t="n">
        <x:v>885500</x:v>
      </x:c>
      <x:c r="I223" s="28" t="str"/>
      <x:c r="J223" s="28" t="str">
        <x:v>USD</x:v>
      </x:c>
      <x:c r="K223" s="28" t="str">
        <x:v>Finance operating schedule</x:v>
      </x:c>
      <x:c r="L223" s="34" t="str">
        <x:v>2026-06-30</x:v>
      </x:c>
      <x:c r="M223" s="28" t="str"/>
    </x:row>
    <x:row r="224">
      <x:c r="A224" s="37" t="str">
        <x:v>PLN-01158</x:v>
      </x:c>
      <x:c r="B224" s="28" t="str">
        <x:v>Backlog, pipeline, and capacity conversion</x:v>
      </x:c>
      <x:c r="C224" s="28" t="str">
        <x:v>FY27 delivery portfolio candidates</x:v>
      </x:c>
      <x:c r="D224" s="28" t="str">
        <x:v>Orchard Labs</x:v>
      </x:c>
      <x:c r="E224" s="28" t="str">
        <x:v>FY27</x:v>
      </x:c>
      <x:c r="F224" s="28" t="str">
        <x:v>Approved case</x:v>
      </x:c>
      <x:c r="G224" s="28" t="str">
        <x:v>Mandatory signed award</x:v>
      </x:c>
      <x:c r="H224" s="31" t="n">
        <x:v>0</x:v>
      </x:c>
      <x:c r="I224" s="28" t="str"/>
      <x:c r="J224" s="28" t="str">
        <x:v>boolean</x:v>
      </x:c>
      <x:c r="K224" s="28" t="str">
        <x:v>Finance operating schedule</x:v>
      </x:c>
      <x:c r="L224" s="34" t="str">
        <x:v>2026-06-30</x:v>
      </x:c>
      <x:c r="M224" s="28" t="str"/>
    </x:row>
    <x:row r="225">
      <x:c r="A225" s="37" t="str">
        <x:v>PLN-01159</x:v>
      </x:c>
      <x:c r="B225" s="28" t="str">
        <x:v>Backlog, pipeline, and capacity conversion</x:v>
      </x:c>
      <x:c r="C225" s="28" t="str">
        <x:v>FY27 delivery portfolio candidates</x:v>
      </x:c>
      <x:c r="D225" s="28" t="str">
        <x:v>State Archive</x:v>
      </x:c>
      <x:c r="E225" s="28" t="str">
        <x:v>FY27</x:v>
      </x:c>
      <x:c r="F225" s="28" t="str">
        <x:v>Approved case</x:v>
      </x:c>
      <x:c r="G225" s="28" t="str">
        <x:v>Risk-adjusted revenue</x:v>
      </x:c>
      <x:c r="H225" s="31" t="n">
        <x:v>697.5</x:v>
      </x:c>
      <x:c r="I225" s="28" t="str"/>
      <x:c r="J225" s="28" t="str">
        <x:v>USD thousands</x:v>
      </x:c>
      <x:c r="K225" s="28" t="str">
        <x:v>Finance operating schedule</x:v>
      </x:c>
      <x:c r="L225" s="34" t="str">
        <x:v>2026-06-30</x:v>
      </x:c>
      <x:c r="M225" s="28" t="str"/>
    </x:row>
    <x:row r="226">
      <x:c r="A226" s="37" t="str">
        <x:v>PLN-01160</x:v>
      </x:c>
      <x:c r="B226" s="28" t="str">
        <x:v>Backlog, pipeline, and capacity conversion</x:v>
      </x:c>
      <x:c r="C226" s="28" t="str">
        <x:v>FY27 delivery portfolio candidates</x:v>
      </x:c>
      <x:c r="D226" s="28" t="str">
        <x:v>State Archive</x:v>
      </x:c>
      <x:c r="E226" s="28" t="str">
        <x:v>FY27</x:v>
      </x:c>
      <x:c r="F226" s="28" t="str">
        <x:v>Approved case</x:v>
      </x:c>
      <x:c r="G226" s="28" t="str">
        <x:v>Gross margin</x:v>
      </x:c>
      <x:c r="H226" s="31" t="n">
        <x:v>0.221</x:v>
      </x:c>
      <x:c r="I226" s="28" t="str"/>
      <x:c r="J226" s="28" t="str">
        <x:v>decimal ratio</x:v>
      </x:c>
      <x:c r="K226" s="28" t="str">
        <x:v>Finance operating schedule</x:v>
      </x:c>
      <x:c r="L226" s="34" t="str">
        <x:v>2026-06-30</x:v>
      </x:c>
      <x:c r="M226" s="28" t="str"/>
    </x:row>
    <x:row r="227">
      <x:c r="A227" s="37" t="str">
        <x:v>PLN-01161</x:v>
      </x:c>
      <x:c r="B227" s="28" t="str">
        <x:v>Backlog, pipeline, and capacity conversion</x:v>
      </x:c>
      <x:c r="C227" s="28" t="str">
        <x:v>FY27 delivery portfolio candidates</x:v>
      </x:c>
      <x:c r="D227" s="28" t="str">
        <x:v>State Archive</x:v>
      </x:c>
      <x:c r="E227" s="28" t="str">
        <x:v>FY27</x:v>
      </x:c>
      <x:c r="F227" s="28" t="str">
        <x:v>Approved case</x:v>
      </x:c>
      <x:c r="G227" s="28" t="str">
        <x:v>Required labor hours</x:v>
      </x:c>
      <x:c r="H227" s="31" t="n">
        <x:v>4900</x:v>
      </x:c>
      <x:c r="I227" s="28" t="str"/>
      <x:c r="J227" s="28" t="str">
        <x:v>hours</x:v>
      </x:c>
      <x:c r="K227" s="28" t="str">
        <x:v>Finance operating schedule</x:v>
      </x:c>
      <x:c r="L227" s="34" t="str">
        <x:v>2026-06-30</x:v>
      </x:c>
      <x:c r="M227" s="28" t="str"/>
    </x:row>
    <x:row r="228">
      <x:c r="A228" s="37" t="str">
        <x:v>PLN-01162</x:v>
      </x:c>
      <x:c r="B228" s="28" t="str">
        <x:v>Backlog, pipeline, and capacity conversion</x:v>
      </x:c>
      <x:c r="C228" s="28" t="str">
        <x:v>FY27 delivery portfolio candidates</x:v>
      </x:c>
      <x:c r="D228" s="28" t="str">
        <x:v>State Archive</x:v>
      </x:c>
      <x:c r="E228" s="28" t="str">
        <x:v>FY27</x:v>
      </x:c>
      <x:c r="F228" s="28" t="str">
        <x:v>Approved case</x:v>
      </x:c>
      <x:c r="G228" s="28" t="str">
        <x:v>Bonded revenue</x:v>
      </x:c>
      <x:c r="H228" s="31" t="n">
        <x:v>697500</x:v>
      </x:c>
      <x:c r="I228" s="28" t="str"/>
      <x:c r="J228" s="28" t="str">
        <x:v>USD</x:v>
      </x:c>
      <x:c r="K228" s="28" t="str">
        <x:v>Finance operating schedule</x:v>
      </x:c>
      <x:c r="L228" s="34" t="str">
        <x:v>2026-06-30</x:v>
      </x:c>
      <x:c r="M228" s="28" t="str"/>
    </x:row>
    <x:row r="229">
      <x:c r="A229" s="37" t="str">
        <x:v>PLN-01163</x:v>
      </x:c>
      <x:c r="B229" s="28" t="str">
        <x:v>Backlog, pipeline, and capacity conversion</x:v>
      </x:c>
      <x:c r="C229" s="28" t="str">
        <x:v>FY27 delivery portfolio candidates</x:v>
      </x:c>
      <x:c r="D229" s="28" t="str">
        <x:v>State Archive</x:v>
      </x:c>
      <x:c r="E229" s="28" t="str">
        <x:v>FY27</x:v>
      </x:c>
      <x:c r="F229" s="28" t="str">
        <x:v>Approved case</x:v>
      </x:c>
      <x:c r="G229" s="28" t="str">
        <x:v>Mandatory signed award</x:v>
      </x:c>
      <x:c r="H229" s="31" t="n">
        <x:v>0</x:v>
      </x:c>
      <x:c r="I229" s="28" t="str"/>
      <x:c r="J229" s="28" t="str">
        <x:v>boolean</x:v>
      </x:c>
      <x:c r="K229" s="28" t="str">
        <x:v>Finance operating schedule</x:v>
      </x:c>
      <x:c r="L229" s="34" t="str">
        <x:v>2026-06-30</x:v>
      </x:c>
      <x:c r="M229" s="28" t="str"/>
    </x:row>
    <x:row r="230">
      <x:c r="A230" s="37" t="str">
        <x:v>PLN-01164</x:v>
      </x:c>
      <x:c r="B230" s="28" t="str">
        <x:v>Backlog, pipeline, and capacity conversion</x:v>
      </x:c>
      <x:c r="C230" s="28" t="str">
        <x:v>FY27 delivery portfolio candidates</x:v>
      </x:c>
      <x:c r="D230" s="28" t="str">
        <x:v>Summit Hotel</x:v>
      </x:c>
      <x:c r="E230" s="28" t="str">
        <x:v>FY27</x:v>
      </x:c>
      <x:c r="F230" s="28" t="str">
        <x:v>Approved case</x:v>
      </x:c>
      <x:c r="G230" s="28" t="str">
        <x:v>Risk-adjusted revenue</x:v>
      </x:c>
      <x:c r="H230" s="31" t="n">
        <x:v>1560000</x:v>
      </x:c>
      <x:c r="I230" s="28" t="str"/>
      <x:c r="J230" s="28" t="str">
        <x:v>USD</x:v>
      </x:c>
      <x:c r="K230" s="28" t="str">
        <x:v>Finance operating schedule</x:v>
      </x:c>
      <x:c r="L230" s="34" t="str">
        <x:v>2026-06-30</x:v>
      </x:c>
      <x:c r="M230" s="28" t="str"/>
    </x:row>
    <x:row r="231">
      <x:c r="A231" s="37" t="str">
        <x:v>PLN-01165</x:v>
      </x:c>
      <x:c r="B231" s="28" t="str">
        <x:v>Backlog, pipeline, and capacity conversion</x:v>
      </x:c>
      <x:c r="C231" s="28" t="str">
        <x:v>FY27 delivery portfolio candidates</x:v>
      </x:c>
      <x:c r="D231" s="28" t="str">
        <x:v>Summit Hotel</x:v>
      </x:c>
      <x:c r="E231" s="28" t="str">
        <x:v>FY27</x:v>
      </x:c>
      <x:c r="F231" s="28" t="str">
        <x:v>Approved case</x:v>
      </x:c>
      <x:c r="G231" s="28" t="str">
        <x:v>Gross margin</x:v>
      </x:c>
      <x:c r="H231" s="31" t="n">
        <x:v>0.264</x:v>
      </x:c>
      <x:c r="I231" s="28" t="str"/>
      <x:c r="J231" s="28" t="str">
        <x:v>decimal ratio</x:v>
      </x:c>
      <x:c r="K231" s="28" t="str">
        <x:v>Finance operating schedule</x:v>
      </x:c>
      <x:c r="L231" s="34" t="str">
        <x:v>2026-06-30</x:v>
      </x:c>
      <x:c r="M231" s="28" t="str"/>
    </x:row>
    <x:row r="232">
      <x:c r="A232" s="37" t="str">
        <x:v>PLN-01166</x:v>
      </x:c>
      <x:c r="B232" s="28" t="str">
        <x:v>Backlog, pipeline, and capacity conversion</x:v>
      </x:c>
      <x:c r="C232" s="28" t="str">
        <x:v>FY27 delivery portfolio candidates</x:v>
      </x:c>
      <x:c r="D232" s="28" t="str">
        <x:v>Summit Hotel</x:v>
      </x:c>
      <x:c r="E232" s="28" t="str">
        <x:v>FY27</x:v>
      </x:c>
      <x:c r="F232" s="28" t="str">
        <x:v>Approved case</x:v>
      </x:c>
      <x:c r="G232" s="28" t="str">
        <x:v>Required labor hours</x:v>
      </x:c>
      <x:c r="H232" s="31" t="n">
        <x:v>8000</x:v>
      </x:c>
      <x:c r="I232" s="28" t="str"/>
      <x:c r="J232" s="28" t="str">
        <x:v>hours</x:v>
      </x:c>
      <x:c r="K232" s="28" t="str">
        <x:v>Finance operating schedule</x:v>
      </x:c>
      <x:c r="L232" s="34" t="str">
        <x:v>2026-06-30</x:v>
      </x:c>
      <x:c r="M232" s="28" t="str"/>
    </x:row>
    <x:row r="233">
      <x:c r="A233" s="37" t="str">
        <x:v>PLN-01167</x:v>
      </x:c>
      <x:c r="B233" s="28" t="str">
        <x:v>Backlog, pipeline, and capacity conversion</x:v>
      </x:c>
      <x:c r="C233" s="28" t="str">
        <x:v>FY27 delivery portfolio candidates</x:v>
      </x:c>
      <x:c r="D233" s="28" t="str">
        <x:v>Summit Hotel</x:v>
      </x:c>
      <x:c r="E233" s="28" t="str">
        <x:v>FY27</x:v>
      </x:c>
      <x:c r="F233" s="28" t="str">
        <x:v>Approved case</x:v>
      </x:c>
      <x:c r="G233" s="28" t="str">
        <x:v>Bonded revenue</x:v>
      </x:c>
      <x:c r="H233" s="31" t="n">
        <x:v>1560</x:v>
      </x:c>
      <x:c r="I233" s="28" t="str"/>
      <x:c r="J233" s="28" t="str">
        <x:v>USD thousands</x:v>
      </x:c>
      <x:c r="K233" s="28" t="str">
        <x:v>Finance operating schedule</x:v>
      </x:c>
      <x:c r="L233" s="34" t="str">
        <x:v>2026-06-30</x:v>
      </x:c>
      <x:c r="M233" s="28" t="str"/>
    </x:row>
    <x:row r="234">
      <x:c r="A234" s="37" t="str">
        <x:v>PLN-01168</x:v>
      </x:c>
      <x:c r="B234" s="28" t="str">
        <x:v>Backlog, pipeline, and capacity conversion</x:v>
      </x:c>
      <x:c r="C234" s="28" t="str">
        <x:v>FY27 delivery portfolio candidates</x:v>
      </x:c>
      <x:c r="D234" s="28" t="str">
        <x:v>Summit Hotel</x:v>
      </x:c>
      <x:c r="E234" s="28" t="str">
        <x:v>FY27</x:v>
      </x:c>
      <x:c r="F234" s="28" t="str">
        <x:v>Approved case</x:v>
      </x:c>
      <x:c r="G234" s="28" t="str">
        <x:v>Mandatory signed award</x:v>
      </x:c>
      <x:c r="H234" s="31" t="n">
        <x:v>0</x:v>
      </x:c>
      <x:c r="I234" s="28" t="str"/>
      <x:c r="J234" s="28" t="str">
        <x:v>boolean</x:v>
      </x:c>
      <x:c r="K234" s="28" t="str">
        <x:v>Finance operating schedule</x:v>
      </x:c>
      <x:c r="L234" s="34" t="str">
        <x:v>2026-06-30</x:v>
      </x:c>
      <x:c r="M234" s="28" t="str"/>
    </x:row>
    <x:row r="235">
      <x:c r="A235" s="37" t="str">
        <x:v>PLN-01169</x:v>
      </x:c>
      <x:c r="B235" s="28" t="str">
        <x:v>Backlog, pipeline, and capacity conversion</x:v>
      </x:c>
      <x:c r="C235" s="28" t="str">
        <x:v>FY27 delivery portfolio constraints</x:v>
      </x:c>
      <x:c r="D235" s="28" t="str">
        <x:v>Construction</x:v>
      </x:c>
      <x:c r="E235" s="28" t="str">
        <x:v>FY27</x:v>
      </x:c>
      <x:c r="F235" s="28" t="str">
        <x:v>Approved case</x:v>
      </x:c>
      <x:c r="G235" s="28" t="str">
        <x:v>Available labor hours</x:v>
      </x:c>
      <x:c r="H235" s="31" t="n">
        <x:v>78000</x:v>
      </x:c>
      <x:c r="I235" s="28" t="str"/>
      <x:c r="J235" s="28" t="str">
        <x:v>hours</x:v>
      </x:c>
      <x:c r="K235" s="28" t="str">
        <x:v>Finance operating schedule</x:v>
      </x:c>
      <x:c r="L235" s="34" t="str">
        <x:v>2026-06-30</x:v>
      </x:c>
      <x:c r="M235" s="28" t="str"/>
    </x:row>
    <x:row r="236">
      <x:c r="A236" s="37" t="str">
        <x:v>PLN-01170</x:v>
      </x:c>
      <x:c r="B236" s="28" t="str">
        <x:v>Backlog, pipeline, and capacity conversion</x:v>
      </x:c>
      <x:c r="C236" s="28" t="str">
        <x:v>FY27 delivery portfolio constraints</x:v>
      </x:c>
      <x:c r="D236" s="28" t="str">
        <x:v>Construction</x:v>
      </x:c>
      <x:c r="E236" s="28" t="str">
        <x:v>FY27</x:v>
      </x:c>
      <x:c r="F236" s="28" t="str">
        <x:v>Approved case</x:v>
      </x:c>
      <x:c r="G236" s="28" t="str">
        <x:v>Bonded revenue limit</x:v>
      </x:c>
      <x:c r="H236" s="31" t="n">
        <x:v>15750000</x:v>
      </x:c>
      <x:c r="I236" s="28" t="str"/>
      <x:c r="J236" s="28" t="str">
        <x:v>USD</x:v>
      </x:c>
      <x:c r="K236" s="28" t="str">
        <x:v>Finance operating schedule</x:v>
      </x:c>
      <x:c r="L236" s="34" t="str">
        <x:v>2026-06-30</x:v>
      </x:c>
      <x:c r="M236" s="28" t="str"/>
    </x:row>
    <x:row r="237">
      <x:c r="A237" s="37" t="str">
        <x:v>PLN-01171</x:v>
      </x:c>
      <x:c r="B237" s="28" t="str">
        <x:v>Backlog, pipeline, and capacity conversion</x:v>
      </x:c>
      <x:c r="C237" s="28" t="str">
        <x:v>FY27 delivery portfolio constraints</x:v>
      </x:c>
      <x:c r="D237" s="28" t="str">
        <x:v>Construction</x:v>
      </x:c>
      <x:c r="E237" s="28" t="str">
        <x:v>FY27</x:v>
      </x:c>
      <x:c r="F237" s="28" t="str">
        <x:v>Approved case</x:v>
      </x:c>
      <x:c r="G237" s="28" t="str">
        <x:v>Maximum active projects</x:v>
      </x:c>
      <x:c r="H237" s="31" t="n">
        <x:v>6</x:v>
      </x:c>
      <x:c r="I237" s="28" t="str"/>
      <x:c r="J237" s="28" t="str">
        <x:v>count</x:v>
      </x:c>
      <x:c r="K237" s="28" t="str">
        <x:v>Finance operating schedule</x:v>
      </x:c>
      <x:c r="L237" s="34" t="str">
        <x:v>2026-06-30</x:v>
      </x:c>
      <x:c r="M237" s="28" t="str"/>
    </x:row>
    <x:row r="238">
      <x:c r="A238" s="37" t="str">
        <x:v>PLN-01172</x:v>
      </x:c>
      <x:c r="B238" s="28" t="str">
        <x:v>Backlog, pipeline, and capacity conversion</x:v>
      </x:c>
      <x:c r="C238" s="28" t="str">
        <x:v>FY27 delivery portfolio constraints</x:v>
      </x:c>
      <x:c r="D238" s="28" t="str">
        <x:v>Construction</x:v>
      </x:c>
      <x:c r="E238" s="28" t="str">
        <x:v>FY27 labor downside</x:v>
      </x:c>
      <x:c r="F238" s="28" t="str">
        <x:v>Approved case</x:v>
      </x:c>
      <x:c r="G238" s="28" t="str">
        <x:v>Available labor factor</x:v>
      </x:c>
      <x:c r="H238" s="31" t="n">
        <x:v>0.9</x:v>
      </x:c>
      <x:c r="I238" s="28" t="str"/>
      <x:c r="J238" s="28" t="str">
        <x:v>decimal ratio</x:v>
      </x:c>
      <x:c r="K238" s="28" t="str">
        <x:v>Finance operating schedule</x:v>
      </x:c>
      <x:c r="L238" s="34" t="str">
        <x:v>2026-06-30</x:v>
      </x:c>
      <x:c r="M238" s="28" t="str"/>
    </x:row>
    <x:row r="239">
      <x:c r="A239" s="37" t="str">
        <x:v>PLN-01182</x:v>
      </x:c>
      <x:c r="B239" s="28" t="str">
        <x:v>Customer profitability and economic profit</x:v>
      </x:c>
      <x:c r="C239" s="28" t="str">
        <x:v>Customer profitability detail</x:v>
      </x:c>
      <x:c r="D239" s="28" t="str">
        <x:v>Cedar Medical</x:v>
      </x:c>
      <x:c r="E239" s="28" t="str">
        <x:v>LTM 2026-06-30</x:v>
      </x:c>
      <x:c r="F239" s="28" t="str">
        <x:v>Approved case</x:v>
      </x:c>
      <x:c r="G239" s="28" t="str">
        <x:v>Revenue</x:v>
      </x:c>
      <x:c r="H239" s="31" t="n">
        <x:v>7850000</x:v>
      </x:c>
      <x:c r="I239" s="28" t="str"/>
      <x:c r="J239" s="28" t="str">
        <x:v>USD</x:v>
      </x:c>
      <x:c r="K239" s="28" t="str">
        <x:v>Finance operating schedule</x:v>
      </x:c>
      <x:c r="L239" s="34" t="str">
        <x:v>2026-06-30</x:v>
      </x:c>
      <x:c r="M239" s="28" t="str"/>
    </x:row>
    <x:row r="240">
      <x:c r="A240" s="37" t="str">
        <x:v>PLN-01183</x:v>
      </x:c>
      <x:c r="B240" s="28" t="str">
        <x:v>Customer profitability and economic profit</x:v>
      </x:c>
      <x:c r="C240" s="28" t="str">
        <x:v>Customer profitability detail</x:v>
      </x:c>
      <x:c r="D240" s="28" t="str">
        <x:v>Cedar Medical</x:v>
      </x:c>
      <x:c r="E240" s="28" t="str">
        <x:v>LTM 2026-06-30</x:v>
      </x:c>
      <x:c r="F240" s="28" t="str">
        <x:v>Approved case</x:v>
      </x:c>
      <x:c r="G240" s="28" t="str">
        <x:v>Direct labor</x:v>
      </x:c>
      <x:c r="H240" s="31" t="n">
        <x:v>2150000</x:v>
      </x:c>
      <x:c r="I240" s="28" t="str"/>
      <x:c r="J240" s="28" t="str">
        <x:v>USD</x:v>
      </x:c>
      <x:c r="K240" s="28" t="str">
        <x:v>Finance operating schedule</x:v>
      </x:c>
      <x:c r="L240" s="34" t="str">
        <x:v>2026-06-30</x:v>
      </x:c>
      <x:c r="M240" s="28" t="str"/>
    </x:row>
    <x:row r="241">
      <x:c r="A241" s="37" t="str">
        <x:v>PLN-01184</x:v>
      </x:c>
      <x:c r="B241" s="28" t="str">
        <x:v>Customer profitability and economic profit</x:v>
      </x:c>
      <x:c r="C241" s="28" t="str">
        <x:v>Customer profitability detail</x:v>
      </x:c>
      <x:c r="D241" s="28" t="str">
        <x:v>Cedar Medical</x:v>
      </x:c>
      <x:c r="E241" s="28" t="str">
        <x:v>LTM 2026-06-30</x:v>
      </x:c>
      <x:c r="F241" s="28" t="str">
        <x:v>Approved case</x:v>
      </x:c>
      <x:c r="G241" s="28" t="str">
        <x:v>Material</x:v>
      </x:c>
      <x:c r="H241" s="31" t="n">
        <x:v>2420000</x:v>
      </x:c>
      <x:c r="I241" s="28" t="str"/>
      <x:c r="J241" s="28" t="str">
        <x:v>USD</x:v>
      </x:c>
      <x:c r="K241" s="28" t="str">
        <x:v>Finance operating schedule</x:v>
      </x:c>
      <x:c r="L241" s="34" t="str">
        <x:v>2026-06-30</x:v>
      </x:c>
      <x:c r="M241" s="28" t="str"/>
    </x:row>
    <x:row r="242">
      <x:c r="A242" s="37" t="str">
        <x:v>PLN-01185</x:v>
      </x:c>
      <x:c r="B242" s="28" t="str">
        <x:v>Customer profitability and economic profit</x:v>
      </x:c>
      <x:c r="C242" s="28" t="str">
        <x:v>Customer profitability detail</x:v>
      </x:c>
      <x:c r="D242" s="28" t="str">
        <x:v>Cedar Medical</x:v>
      </x:c>
      <x:c r="E242" s="28" t="str">
        <x:v>LTM 2026-06-30</x:v>
      </x:c>
      <x:c r="F242" s="28" t="str">
        <x:v>Approved case</x:v>
      </x:c>
      <x:c r="G242" s="28" t="str">
        <x:v>Subcontract</x:v>
      </x:c>
      <x:c r="H242" s="31" t="n">
        <x:v>980</x:v>
      </x:c>
      <x:c r="I242" s="28" t="str"/>
      <x:c r="J242" s="28" t="str">
        <x:v>USD thousands</x:v>
      </x:c>
      <x:c r="K242" s="28" t="str">
        <x:v>Finance operating schedule</x:v>
      </x:c>
      <x:c r="L242" s="34" t="str">
        <x:v>2026-06-30</x:v>
      </x:c>
      <x:c r="M242" s="28" t="str"/>
    </x:row>
    <x:row r="243">
      <x:c r="A243" s="37" t="str">
        <x:v>PLN-01186</x:v>
      </x:c>
      <x:c r="B243" s="28" t="str">
        <x:v>Customer profitability and economic profit</x:v>
      </x:c>
      <x:c r="C243" s="28" t="str">
        <x:v>Customer profitability detail</x:v>
      </x:c>
      <x:c r="D243" s="28" t="str">
        <x:v>Cedar Medical</x:v>
      </x:c>
      <x:c r="E243" s="28" t="str">
        <x:v>LTM 2026-06-30</x:v>
      </x:c>
      <x:c r="F243" s="28" t="str">
        <x:v>Approved case</x:v>
      </x:c>
      <x:c r="G243" s="28" t="str">
        <x:v>Warranty and callbacks</x:v>
      </x:c>
      <x:c r="H243" s="31" t="n">
        <x:v>310000</x:v>
      </x:c>
      <x:c r="I243" s="28" t="str"/>
      <x:c r="J243" s="28" t="str">
        <x:v>USD</x:v>
      </x:c>
      <x:c r="K243" s="28" t="str">
        <x:v>Finance operating schedule</x:v>
      </x:c>
      <x:c r="L243" s="34" t="str">
        <x:v>2026-06-30</x:v>
      </x:c>
      <x:c r="M243" s="28" t="str"/>
    </x:row>
    <x:row r="244">
      <x:c r="A244" s="37" t="str">
        <x:v>PLN-01187</x:v>
      </x:c>
      <x:c r="B244" s="28" t="str">
        <x:v>Customer profitability and economic profit</x:v>
      </x:c>
      <x:c r="C244" s="28" t="str">
        <x:v>Customer profitability detail</x:v>
      </x:c>
      <x:c r="D244" s="28" t="str">
        <x:v>Cedar Medical</x:v>
      </x:c>
      <x:c r="E244" s="28" t="str">
        <x:v>LTM 2026-06-30</x:v>
      </x:c>
      <x:c r="F244" s="28" t="str">
        <x:v>Approved case</x:v>
      </x:c>
      <x:c r="G244" s="28" t="str">
        <x:v>DSO</x:v>
      </x:c>
      <x:c r="H244" s="31" t="n">
        <x:v>58</x:v>
      </x:c>
      <x:c r="I244" s="28" t="str"/>
      <x:c r="J244" s="28" t="str">
        <x:v>days</x:v>
      </x:c>
      <x:c r="K244" s="28" t="str">
        <x:v>Finance operating schedule</x:v>
      </x:c>
      <x:c r="L244" s="34" t="str">
        <x:v>2026-06-30</x:v>
      </x:c>
      <x:c r="M244" s="28" t="str"/>
    </x:row>
    <x:row r="245">
      <x:c r="A245" s="37" t="str">
        <x:v>PLN-01188</x:v>
      </x:c>
      <x:c r="B245" s="28" t="str">
        <x:v>Customer profitability and economic profit</x:v>
      </x:c>
      <x:c r="C245" s="28" t="str">
        <x:v>Customer profitability detail</x:v>
      </x:c>
      <x:c r="D245" s="28" t="str">
        <x:v>Cedar Medical</x:v>
      </x:c>
      <x:c r="E245" s="28" t="str">
        <x:v>LTM 2026-06-30</x:v>
      </x:c>
      <x:c r="F245" s="28" t="str">
        <x:v>Approved case</x:v>
      </x:c>
      <x:c r="G245" s="28" t="str">
        <x:v>Average invested capital</x:v>
      </x:c>
      <x:c r="H245" s="31" t="n">
        <x:v>3400000</x:v>
      </x:c>
      <x:c r="I245" s="28" t="str"/>
      <x:c r="J245" s="28" t="str">
        <x:v>USD</x:v>
      </x:c>
      <x:c r="K245" s="28" t="str">
        <x:v>Finance operating schedule</x:v>
      </x:c>
      <x:c r="L245" s="34" t="str">
        <x:v>2026-06-30</x:v>
      </x:c>
      <x:c r="M245" s="28" t="str"/>
    </x:row>
    <x:row r="246">
      <x:c r="A246" s="37" t="str">
        <x:v>PLN-01189</x:v>
      </x:c>
      <x:c r="B246" s="28" t="str">
        <x:v>Customer profitability and economic profit</x:v>
      </x:c>
      <x:c r="C246" s="28" t="str">
        <x:v>Customer profitability detail</x:v>
      </x:c>
      <x:c r="D246" s="28" t="str">
        <x:v>Helix Data Center</x:v>
      </x:c>
      <x:c r="E246" s="28" t="str">
        <x:v>LTM 2026-06-30</x:v>
      </x:c>
      <x:c r="F246" s="28" t="str">
        <x:v>Approved case</x:v>
      </x:c>
      <x:c r="G246" s="28" t="str">
        <x:v>Revenue</x:v>
      </x:c>
      <x:c r="H246" s="31" t="n">
        <x:v>9200</x:v>
      </x:c>
      <x:c r="I246" s="28" t="str"/>
      <x:c r="J246" s="28" t="str">
        <x:v>USD thousands</x:v>
      </x:c>
      <x:c r="K246" s="28" t="str">
        <x:v>Finance operating schedule</x:v>
      </x:c>
      <x:c r="L246" s="34" t="str">
        <x:v>2026-06-30</x:v>
      </x:c>
      <x:c r="M246" s="28" t="str"/>
    </x:row>
    <x:row r="247">
      <x:c r="A247" s="37" t="str">
        <x:v>PLN-01190</x:v>
      </x:c>
      <x:c r="B247" s="28" t="str">
        <x:v>Customer profitability and economic profit</x:v>
      </x:c>
      <x:c r="C247" s="28" t="str">
        <x:v>Customer profitability detail</x:v>
      </x:c>
      <x:c r="D247" s="28" t="str">
        <x:v>Helix Data Center</x:v>
      </x:c>
      <x:c r="E247" s="28" t="str">
        <x:v>LTM 2026-06-30</x:v>
      </x:c>
      <x:c r="F247" s="28" t="str">
        <x:v>Approved case</x:v>
      </x:c>
      <x:c r="G247" s="28" t="str">
        <x:v>Direct labor</x:v>
      </x:c>
      <x:c r="H247" s="31" t="n">
        <x:v>2980000</x:v>
      </x:c>
      <x:c r="I247" s="28" t="str"/>
      <x:c r="J247" s="28" t="str">
        <x:v>USD</x:v>
      </x:c>
      <x:c r="K247" s="28" t="str">
        <x:v>Finance operating schedule</x:v>
      </x:c>
      <x:c r="L247" s="34" t="str">
        <x:v>2026-06-30</x:v>
      </x:c>
      <x:c r="M247" s="28" t="str"/>
    </x:row>
    <x:row r="248">
      <x:c r="A248" s="37" t="str">
        <x:v>PLN-01191</x:v>
      </x:c>
      <x:c r="B248" s="28" t="str">
        <x:v>Customer profitability and economic profit</x:v>
      </x:c>
      <x:c r="C248" s="28" t="str">
        <x:v>Customer profitability detail</x:v>
      </x:c>
      <x:c r="D248" s="28" t="str">
        <x:v>Helix Data Center</x:v>
      </x:c>
      <x:c r="E248" s="28" t="str">
        <x:v>LTM 2026-06-30</x:v>
      </x:c>
      <x:c r="F248" s="28" t="str">
        <x:v>Approved case</x:v>
      </x:c>
      <x:c r="G248" s="28" t="str">
        <x:v>Material</x:v>
      </x:c>
      <x:c r="H248" s="31" t="n">
        <x:v>2640000</x:v>
      </x:c>
      <x:c r="I248" s="28" t="str"/>
      <x:c r="J248" s="28" t="str">
        <x:v>USD</x:v>
      </x:c>
      <x:c r="K248" s="28" t="str">
        <x:v>Finance operating schedule</x:v>
      </x:c>
      <x:c r="L248" s="34" t="str">
        <x:v>2026-06-30</x:v>
      </x:c>
      <x:c r="M248" s="28" t="str"/>
    </x:row>
    <x:row r="249">
      <x:c r="A249" s="37" t="str">
        <x:v>PLN-01192</x:v>
      </x:c>
      <x:c r="B249" s="28" t="str">
        <x:v>Customer profitability and economic profit</x:v>
      </x:c>
      <x:c r="C249" s="28" t="str">
        <x:v>Customer profitability detail</x:v>
      </x:c>
      <x:c r="D249" s="28" t="str">
        <x:v>Helix Data Center</x:v>
      </x:c>
      <x:c r="E249" s="28" t="str">
        <x:v>LTM 2026-06-30</x:v>
      </x:c>
      <x:c r="F249" s="28" t="str">
        <x:v>Approved case</x:v>
      </x:c>
      <x:c r="G249" s="28" t="str">
        <x:v>Subcontract</x:v>
      </x:c>
      <x:c r="H249" s="31" t="n">
        <x:v>1320000</x:v>
      </x:c>
      <x:c r="I249" s="28" t="str"/>
      <x:c r="J249" s="28" t="str">
        <x:v>USD</x:v>
      </x:c>
      <x:c r="K249" s="28" t="str">
        <x:v>Finance operating schedule</x:v>
      </x:c>
      <x:c r="L249" s="34" t="str">
        <x:v>2026-06-30</x:v>
      </x:c>
      <x:c r="M249" s="28" t="str"/>
    </x:row>
    <x:row r="250">
      <x:c r="A250" s="37" t="str">
        <x:v>PLN-01193</x:v>
      </x:c>
      <x:c r="B250" s="28" t="str">
        <x:v>Customer profitability and economic profit</x:v>
      </x:c>
      <x:c r="C250" s="28" t="str">
        <x:v>Customer profitability detail</x:v>
      </x:c>
      <x:c r="D250" s="28" t="str">
        <x:v>Helix Data Center</x:v>
      </x:c>
      <x:c r="E250" s="28" t="str">
        <x:v>LTM 2026-06-30</x:v>
      </x:c>
      <x:c r="F250" s="28" t="str">
        <x:v>Approved case</x:v>
      </x:c>
      <x:c r="G250" s="28" t="str">
        <x:v>Warranty and callbacks</x:v>
      </x:c>
      <x:c r="H250" s="31" t="n">
        <x:v>690</x:v>
      </x:c>
      <x:c r="I250" s="28" t="str"/>
      <x:c r="J250" s="28" t="str">
        <x:v>USD thousands</x:v>
      </x:c>
      <x:c r="K250" s="28" t="str">
        <x:v>Finance operating schedule</x:v>
      </x:c>
      <x:c r="L250" s="34" t="str">
        <x:v>2026-06-30</x:v>
      </x:c>
      <x:c r="M250" s="28" t="str"/>
    </x:row>
    <x:row r="251">
      <x:c r="A251" s="37" t="str">
        <x:v>PLN-01194</x:v>
      </x:c>
      <x:c r="B251" s="28" t="str">
        <x:v>Customer profitability and economic profit</x:v>
      </x:c>
      <x:c r="C251" s="28" t="str">
        <x:v>Customer profitability detail</x:v>
      </x:c>
      <x:c r="D251" s="28" t="str">
        <x:v>Helix Data Center</x:v>
      </x:c>
      <x:c r="E251" s="28" t="str">
        <x:v>LTM 2026-06-30</x:v>
      </x:c>
      <x:c r="F251" s="28" t="str">
        <x:v>Approved case</x:v>
      </x:c>
      <x:c r="G251" s="28" t="str">
        <x:v>DSO</x:v>
      </x:c>
      <x:c r="H251" s="31" t="n">
        <x:v>82</x:v>
      </x:c>
      <x:c r="I251" s="28" t="str"/>
      <x:c r="J251" s="28" t="str">
        <x:v>days</x:v>
      </x:c>
      <x:c r="K251" s="28" t="str">
        <x:v>Finance operating schedule</x:v>
      </x:c>
      <x:c r="L251" s="34" t="str">
        <x:v>2026-06-30</x:v>
      </x:c>
      <x:c r="M251" s="28" t="str"/>
    </x:row>
    <x:row r="252">
      <x:c r="A252" s="37" t="str">
        <x:v>PLN-01195</x:v>
      </x:c>
      <x:c r="B252" s="28" t="str">
        <x:v>Customer profitability and economic profit</x:v>
      </x:c>
      <x:c r="C252" s="28" t="str">
        <x:v>Customer profitability detail</x:v>
      </x:c>
      <x:c r="D252" s="28" t="str">
        <x:v>Helix Data Center</x:v>
      </x:c>
      <x:c r="E252" s="28" t="str">
        <x:v>LTM 2026-06-30</x:v>
      </x:c>
      <x:c r="F252" s="28" t="str">
        <x:v>Approved case</x:v>
      </x:c>
      <x:c r="G252" s="28" t="str">
        <x:v>Average invested capital</x:v>
      </x:c>
      <x:c r="H252" s="31" t="n">
        <x:v>5200000</x:v>
      </x:c>
      <x:c r="I252" s="28" t="str"/>
      <x:c r="J252" s="28" t="str">
        <x:v>USD</x:v>
      </x:c>
      <x:c r="K252" s="28" t="str">
        <x:v>Finance operating schedule</x:v>
      </x:c>
      <x:c r="L252" s="34" t="str">
        <x:v>2026-06-30</x:v>
      </x:c>
      <x:c r="M252" s="28" t="str"/>
    </x:row>
    <x:row r="253">
      <x:c r="A253" s="37" t="str">
        <x:v>PLN-01196</x:v>
      </x:c>
      <x:c r="B253" s="28" t="str">
        <x:v>Customer profitability and economic profit</x:v>
      </x:c>
      <x:c r="C253" s="28" t="str">
        <x:v>Customer profitability detail</x:v>
      </x:c>
      <x:c r="D253" s="28" t="str">
        <x:v>Juniper Offices</x:v>
      </x:c>
      <x:c r="E253" s="28" t="str">
        <x:v>LTM 2026-06-30</x:v>
      </x:c>
      <x:c r="F253" s="28" t="str">
        <x:v>Approved case</x:v>
      </x:c>
      <x:c r="G253" s="28" t="str">
        <x:v>Revenue</x:v>
      </x:c>
      <x:c r="H253" s="31" t="n">
        <x:v>5650000</x:v>
      </x:c>
      <x:c r="I253" s="28" t="str"/>
      <x:c r="J253" s="28" t="str">
        <x:v>USD</x:v>
      </x:c>
      <x:c r="K253" s="28" t="str">
        <x:v>Finance operating schedule</x:v>
      </x:c>
      <x:c r="L253" s="34" t="str">
        <x:v>2026-06-30</x:v>
      </x:c>
      <x:c r="M253" s="28" t="str"/>
    </x:row>
    <x:row r="254">
      <x:c r="A254" s="37" t="str">
        <x:v>PLN-01197</x:v>
      </x:c>
      <x:c r="B254" s="28" t="str">
        <x:v>Customer profitability and economic profit</x:v>
      </x:c>
      <x:c r="C254" s="28" t="str">
        <x:v>Customer profitability detail</x:v>
      </x:c>
      <x:c r="D254" s="28" t="str">
        <x:v>Juniper Offices</x:v>
      </x:c>
      <x:c r="E254" s="28" t="str">
        <x:v>LTM 2026-06-30</x:v>
      </x:c>
      <x:c r="F254" s="28" t="str">
        <x:v>Approved case</x:v>
      </x:c>
      <x:c r="G254" s="28" t="str">
        <x:v>Direct labor</x:v>
      </x:c>
      <x:c r="H254" s="31" t="n">
        <x:v>1440</x:v>
      </x:c>
      <x:c r="I254" s="28" t="str"/>
      <x:c r="J254" s="28" t="str">
        <x:v>USD thousands</x:v>
      </x:c>
      <x:c r="K254" s="28" t="str">
        <x:v>Finance operating schedule</x:v>
      </x:c>
      <x:c r="L254" s="34" t="str">
        <x:v>2026-06-30</x:v>
      </x:c>
      <x:c r="M254" s="28" t="str"/>
    </x:row>
    <x:row r="255">
      <x:c r="A255" s="37" t="str">
        <x:v>PLN-01198</x:v>
      </x:c>
      <x:c r="B255" s="28" t="str">
        <x:v>Customer profitability and economic profit</x:v>
      </x:c>
      <x:c r="C255" s="28" t="str">
        <x:v>Customer profitability detail</x:v>
      </x:c>
      <x:c r="D255" s="28" t="str">
        <x:v>Juniper Offices</x:v>
      </x:c>
      <x:c r="E255" s="28" t="str">
        <x:v>LTM 2026-06-30</x:v>
      </x:c>
      <x:c r="F255" s="28" t="str">
        <x:v>Approved case</x:v>
      </x:c>
      <x:c r="G255" s="28" t="str">
        <x:v>Material</x:v>
      </x:c>
      <x:c r="H255" s="31" t="n">
        <x:v>1790000</x:v>
      </x:c>
      <x:c r="I255" s="28" t="str"/>
      <x:c r="J255" s="28" t="str">
        <x:v>USD</x:v>
      </x:c>
      <x:c r="K255" s="28" t="str">
        <x:v>Finance operating schedule</x:v>
      </x:c>
      <x:c r="L255" s="34" t="str">
        <x:v>2026-06-30</x:v>
      </x:c>
      <x:c r="M255" s="28" t="str"/>
    </x:row>
    <x:row r="256">
      <x:c r="A256" s="37" t="str">
        <x:v>PLN-01199</x:v>
      </x:c>
      <x:c r="B256" s="28" t="str">
        <x:v>Customer profitability and economic profit</x:v>
      </x:c>
      <x:c r="C256" s="28" t="str">
        <x:v>Customer profitability detail</x:v>
      </x:c>
      <x:c r="D256" s="28" t="str">
        <x:v>Juniper Offices</x:v>
      </x:c>
      <x:c r="E256" s="28" t="str">
        <x:v>LTM 2026-06-30</x:v>
      </x:c>
      <x:c r="F256" s="28" t="str">
        <x:v>Approved case</x:v>
      </x:c>
      <x:c r="G256" s="28" t="str">
        <x:v>Subcontract</x:v>
      </x:c>
      <x:c r="H256" s="31" t="n">
        <x:v>620000</x:v>
      </x:c>
      <x:c r="I256" s="28" t="str"/>
      <x:c r="J256" s="28" t="str">
        <x:v>USD</x:v>
      </x:c>
      <x:c r="K256" s="28" t="str">
        <x:v>Finance operating schedule</x:v>
      </x:c>
      <x:c r="L256" s="34" t="str">
        <x:v>2026-06-30</x:v>
      </x:c>
      <x:c r="M256" s="28" t="str"/>
    </x:row>
    <x:row r="257">
      <x:c r="A257" s="37" t="str">
        <x:v>PLN-01200</x:v>
      </x:c>
      <x:c r="B257" s="28" t="str">
        <x:v>Customer profitability and economic profit</x:v>
      </x:c>
      <x:c r="C257" s="28" t="str">
        <x:v>Customer profitability detail</x:v>
      </x:c>
      <x:c r="D257" s="28" t="str">
        <x:v>Juniper Offices</x:v>
      </x:c>
      <x:c r="E257" s="28" t="str">
        <x:v>LTM 2026-06-30</x:v>
      </x:c>
      <x:c r="F257" s="28" t="str">
        <x:v>Approved case</x:v>
      </x:c>
      <x:c r="G257" s="28" t="str">
        <x:v>Warranty and callbacks</x:v>
      </x:c>
      <x:c r="H257" s="31" t="n">
        <x:v>190000</x:v>
      </x:c>
      <x:c r="I257" s="28" t="str"/>
      <x:c r="J257" s="28" t="str">
        <x:v>USD</x:v>
      </x:c>
      <x:c r="K257" s="28" t="str">
        <x:v>Finance operating schedule</x:v>
      </x:c>
      <x:c r="L257" s="34" t="str">
        <x:v>2026-06-30</x:v>
      </x:c>
      <x:c r="M257" s="28" t="str"/>
    </x:row>
    <x:row r="258">
      <x:c r="A258" s="37" t="str">
        <x:v>PLN-01201</x:v>
      </x:c>
      <x:c r="B258" s="28" t="str">
        <x:v>Customer profitability and economic profit</x:v>
      </x:c>
      <x:c r="C258" s="28" t="str">
        <x:v>Customer profitability detail</x:v>
      </x:c>
      <x:c r="D258" s="28" t="str">
        <x:v>Juniper Offices</x:v>
      </x:c>
      <x:c r="E258" s="28" t="str">
        <x:v>LTM 2026-06-30</x:v>
      </x:c>
      <x:c r="F258" s="28" t="str">
        <x:v>Approved case</x:v>
      </x:c>
      <x:c r="G258" s="28" t="str">
        <x:v>DSO</x:v>
      </x:c>
      <x:c r="H258" s="31" t="n">
        <x:v>46</x:v>
      </x:c>
      <x:c r="I258" s="28" t="str"/>
      <x:c r="J258" s="28" t="str">
        <x:v>days</x:v>
      </x:c>
      <x:c r="K258" s="28" t="str">
        <x:v>Finance operating schedule</x:v>
      </x:c>
      <x:c r="L258" s="34" t="str">
        <x:v>2026-06-30</x:v>
      </x:c>
      <x:c r="M258" s="28" t="str"/>
    </x:row>
    <x:row r="259">
      <x:c r="A259" s="37" t="str">
        <x:v>PLN-01202</x:v>
      </x:c>
      <x:c r="B259" s="28" t="str">
        <x:v>Customer profitability and economic profit</x:v>
      </x:c>
      <x:c r="C259" s="28" t="str">
        <x:v>Customer profitability detail</x:v>
      </x:c>
      <x:c r="D259" s="28" t="str">
        <x:v>Juniper Offices</x:v>
      </x:c>
      <x:c r="E259" s="28" t="str">
        <x:v>LTM 2026-06-30</x:v>
      </x:c>
      <x:c r="F259" s="28" t="str">
        <x:v>Approved case</x:v>
      </x:c>
      <x:c r="G259" s="28" t="str">
        <x:v>Average invested capital</x:v>
      </x:c>
      <x:c r="H259" s="31" t="n">
        <x:v>2150000</x:v>
      </x:c>
      <x:c r="I259" s="28" t="str"/>
      <x:c r="J259" s="28" t="str">
        <x:v>USD</x:v>
      </x:c>
      <x:c r="K259" s="28" t="str">
        <x:v>Finance operating schedule</x:v>
      </x:c>
      <x:c r="L259" s="34" t="str">
        <x:v>2026-06-30</x:v>
      </x:c>
      <x:c r="M259" s="28" t="str"/>
    </x:row>
    <x:row r="260">
      <x:c r="A260" s="37" t="str">
        <x:v>PLN-01203</x:v>
      </x:c>
      <x:c r="B260" s="28" t="str">
        <x:v>Customer profitability and economic profit</x:v>
      </x:c>
      <x:c r="C260" s="28" t="str">
        <x:v>Customer profitability detail</x:v>
      </x:c>
      <x:c r="D260" s="28" t="str">
        <x:v>Portland Schools</x:v>
      </x:c>
      <x:c r="E260" s="28" t="str">
        <x:v>LTM 2026-06-30</x:v>
      </x:c>
      <x:c r="F260" s="28" t="str">
        <x:v>Approved case</x:v>
      </x:c>
      <x:c r="G260" s="28" t="str">
        <x:v>Revenue</x:v>
      </x:c>
      <x:c r="H260" s="31" t="n">
        <x:v>6900000</x:v>
      </x:c>
      <x:c r="I260" s="28" t="str"/>
      <x:c r="J260" s="28" t="str">
        <x:v>USD</x:v>
      </x:c>
      <x:c r="K260" s="28" t="str">
        <x:v>Finance operating schedule</x:v>
      </x:c>
      <x:c r="L260" s="34" t="str">
        <x:v>2026-06-30</x:v>
      </x:c>
      <x:c r="M260" s="28" t="str"/>
    </x:row>
    <x:row r="261">
      <x:c r="A261" s="37" t="str">
        <x:v>PLN-01204</x:v>
      </x:c>
      <x:c r="B261" s="28" t="str">
        <x:v>Customer profitability and economic profit</x:v>
      </x:c>
      <x:c r="C261" s="28" t="str">
        <x:v>Customer profitability detail</x:v>
      </x:c>
      <x:c r="D261" s="28" t="str">
        <x:v>Portland Schools</x:v>
      </x:c>
      <x:c r="E261" s="28" t="str">
        <x:v>LTM 2026-06-30</x:v>
      </x:c>
      <x:c r="F261" s="28" t="str">
        <x:v>Approved case</x:v>
      </x:c>
      <x:c r="G261" s="28" t="str">
        <x:v>Direct labor</x:v>
      </x:c>
      <x:c r="H261" s="31" t="n">
        <x:v>2080000</x:v>
      </x:c>
      <x:c r="I261" s="28" t="str"/>
      <x:c r="J261" s="28" t="str">
        <x:v>USD</x:v>
      </x:c>
      <x:c r="K261" s="28" t="str">
        <x:v>Finance operating schedule</x:v>
      </x:c>
      <x:c r="L261" s="34" t="str">
        <x:v>2026-06-30</x:v>
      </x:c>
      <x:c r="M261" s="28" t="str"/>
    </x:row>
    <x:row r="262">
      <x:c r="A262" s="37" t="str">
        <x:v>PLN-01205</x:v>
      </x:c>
      <x:c r="B262" s="28" t="str">
        <x:v>Customer profitability and economic profit</x:v>
      </x:c>
      <x:c r="C262" s="28" t="str">
        <x:v>Customer profitability detail</x:v>
      </x:c>
      <x:c r="D262" s="28" t="str">
        <x:v>Portland Schools</x:v>
      </x:c>
      <x:c r="E262" s="28" t="str">
        <x:v>LTM 2026-06-30</x:v>
      </x:c>
      <x:c r="F262" s="28" t="str">
        <x:v>Approved case</x:v>
      </x:c>
      <x:c r="G262" s="28" t="str">
        <x:v>Material</x:v>
      </x:c>
      <x:c r="H262" s="31" t="n">
        <x:v>2180</x:v>
      </x:c>
      <x:c r="I262" s="28" t="str"/>
      <x:c r="J262" s="28" t="str">
        <x:v>USD thousands</x:v>
      </x:c>
      <x:c r="K262" s="28" t="str">
        <x:v>Finance operating schedule</x:v>
      </x:c>
      <x:c r="L262" s="34" t="str">
        <x:v>2026-06-30</x:v>
      </x:c>
      <x:c r="M262" s="28" t="str"/>
    </x:row>
    <x:row r="263">
      <x:c r="A263" s="37" t="str">
        <x:v>PLN-01206</x:v>
      </x:c>
      <x:c r="B263" s="28" t="str">
        <x:v>Customer profitability and economic profit</x:v>
      </x:c>
      <x:c r="C263" s="28" t="str">
        <x:v>Customer profitability detail</x:v>
      </x:c>
      <x:c r="D263" s="28" t="str">
        <x:v>Portland Schools</x:v>
      </x:c>
      <x:c r="E263" s="28" t="str">
        <x:v>LTM 2026-06-30</x:v>
      </x:c>
      <x:c r="F263" s="28" t="str">
        <x:v>Approved case</x:v>
      </x:c>
      <x:c r="G263" s="28" t="str">
        <x:v>Subcontract</x:v>
      </x:c>
      <x:c r="H263" s="31" t="n">
        <x:v>1050000</x:v>
      </x:c>
      <x:c r="I263" s="28" t="str"/>
      <x:c r="J263" s="28" t="str">
        <x:v>USD</x:v>
      </x:c>
      <x:c r="K263" s="28" t="str">
        <x:v>Finance operating schedule</x:v>
      </x:c>
      <x:c r="L263" s="34" t="str">
        <x:v>2026-06-30</x:v>
      </x:c>
      <x:c r="M263" s="28" t="str"/>
    </x:row>
    <x:row r="264">
      <x:c r="A264" s="37" t="str">
        <x:v>PLN-01207</x:v>
      </x:c>
      <x:c r="B264" s="28" t="str">
        <x:v>Customer profitability and economic profit</x:v>
      </x:c>
      <x:c r="C264" s="28" t="str">
        <x:v>Customer profitability detail</x:v>
      </x:c>
      <x:c r="D264" s="28" t="str">
        <x:v>Portland Schools</x:v>
      </x:c>
      <x:c r="E264" s="28" t="str">
        <x:v>LTM 2026-06-30</x:v>
      </x:c>
      <x:c r="F264" s="28" t="str">
        <x:v>Approved case</x:v>
      </x:c>
      <x:c r="G264" s="28" t="str">
        <x:v>Warranty and callbacks</x:v>
      </x:c>
      <x:c r="H264" s="31" t="n">
        <x:v>450000</x:v>
      </x:c>
      <x:c r="I264" s="28" t="str"/>
      <x:c r="J264" s="28" t="str">
        <x:v>USD</x:v>
      </x:c>
      <x:c r="K264" s="28" t="str">
        <x:v>Finance operating schedule</x:v>
      </x:c>
      <x:c r="L264" s="34" t="str">
        <x:v>2026-06-30</x:v>
      </x:c>
      <x:c r="M264" s="28" t="str"/>
    </x:row>
    <x:row r="265">
      <x:c r="A265" s="37" t="str">
        <x:v>PLN-01208</x:v>
      </x:c>
      <x:c r="B265" s="28" t="str">
        <x:v>Customer profitability and economic profit</x:v>
      </x:c>
      <x:c r="C265" s="28" t="str">
        <x:v>Customer profitability detail</x:v>
      </x:c>
      <x:c r="D265" s="28" t="str">
        <x:v>Portland Schools</x:v>
      </x:c>
      <x:c r="E265" s="28" t="str">
        <x:v>LTM 2026-06-30</x:v>
      </x:c>
      <x:c r="F265" s="28" t="str">
        <x:v>Approved case</x:v>
      </x:c>
      <x:c r="G265" s="28" t="str">
        <x:v>DSO</x:v>
      </x:c>
      <x:c r="H265" s="31" t="n">
        <x:v>96</x:v>
      </x:c>
      <x:c r="I265" s="28" t="str"/>
      <x:c r="J265" s="28" t="str">
        <x:v>days</x:v>
      </x:c>
      <x:c r="K265" s="28" t="str">
        <x:v>Finance operating schedule</x:v>
      </x:c>
      <x:c r="L265" s="34" t="str">
        <x:v>2026-06-30</x:v>
      </x:c>
      <x:c r="M265" s="28" t="str"/>
    </x:row>
    <x:row r="266">
      <x:c r="A266" s="37" t="str">
        <x:v>PLN-01209</x:v>
      </x:c>
      <x:c r="B266" s="28" t="str">
        <x:v>Customer profitability and economic profit</x:v>
      </x:c>
      <x:c r="C266" s="28" t="str">
        <x:v>Customer profitability detail</x:v>
      </x:c>
      <x:c r="D266" s="28" t="str">
        <x:v>Portland Schools</x:v>
      </x:c>
      <x:c r="E266" s="28" t="str">
        <x:v>LTM 2026-06-30</x:v>
      </x:c>
      <x:c r="F266" s="28" t="str">
        <x:v>Approved case</x:v>
      </x:c>
      <x:c r="G266" s="28" t="str">
        <x:v>Average invested capital</x:v>
      </x:c>
      <x:c r="H266" s="31" t="n">
        <x:v>5200</x:v>
      </x:c>
      <x:c r="I266" s="28" t="str"/>
      <x:c r="J266" s="28" t="str">
        <x:v>USD thousands</x:v>
      </x:c>
      <x:c r="K266" s="28" t="str">
        <x:v>Finance operating schedule</x:v>
      </x:c>
      <x:c r="L266" s="34" t="str">
        <x:v>2026-06-30</x:v>
      </x:c>
      <x:c r="M266" s="28" t="str"/>
    </x:row>
    <x:row r="267">
      <x:c r="A267" s="37" t="str">
        <x:v>PLN-01210</x:v>
      </x:c>
      <x:c r="B267" s="28" t="str">
        <x:v>Customer profitability and economic profit</x:v>
      </x:c>
      <x:c r="C267" s="28" t="str">
        <x:v>Shared cost pools</x:v>
      </x:c>
      <x:c r="D267" s="28" t="str">
        <x:v>Project management</x:v>
      </x:c>
      <x:c r="E267" s="28" t="str">
        <x:v>LTM 2026-06-30</x:v>
      </x:c>
      <x:c r="F267" s="28" t="str">
        <x:v>Approved case</x:v>
      </x:c>
      <x:c r="G267" s="28" t="str">
        <x:v>Pool cost</x:v>
      </x:c>
      <x:c r="H267" s="31" t="n">
        <x:v>1250000</x:v>
      </x:c>
      <x:c r="I267" s="28" t="str"/>
      <x:c r="J267" s="28" t="str">
        <x:v>USD</x:v>
      </x:c>
      <x:c r="K267" s="28" t="str">
        <x:v>Finance operating schedule</x:v>
      </x:c>
      <x:c r="L267" s="34" t="str">
        <x:v>2026-06-30</x:v>
      </x:c>
      <x:c r="M267" s="28" t="str"/>
    </x:row>
    <x:row r="268">
      <x:c r="A268" s="37" t="str">
        <x:v>PLN-01211</x:v>
      </x:c>
      <x:c r="B268" s="28" t="str">
        <x:v>Customer profitability and economic profit</x:v>
      </x:c>
      <x:c r="C268" s="28" t="str">
        <x:v>Shared cost pools</x:v>
      </x:c>
      <x:c r="D268" s="28" t="str">
        <x:v>Project management</x:v>
      </x:c>
      <x:c r="E268" s="28" t="str">
        <x:v>LTM 2026-06-30</x:v>
      </x:c>
      <x:c r="F268" s="28" t="str">
        <x:v>Approved case</x:v>
      </x:c>
      <x:c r="G268" s="28" t="str">
        <x:v>Allocation driver</x:v>
      </x:c>
      <x:c r="H268" s="31" t="str"/>
      <x:c r="I268" s="28" t="str">
        <x:v>Revenue</x:v>
      </x:c>
      <x:c r="J268" s="28" t="str">
        <x:v>classification</x:v>
      </x:c>
      <x:c r="K268" s="28" t="str">
        <x:v>Finance operating schedule</x:v>
      </x:c>
      <x:c r="L268" s="34" t="str">
        <x:v>2026-06-30</x:v>
      </x:c>
      <x:c r="M268" s="28" t="str"/>
    </x:row>
    <x:row r="269">
      <x:c r="A269" s="37" t="str">
        <x:v>PLN-01212</x:v>
      </x:c>
      <x:c r="B269" s="28" t="str">
        <x:v>Customer profitability and economic profit</x:v>
      </x:c>
      <x:c r="C269" s="28" t="str">
        <x:v>Shared cost pools</x:v>
      </x:c>
      <x:c r="D269" s="28" t="str">
        <x:v>Service dispatch</x:v>
      </x:c>
      <x:c r="E269" s="28" t="str">
        <x:v>LTM 2026-06-30</x:v>
      </x:c>
      <x:c r="F269" s="28" t="str">
        <x:v>Approved case</x:v>
      </x:c>
      <x:c r="G269" s="28" t="str">
        <x:v>Pool cost</x:v>
      </x:c>
      <x:c r="H269" s="31" t="n">
        <x:v>620000</x:v>
      </x:c>
      <x:c r="I269" s="28" t="str"/>
      <x:c r="J269" s="28" t="str">
        <x:v>USD</x:v>
      </x:c>
      <x:c r="K269" s="28" t="str">
        <x:v>Finance operating schedule</x:v>
      </x:c>
      <x:c r="L269" s="34" t="str">
        <x:v>2026-06-30</x:v>
      </x:c>
      <x:c r="M269" s="28" t="str"/>
    </x:row>
    <x:row r="270">
      <x:c r="A270" s="37" t="str">
        <x:v>PLN-01213</x:v>
      </x:c>
      <x:c r="B270" s="28" t="str">
        <x:v>Customer profitability and economic profit</x:v>
      </x:c>
      <x:c r="C270" s="28" t="str">
        <x:v>Shared cost pools</x:v>
      </x:c>
      <x:c r="D270" s="28" t="str">
        <x:v>Service dispatch</x:v>
      </x:c>
      <x:c r="E270" s="28" t="str">
        <x:v>LTM 2026-06-30</x:v>
      </x:c>
      <x:c r="F270" s="28" t="str">
        <x:v>Approved case</x:v>
      </x:c>
      <x:c r="G270" s="28" t="str">
        <x:v>Allocation driver</x:v>
      </x:c>
      <x:c r="H270" s="31" t="str"/>
      <x:c r="I270" s="28" t="str">
        <x:v>Warranty and callbacks</x:v>
      </x:c>
      <x:c r="J270" s="28" t="str">
        <x:v>classification</x:v>
      </x:c>
      <x:c r="K270" s="28" t="str">
        <x:v>Finance operating schedule</x:v>
      </x:c>
      <x:c r="L270" s="34" t="str">
        <x:v>2026-06-30</x:v>
      </x:c>
      <x:c r="M270" s="28" t="str"/>
    </x:row>
    <x:row r="271">
      <x:c r="A271" s="37" t="str">
        <x:v>PLN-01214</x:v>
      </x:c>
      <x:c r="B271" s="28" t="str">
        <x:v>Customer profitability and economic profit</x:v>
      </x:c>
      <x:c r="C271" s="28" t="str">
        <x:v>Shared cost pools</x:v>
      </x:c>
      <x:c r="D271" s="28" t="str">
        <x:v>Credit administration</x:v>
      </x:c>
      <x:c r="E271" s="28" t="str">
        <x:v>LTM 2026-06-30</x:v>
      </x:c>
      <x:c r="F271" s="28" t="str">
        <x:v>Approved case</x:v>
      </x:c>
      <x:c r="G271" s="28" t="str">
        <x:v>Pool cost</x:v>
      </x:c>
      <x:c r="H271" s="31" t="n">
        <x:v>330000</x:v>
      </x:c>
      <x:c r="I271" s="28" t="str"/>
      <x:c r="J271" s="28" t="str">
        <x:v>USD</x:v>
      </x:c>
      <x:c r="K271" s="28" t="str">
        <x:v>Finance operating schedule</x:v>
      </x:c>
      <x:c r="L271" s="34" t="str">
        <x:v>2026-06-30</x:v>
      </x:c>
      <x:c r="M271" s="28" t="str"/>
    </x:row>
    <x:row r="272">
      <x:c r="A272" s="37" t="str">
        <x:v>PLN-01215</x:v>
      </x:c>
      <x:c r="B272" s="28" t="str">
        <x:v>Customer profitability and economic profit</x:v>
      </x:c>
      <x:c r="C272" s="28" t="str">
        <x:v>Shared cost pools</x:v>
      </x:c>
      <x:c r="D272" s="28" t="str">
        <x:v>Credit administration</x:v>
      </x:c>
      <x:c r="E272" s="28" t="str">
        <x:v>LTM 2026-06-30</x:v>
      </x:c>
      <x:c r="F272" s="28" t="str">
        <x:v>Approved case</x:v>
      </x:c>
      <x:c r="G272" s="28" t="str">
        <x:v>Allocation driver</x:v>
      </x:c>
      <x:c r="H272" s="31" t="str"/>
      <x:c r="I272" s="28" t="str">
        <x:v>DSO</x:v>
      </x:c>
      <x:c r="J272" s="28" t="str">
        <x:v>classification</x:v>
      </x:c>
      <x:c r="K272" s="28" t="str">
        <x:v>Finance operating schedule</x:v>
      </x:c>
      <x:c r="L272" s="34" t="str">
        <x:v>2026-06-30</x:v>
      </x:c>
      <x:c r="M272" s="28" t="str"/>
    </x:row>
    <x:row r="273">
      <x:c r="A273" s="37" t="str">
        <x:v>PLN-01216</x:v>
      </x:c>
      <x:c r="B273" s="28" t="str">
        <x:v>Customer profitability and economic profit</x:v>
      </x:c>
      <x:c r="C273" s="28" t="str">
        <x:v>Economic profit policy</x:v>
      </x:c>
      <x:c r="D273" s="28" t="str">
        <x:v>Alder Ridge</x:v>
      </x:c>
      <x:c r="E273" s="28" t="str">
        <x:v>LTM 2026-06-30</x:v>
      </x:c>
      <x:c r="F273" s="28" t="str">
        <x:v>Approved case</x:v>
      </x:c>
      <x:c r="G273" s="28" t="str">
        <x:v>Capital charge</x:v>
      </x:c>
      <x:c r="H273" s="31" t="n">
        <x:v>0.115</x:v>
      </x:c>
      <x:c r="I273" s="28" t="str"/>
      <x:c r="J273" s="28" t="str">
        <x:v>decimal ratio</x:v>
      </x:c>
      <x:c r="K273" s="28" t="str">
        <x:v>Finance operating schedule</x:v>
      </x:c>
      <x:c r="L273" s="34" t="str">
        <x:v>2026-06-30</x:v>
      </x:c>
      <x:c r="M273" s="28" t="str"/>
    </x:row>
    <x:row r="274">
      <x:c r="A274" s="37" t="str">
        <x:v>PLN-01231</x:v>
      </x:c>
      <x:c r="B274" s="28" t="str">
        <x:v>Customer profitability and economic profit</x:v>
      </x:c>
      <x:c r="C274" s="28" t="str">
        <x:v>Customer renewal decision</x:v>
      </x:c>
      <x:c r="D274" s="28" t="str">
        <x:v>Cedar Medical</x:v>
      </x:c>
      <x:c r="E274" s="28" t="str">
        <x:v>FY27</x:v>
      </x:c>
      <x:c r="F274" s="28" t="str">
        <x:v>Approved case</x:v>
      </x:c>
      <x:c r="G274" s="28" t="str">
        <x:v>Renewal probability</x:v>
      </x:c>
      <x:c r="H274" s="31" t="n">
        <x:v>0.91</x:v>
      </x:c>
      <x:c r="I274" s="28" t="str"/>
      <x:c r="J274" s="28" t="str">
        <x:v>decimal ratio</x:v>
      </x:c>
      <x:c r="K274" s="28" t="str">
        <x:v>Finance operating schedule</x:v>
      </x:c>
      <x:c r="L274" s="34" t="str">
        <x:v>2026-06-30</x:v>
      </x:c>
      <x:c r="M274" s="28" t="str"/>
    </x:row>
    <x:row r="275">
      <x:c r="A275" s="37" t="str">
        <x:v>PLN-01232</x:v>
      </x:c>
      <x:c r="B275" s="28" t="str">
        <x:v>Customer profitability and economic profit</x:v>
      </x:c>
      <x:c r="C275" s="28" t="str">
        <x:v>Customer renewal decision</x:v>
      </x:c>
      <x:c r="D275" s="28" t="str">
        <x:v>Cedar Medical</x:v>
      </x:c>
      <x:c r="E275" s="28" t="str">
        <x:v>FY27</x:v>
      </x:c>
      <x:c r="F275" s="28" t="str">
        <x:v>Approved case</x:v>
      </x:c>
      <x:c r="G275" s="28" t="str">
        <x:v>Proposed price increase</x:v>
      </x:c>
      <x:c r="H275" s="31" t="n">
        <x:v>0.035</x:v>
      </x:c>
      <x:c r="I275" s="28" t="str"/>
      <x:c r="J275" s="28" t="str">
        <x:v>decimal ratio</x:v>
      </x:c>
      <x:c r="K275" s="28" t="str">
        <x:v>Finance operating schedule</x:v>
      </x:c>
      <x:c r="L275" s="34" t="str">
        <x:v>2026-06-30</x:v>
      </x:c>
      <x:c r="M275" s="28" t="str"/>
    </x:row>
    <x:row r="276">
      <x:c r="A276" s="37" t="str">
        <x:v>PLN-01233</x:v>
      </x:c>
      <x:c r="B276" s="28" t="str">
        <x:v>Customer profitability and economic profit</x:v>
      </x:c>
      <x:c r="C276" s="28" t="str">
        <x:v>Customer renewal decision</x:v>
      </x:c>
      <x:c r="D276" s="28" t="str">
        <x:v>Cedar Medical</x:v>
      </x:c>
      <x:c r="E276" s="28" t="str">
        <x:v>FY27</x:v>
      </x:c>
      <x:c r="F276" s="28" t="str">
        <x:v>Approved case</x:v>
      </x:c>
      <x:c r="G276" s="28" t="str">
        <x:v>Volume elasticity</x:v>
      </x:c>
      <x:c r="H276" s="31" t="n">
        <x:v>0.18</x:v>
      </x:c>
      <x:c r="I276" s="28" t="str"/>
      <x:c r="J276" s="28" t="str">
        <x:v>decimal ratio</x:v>
      </x:c>
      <x:c r="K276" s="28" t="str">
        <x:v>Finance operating schedule</x:v>
      </x:c>
      <x:c r="L276" s="34" t="str">
        <x:v>2026-06-30</x:v>
      </x:c>
      <x:c r="M276" s="28" t="str"/>
    </x:row>
    <x:row r="277">
      <x:c r="A277" s="37" t="str">
        <x:v>PLN-01234</x:v>
      </x:c>
      <x:c r="B277" s="28" t="str">
        <x:v>Customer profitability and economic profit</x:v>
      </x:c>
      <x:c r="C277" s="28" t="str">
        <x:v>Customer renewal decision</x:v>
      </x:c>
      <x:c r="D277" s="28" t="str">
        <x:v>Cedar Medical</x:v>
      </x:c>
      <x:c r="E277" s="28" t="str">
        <x:v>FY27</x:v>
      </x:c>
      <x:c r="F277" s="28" t="str">
        <x:v>Approved case</x:v>
      </x:c>
      <x:c r="G277" s="28" t="str">
        <x:v>Expected credit loss percent</x:v>
      </x:c>
      <x:c r="H277" s="31" t="n">
        <x:v>0.006</x:v>
      </x:c>
      <x:c r="I277" s="28" t="str"/>
      <x:c r="J277" s="28" t="str">
        <x:v>decimal ratio</x:v>
      </x:c>
      <x:c r="K277" s="28" t="str">
        <x:v>Finance operating schedule</x:v>
      </x:c>
      <x:c r="L277" s="34" t="str">
        <x:v>2026-06-30</x:v>
      </x:c>
      <x:c r="M277" s="28" t="str"/>
    </x:row>
    <x:row r="278">
      <x:c r="A278" s="37" t="str">
        <x:v>PLN-01235</x:v>
      </x:c>
      <x:c r="B278" s="28" t="str">
        <x:v>Customer profitability and economic profit</x:v>
      </x:c>
      <x:c r="C278" s="28" t="str">
        <x:v>Customer renewal decision</x:v>
      </x:c>
      <x:c r="D278" s="28" t="str">
        <x:v>Cedar Medical</x:v>
      </x:c>
      <x:c r="E278" s="28" t="str">
        <x:v>FY27</x:v>
      </x:c>
      <x:c r="F278" s="28" t="str">
        <x:v>Approved case</x:v>
      </x:c>
      <x:c r="G278" s="28" t="str">
        <x:v>Retention investment</x:v>
      </x:c>
      <x:c r="H278" s="31" t="n">
        <x:v>85000</x:v>
      </x:c>
      <x:c r="I278" s="28" t="str"/>
      <x:c r="J278" s="28" t="str">
        <x:v>USD</x:v>
      </x:c>
      <x:c r="K278" s="28" t="str">
        <x:v>Finance operating schedule</x:v>
      </x:c>
      <x:c r="L278" s="34" t="str">
        <x:v>2026-06-30</x:v>
      </x:c>
      <x:c r="M278" s="28" t="str"/>
    </x:row>
    <x:row r="279">
      <x:c r="A279" s="37" t="str">
        <x:v>PLN-01236</x:v>
      </x:c>
      <x:c r="B279" s="28" t="str">
        <x:v>Customer profitability and economic profit</x:v>
      </x:c>
      <x:c r="C279" s="28" t="str">
        <x:v>Customer renewal decision</x:v>
      </x:c>
      <x:c r="D279" s="28" t="str">
        <x:v>Cedar Medical</x:v>
      </x:c>
      <x:c r="E279" s="28" t="str">
        <x:v>FY27</x:v>
      </x:c>
      <x:c r="F279" s="28" t="str">
        <x:v>Approved case</x:v>
      </x:c>
      <x:c r="G279" s="28" t="str">
        <x:v>Capital released on exit</x:v>
      </x:c>
      <x:c r="H279" s="31" t="n">
        <x:v>420000</x:v>
      </x:c>
      <x:c r="I279" s="28" t="str"/>
      <x:c r="J279" s="28" t="str">
        <x:v>USD</x:v>
      </x:c>
      <x:c r="K279" s="28" t="str">
        <x:v>Finance operating schedule</x:v>
      </x:c>
      <x:c r="L279" s="34" t="str">
        <x:v>2026-06-30</x:v>
      </x:c>
      <x:c r="M279" s="28" t="str"/>
    </x:row>
    <x:row r="280">
      <x:c r="A280" s="37" t="str">
        <x:v>PLN-01237</x:v>
      </x:c>
      <x:c r="B280" s="28" t="str">
        <x:v>Customer profitability and economic profit</x:v>
      </x:c>
      <x:c r="C280" s="28" t="str">
        <x:v>Customer renewal decision</x:v>
      </x:c>
      <x:c r="D280" s="28" t="str">
        <x:v>Helix Data Center</x:v>
      </x:c>
      <x:c r="E280" s="28" t="str">
        <x:v>FY27</x:v>
      </x:c>
      <x:c r="F280" s="28" t="str">
        <x:v>Approved case</x:v>
      </x:c>
      <x:c r="G280" s="28" t="str">
        <x:v>Renewal probability</x:v>
      </x:c>
      <x:c r="H280" s="31" t="n">
        <x:v>0.76</x:v>
      </x:c>
      <x:c r="I280" s="28" t="str"/>
      <x:c r="J280" s="28" t="str">
        <x:v>decimal ratio</x:v>
      </x:c>
      <x:c r="K280" s="28" t="str">
        <x:v>Finance operating schedule</x:v>
      </x:c>
      <x:c r="L280" s="34" t="str">
        <x:v>2026-06-30</x:v>
      </x:c>
      <x:c r="M280" s="28" t="str"/>
    </x:row>
    <x:row r="281">
      <x:c r="A281" s="37" t="str">
        <x:v>PLN-01238</x:v>
      </x:c>
      <x:c r="B281" s="28" t="str">
        <x:v>Customer profitability and economic profit</x:v>
      </x:c>
      <x:c r="C281" s="28" t="str">
        <x:v>Customer renewal decision</x:v>
      </x:c>
      <x:c r="D281" s="28" t="str">
        <x:v>Helix Data Center</x:v>
      </x:c>
      <x:c r="E281" s="28" t="str">
        <x:v>FY27</x:v>
      </x:c>
      <x:c r="F281" s="28" t="str">
        <x:v>Approved case</x:v>
      </x:c>
      <x:c r="G281" s="28" t="str">
        <x:v>Proposed price increase</x:v>
      </x:c>
      <x:c r="H281" s="31" t="n">
        <x:v>0.055</x:v>
      </x:c>
      <x:c r="I281" s="28" t="str"/>
      <x:c r="J281" s="28" t="str">
        <x:v>decimal ratio</x:v>
      </x:c>
      <x:c r="K281" s="28" t="str">
        <x:v>Finance operating schedule</x:v>
      </x:c>
      <x:c r="L281" s="34" t="str">
        <x:v>2026-06-30</x:v>
      </x:c>
      <x:c r="M281" s="28" t="str"/>
    </x:row>
    <x:row r="282">
      <x:c r="A282" s="37" t="str">
        <x:v>PLN-01239</x:v>
      </x:c>
      <x:c r="B282" s="28" t="str">
        <x:v>Customer profitability and economic profit</x:v>
      </x:c>
      <x:c r="C282" s="28" t="str">
        <x:v>Customer renewal decision</x:v>
      </x:c>
      <x:c r="D282" s="28" t="str">
        <x:v>Helix Data Center</x:v>
      </x:c>
      <x:c r="E282" s="28" t="str">
        <x:v>FY27</x:v>
      </x:c>
      <x:c r="F282" s="28" t="str">
        <x:v>Approved case</x:v>
      </x:c>
      <x:c r="G282" s="28" t="str">
        <x:v>Volume elasticity</x:v>
      </x:c>
      <x:c r="H282" s="31" t="n">
        <x:v>0.42</x:v>
      </x:c>
      <x:c r="I282" s="28" t="str"/>
      <x:c r="J282" s="28" t="str">
        <x:v>decimal ratio</x:v>
      </x:c>
      <x:c r="K282" s="28" t="str">
        <x:v>Finance operating schedule</x:v>
      </x:c>
      <x:c r="L282" s="34" t="str">
        <x:v>2026-06-30</x:v>
      </x:c>
      <x:c r="M282" s="28" t="str"/>
    </x:row>
    <x:row r="283">
      <x:c r="A283" s="37" t="str">
        <x:v>PLN-01240</x:v>
      </x:c>
      <x:c r="B283" s="28" t="str">
        <x:v>Customer profitability and economic profit</x:v>
      </x:c>
      <x:c r="C283" s="28" t="str">
        <x:v>Customer renewal decision</x:v>
      </x:c>
      <x:c r="D283" s="28" t="str">
        <x:v>Helix Data Center</x:v>
      </x:c>
      <x:c r="E283" s="28" t="str">
        <x:v>FY27</x:v>
      </x:c>
      <x:c r="F283" s="28" t="str">
        <x:v>Approved case</x:v>
      </x:c>
      <x:c r="G283" s="28" t="str">
        <x:v>Expected credit loss percent</x:v>
      </x:c>
      <x:c r="H283" s="31" t="n">
        <x:v>0.018</x:v>
      </x:c>
      <x:c r="I283" s="28" t="str"/>
      <x:c r="J283" s="28" t="str">
        <x:v>decimal ratio</x:v>
      </x:c>
      <x:c r="K283" s="28" t="str">
        <x:v>Finance operating schedule</x:v>
      </x:c>
      <x:c r="L283" s="34" t="str">
        <x:v>2026-06-30</x:v>
      </x:c>
      <x:c r="M283" s="28" t="str"/>
    </x:row>
    <x:row r="284">
      <x:c r="A284" s="37" t="str">
        <x:v>PLN-01241</x:v>
      </x:c>
      <x:c r="B284" s="28" t="str">
        <x:v>Customer profitability and economic profit</x:v>
      </x:c>
      <x:c r="C284" s="28" t="str">
        <x:v>Customer renewal decision</x:v>
      </x:c>
      <x:c r="D284" s="28" t="str">
        <x:v>Helix Data Center</x:v>
      </x:c>
      <x:c r="E284" s="28" t="str">
        <x:v>FY27</x:v>
      </x:c>
      <x:c r="F284" s="28" t="str">
        <x:v>Approved case</x:v>
      </x:c>
      <x:c r="G284" s="28" t="str">
        <x:v>Retention investment</x:v>
      </x:c>
      <x:c r="H284" s="31" t="n">
        <x:v>210000</x:v>
      </x:c>
      <x:c r="I284" s="28" t="str"/>
      <x:c r="J284" s="28" t="str">
        <x:v>USD</x:v>
      </x:c>
      <x:c r="K284" s="28" t="str">
        <x:v>Finance operating schedule</x:v>
      </x:c>
      <x:c r="L284" s="34" t="str">
        <x:v>2026-06-30</x:v>
      </x:c>
      <x:c r="M284" s="28" t="str"/>
    </x:row>
    <x:row r="285">
      <x:c r="A285" s="37" t="str">
        <x:v>PLN-01242</x:v>
      </x:c>
      <x:c r="B285" s="28" t="str">
        <x:v>Customer profitability and economic profit</x:v>
      </x:c>
      <x:c r="C285" s="28" t="str">
        <x:v>Customer renewal decision</x:v>
      </x:c>
      <x:c r="D285" s="28" t="str">
        <x:v>Helix Data Center</x:v>
      </x:c>
      <x:c r="E285" s="28" t="str">
        <x:v>FY27</x:v>
      </x:c>
      <x:c r="F285" s="28" t="str">
        <x:v>Approved case</x:v>
      </x:c>
      <x:c r="G285" s="28" t="str">
        <x:v>Capital released on exit</x:v>
      </x:c>
      <x:c r="H285" s="31" t="n">
        <x:v>1050</x:v>
      </x:c>
      <x:c r="I285" s="28" t="str"/>
      <x:c r="J285" s="28" t="str">
        <x:v>USD thousands</x:v>
      </x:c>
      <x:c r="K285" s="28" t="str">
        <x:v>Finance operating schedule</x:v>
      </x:c>
      <x:c r="L285" s="34" t="str">
        <x:v>2026-06-30</x:v>
      </x:c>
      <x:c r="M285" s="28" t="str"/>
    </x:row>
    <x:row r="286">
      <x:c r="A286" s="37" t="str">
        <x:v>PLN-01243</x:v>
      </x:c>
      <x:c r="B286" s="28" t="str">
        <x:v>Customer profitability and economic profit</x:v>
      </x:c>
      <x:c r="C286" s="28" t="str">
        <x:v>Customer renewal decision</x:v>
      </x:c>
      <x:c r="D286" s="28" t="str">
        <x:v>Juniper Offices</x:v>
      </x:c>
      <x:c r="E286" s="28" t="str">
        <x:v>FY27</x:v>
      </x:c>
      <x:c r="F286" s="28" t="str">
        <x:v>Approved case</x:v>
      </x:c>
      <x:c r="G286" s="28" t="str">
        <x:v>Renewal probability</x:v>
      </x:c>
      <x:c r="H286" s="31" t="n">
        <x:v>0.88</x:v>
      </x:c>
      <x:c r="I286" s="28" t="str"/>
      <x:c r="J286" s="28" t="str">
        <x:v>decimal ratio</x:v>
      </x:c>
      <x:c r="K286" s="28" t="str">
        <x:v>Finance operating schedule</x:v>
      </x:c>
      <x:c r="L286" s="34" t="str">
        <x:v>2026-06-30</x:v>
      </x:c>
      <x:c r="M286" s="28" t="str"/>
    </x:row>
    <x:row r="287">
      <x:c r="A287" s="37" t="str">
        <x:v>PLN-01244</x:v>
      </x:c>
      <x:c r="B287" s="28" t="str">
        <x:v>Customer profitability and economic profit</x:v>
      </x:c>
      <x:c r="C287" s="28" t="str">
        <x:v>Customer renewal decision</x:v>
      </x:c>
      <x:c r="D287" s="28" t="str">
        <x:v>Juniper Offices</x:v>
      </x:c>
      <x:c r="E287" s="28" t="str">
        <x:v>FY27</x:v>
      </x:c>
      <x:c r="F287" s="28" t="str">
        <x:v>Approved case</x:v>
      </x:c>
      <x:c r="G287" s="28" t="str">
        <x:v>Proposed price increase</x:v>
      </x:c>
      <x:c r="H287" s="31" t="n">
        <x:v>0.045</x:v>
      </x:c>
      <x:c r="I287" s="28" t="str"/>
      <x:c r="J287" s="28" t="str">
        <x:v>decimal ratio</x:v>
      </x:c>
      <x:c r="K287" s="28" t="str">
        <x:v>Finance operating schedule</x:v>
      </x:c>
      <x:c r="L287" s="34" t="str">
        <x:v>2026-06-30</x:v>
      </x:c>
      <x:c r="M287" s="28" t="str"/>
    </x:row>
    <x:row r="288">
      <x:c r="A288" s="37" t="str">
        <x:v>PLN-01245</x:v>
      </x:c>
      <x:c r="B288" s="28" t="str">
        <x:v>Customer profitability and economic profit</x:v>
      </x:c>
      <x:c r="C288" s="28" t="str">
        <x:v>Customer renewal decision</x:v>
      </x:c>
      <x:c r="D288" s="28" t="str">
        <x:v>Juniper Offices</x:v>
      </x:c>
      <x:c r="E288" s="28" t="str">
        <x:v>FY27</x:v>
      </x:c>
      <x:c r="F288" s="28" t="str">
        <x:v>Approved case</x:v>
      </x:c>
      <x:c r="G288" s="28" t="str">
        <x:v>Volume elasticity</x:v>
      </x:c>
      <x:c r="H288" s="31" t="n">
        <x:v>0.25</x:v>
      </x:c>
      <x:c r="I288" s="28" t="str"/>
      <x:c r="J288" s="28" t="str">
        <x:v>decimal ratio</x:v>
      </x:c>
      <x:c r="K288" s="28" t="str">
        <x:v>Finance operating schedule</x:v>
      </x:c>
      <x:c r="L288" s="34" t="str">
        <x:v>2026-06-30</x:v>
      </x:c>
      <x:c r="M288" s="28" t="str"/>
    </x:row>
    <x:row r="289">
      <x:c r="A289" s="37" t="str">
        <x:v>PLN-01246</x:v>
      </x:c>
      <x:c r="B289" s="28" t="str">
        <x:v>Customer profitability and economic profit</x:v>
      </x:c>
      <x:c r="C289" s="28" t="str">
        <x:v>Customer renewal decision</x:v>
      </x:c>
      <x:c r="D289" s="28" t="str">
        <x:v>Juniper Offices</x:v>
      </x:c>
      <x:c r="E289" s="28" t="str">
        <x:v>FY27</x:v>
      </x:c>
      <x:c r="F289" s="28" t="str">
        <x:v>Approved case</x:v>
      </x:c>
      <x:c r="G289" s="28" t="str">
        <x:v>Expected credit loss percent</x:v>
      </x:c>
      <x:c r="H289" s="31" t="n">
        <x:v>0.009</x:v>
      </x:c>
      <x:c r="I289" s="28" t="str"/>
      <x:c r="J289" s="28" t="str">
        <x:v>decimal ratio</x:v>
      </x:c>
      <x:c r="K289" s="28" t="str">
        <x:v>Finance operating schedule</x:v>
      </x:c>
      <x:c r="L289" s="34" t="str">
        <x:v>2026-06-30</x:v>
      </x:c>
      <x:c r="M289" s="28" t="str"/>
    </x:row>
    <x:row r="290">
      <x:c r="A290" s="37" t="str">
        <x:v>PLN-01247</x:v>
      </x:c>
      <x:c r="B290" s="28" t="str">
        <x:v>Customer profitability and economic profit</x:v>
      </x:c>
      <x:c r="C290" s="28" t="str">
        <x:v>Customer renewal decision</x:v>
      </x:c>
      <x:c r="D290" s="28" t="str">
        <x:v>Juniper Offices</x:v>
      </x:c>
      <x:c r="E290" s="28" t="str">
        <x:v>FY27</x:v>
      </x:c>
      <x:c r="F290" s="28" t="str">
        <x:v>Approved case</x:v>
      </x:c>
      <x:c r="G290" s="28" t="str">
        <x:v>Retention investment</x:v>
      </x:c>
      <x:c r="H290" s="31" t="n">
        <x:v>70000</x:v>
      </x:c>
      <x:c r="I290" s="28" t="str"/>
      <x:c r="J290" s="28" t="str">
        <x:v>USD</x:v>
      </x:c>
      <x:c r="K290" s="28" t="str">
        <x:v>Finance operating schedule</x:v>
      </x:c>
      <x:c r="L290" s="34" t="str">
        <x:v>2026-06-30</x:v>
      </x:c>
      <x:c r="M290" s="28" t="str"/>
    </x:row>
    <x:row r="291">
      <x:c r="A291" s="37" t="str">
        <x:v>PLN-01248</x:v>
      </x:c>
      <x:c r="B291" s="28" t="str">
        <x:v>Customer profitability and economic profit</x:v>
      </x:c>
      <x:c r="C291" s="28" t="str">
        <x:v>Customer renewal decision</x:v>
      </x:c>
      <x:c r="D291" s="28" t="str">
        <x:v>Juniper Offices</x:v>
      </x:c>
      <x:c r="E291" s="28" t="str">
        <x:v>FY27</x:v>
      </x:c>
      <x:c r="F291" s="28" t="str">
        <x:v>Approved case</x:v>
      </x:c>
      <x:c r="G291" s="28" t="str">
        <x:v>Capital released on exit</x:v>
      </x:c>
      <x:c r="H291" s="31" t="n">
        <x:v>330000</x:v>
      </x:c>
      <x:c r="I291" s="28" t="str"/>
      <x:c r="J291" s="28" t="str">
        <x:v>USD</x:v>
      </x:c>
      <x:c r="K291" s="28" t="str">
        <x:v>Finance operating schedule</x:v>
      </x:c>
      <x:c r="L291" s="34" t="str">
        <x:v>2026-06-30</x:v>
      </x:c>
      <x:c r="M291" s="28" t="str"/>
    </x:row>
    <x:row r="292">
      <x:c r="A292" s="37" t="str">
        <x:v>PLN-01249</x:v>
      </x:c>
      <x:c r="B292" s="28" t="str">
        <x:v>Customer profitability and economic profit</x:v>
      </x:c>
      <x:c r="C292" s="28" t="str">
        <x:v>Customer renewal decision</x:v>
      </x:c>
      <x:c r="D292" s="28" t="str">
        <x:v>Portland Schools</x:v>
      </x:c>
      <x:c r="E292" s="28" t="str">
        <x:v>FY27</x:v>
      </x:c>
      <x:c r="F292" s="28" t="str">
        <x:v>Approved case</x:v>
      </x:c>
      <x:c r="G292" s="28" t="str">
        <x:v>Renewal probability</x:v>
      </x:c>
      <x:c r="H292" s="31" t="n">
        <x:v>0.94</x:v>
      </x:c>
      <x:c r="I292" s="28" t="str"/>
      <x:c r="J292" s="28" t="str">
        <x:v>decimal ratio</x:v>
      </x:c>
      <x:c r="K292" s="28" t="str">
        <x:v>Finance operating schedule</x:v>
      </x:c>
      <x:c r="L292" s="34" t="str">
        <x:v>2026-06-30</x:v>
      </x:c>
      <x:c r="M292" s="28" t="str"/>
    </x:row>
    <x:row r="293">
      <x:c r="A293" s="37" t="str">
        <x:v>PLN-01250</x:v>
      </x:c>
      <x:c r="B293" s="28" t="str">
        <x:v>Customer profitability and economic profit</x:v>
      </x:c>
      <x:c r="C293" s="28" t="str">
        <x:v>Customer renewal decision</x:v>
      </x:c>
      <x:c r="D293" s="28" t="str">
        <x:v>Portland Schools</x:v>
      </x:c>
      <x:c r="E293" s="28" t="str">
        <x:v>FY27</x:v>
      </x:c>
      <x:c r="F293" s="28" t="str">
        <x:v>Approved case</x:v>
      </x:c>
      <x:c r="G293" s="28" t="str">
        <x:v>Proposed price increase</x:v>
      </x:c>
      <x:c r="H293" s="31" t="n">
        <x:v>0.025</x:v>
      </x:c>
      <x:c r="I293" s="28" t="str"/>
      <x:c r="J293" s="28" t="str">
        <x:v>decimal ratio</x:v>
      </x:c>
      <x:c r="K293" s="28" t="str">
        <x:v>Finance operating schedule</x:v>
      </x:c>
      <x:c r="L293" s="34" t="str">
        <x:v>2026-06-30</x:v>
      </x:c>
      <x:c r="M293" s="28" t="str"/>
    </x:row>
    <x:row r="294">
      <x:c r="A294" s="37" t="str">
        <x:v>PLN-01251</x:v>
      </x:c>
      <x:c r="B294" s="28" t="str">
        <x:v>Customer profitability and economic profit</x:v>
      </x:c>
      <x:c r="C294" s="28" t="str">
        <x:v>Customer renewal decision</x:v>
      </x:c>
      <x:c r="D294" s="28" t="str">
        <x:v>Portland Schools</x:v>
      </x:c>
      <x:c r="E294" s="28" t="str">
        <x:v>FY27</x:v>
      </x:c>
      <x:c r="F294" s="28" t="str">
        <x:v>Approved case</x:v>
      </x:c>
      <x:c r="G294" s="28" t="str">
        <x:v>Volume elasticity</x:v>
      </x:c>
      <x:c r="H294" s="31" t="n">
        <x:v>0.12</x:v>
      </x:c>
      <x:c r="I294" s="28" t="str"/>
      <x:c r="J294" s="28" t="str">
        <x:v>decimal ratio</x:v>
      </x:c>
      <x:c r="K294" s="28" t="str">
        <x:v>Finance operating schedule</x:v>
      </x:c>
      <x:c r="L294" s="34" t="str">
        <x:v>2026-06-30</x:v>
      </x:c>
      <x:c r="M294" s="28" t="str"/>
    </x:row>
    <x:row r="295">
      <x:c r="A295" s="37" t="str">
        <x:v>PLN-01252</x:v>
      </x:c>
      <x:c r="B295" s="28" t="str">
        <x:v>Customer profitability and economic profit</x:v>
      </x:c>
      <x:c r="C295" s="28" t="str">
        <x:v>Customer renewal decision</x:v>
      </x:c>
      <x:c r="D295" s="28" t="str">
        <x:v>Portland Schools</x:v>
      </x:c>
      <x:c r="E295" s="28" t="str">
        <x:v>FY27</x:v>
      </x:c>
      <x:c r="F295" s="28" t="str">
        <x:v>Approved case</x:v>
      </x:c>
      <x:c r="G295" s="28" t="str">
        <x:v>Expected credit loss percent</x:v>
      </x:c>
      <x:c r="H295" s="31" t="n">
        <x:v>0.004</x:v>
      </x:c>
      <x:c r="I295" s="28" t="str"/>
      <x:c r="J295" s="28" t="str">
        <x:v>decimal ratio</x:v>
      </x:c>
      <x:c r="K295" s="28" t="str">
        <x:v>Finance operating schedule</x:v>
      </x:c>
      <x:c r="L295" s="34" t="str">
        <x:v>2026-06-30</x:v>
      </x:c>
      <x:c r="M295" s="28" t="str"/>
    </x:row>
    <x:row r="296">
      <x:c r="A296" s="37" t="str">
        <x:v>PLN-01253</x:v>
      </x:c>
      <x:c r="B296" s="28" t="str">
        <x:v>Customer profitability and economic profit</x:v>
      </x:c>
      <x:c r="C296" s="28" t="str">
        <x:v>Customer renewal decision</x:v>
      </x:c>
      <x:c r="D296" s="28" t="str">
        <x:v>Portland Schools</x:v>
      </x:c>
      <x:c r="E296" s="28" t="str">
        <x:v>FY27</x:v>
      </x:c>
      <x:c r="F296" s="28" t="str">
        <x:v>Approved case</x:v>
      </x:c>
      <x:c r="G296" s="28" t="str">
        <x:v>Retention investment</x:v>
      </x:c>
      <x:c r="H296" s="31" t="n">
        <x:v>115000</x:v>
      </x:c>
      <x:c r="I296" s="28" t="str"/>
      <x:c r="J296" s="28" t="str">
        <x:v>USD</x:v>
      </x:c>
      <x:c r="K296" s="28" t="str">
        <x:v>Finance operating schedule</x:v>
      </x:c>
      <x:c r="L296" s="34" t="str">
        <x:v>2026-06-30</x:v>
      </x:c>
      <x:c r="M296" s="28" t="str"/>
    </x:row>
    <x:row r="297">
      <x:c r="A297" s="37" t="str">
        <x:v>PLN-01254</x:v>
      </x:c>
      <x:c r="B297" s="28" t="str">
        <x:v>Customer profitability and economic profit</x:v>
      </x:c>
      <x:c r="C297" s="28" t="str">
        <x:v>Customer renewal decision</x:v>
      </x:c>
      <x:c r="D297" s="28" t="str">
        <x:v>Portland Schools</x:v>
      </x:c>
      <x:c r="E297" s="28" t="str">
        <x:v>FY27</x:v>
      </x:c>
      <x:c r="F297" s="28" t="str">
        <x:v>Approved case</x:v>
      </x:c>
      <x:c r="G297" s="28" t="str">
        <x:v>Capital released on exit</x:v>
      </x:c>
      <x:c r="H297" s="31" t="n">
        <x:v>760</x:v>
      </x:c>
      <x:c r="I297" s="28" t="str"/>
      <x:c r="J297" s="28" t="str">
        <x:v>USD thousands</x:v>
      </x:c>
      <x:c r="K297" s="28" t="str">
        <x:v>Finance operating schedule</x:v>
      </x:c>
      <x:c r="L297" s="34" t="str">
        <x:v>2026-06-30</x:v>
      </x:c>
      <x:c r="M297" s="28" t="str"/>
    </x:row>
    <x:row r="298">
      <x:c r="A298" s="37" t="str">
        <x:v>PLN-01255</x:v>
      </x:c>
      <x:c r="B298" s="28" t="str">
        <x:v>Customer profitability and economic profit</x:v>
      </x:c>
      <x:c r="C298" s="28" t="str">
        <x:v>Economic profit policy</x:v>
      </x:c>
      <x:c r="D298" s="28" t="str">
        <x:v>Alder Ridge</x:v>
      </x:c>
      <x:c r="E298" s="28" t="str">
        <x:v>FY27</x:v>
      </x:c>
      <x:c r="F298" s="28" t="str">
        <x:v>Approved case</x:v>
      </x:c>
      <x:c r="G298" s="28" t="str">
        <x:v>Minimum expected economic margin</x:v>
      </x:c>
      <x:c r="H298" s="31" t="n">
        <x:v>0.045</x:v>
      </x:c>
      <x:c r="I298" s="28" t="str"/>
      <x:c r="J298" s="28" t="str">
        <x:v>decimal ratio</x:v>
      </x:c>
      <x:c r="K298" s="28" t="str">
        <x:v>Finance operating schedule</x:v>
      </x:c>
      <x:c r="L298" s="34" t="str">
        <x:v>2026-06-30</x:v>
      </x:c>
      <x:c r="M298" s="28" t="str"/>
    </x:row>
    <x:row r="299">
      <x:c r="A299" s="37" t="str">
        <x:v>PLN-01256</x:v>
      </x:c>
      <x:c r="B299" s="28" t="str">
        <x:v>Customer profitability and economic profit</x:v>
      </x:c>
      <x:c r="C299" s="28" t="str">
        <x:v>Customer renewal downside policy</x:v>
      </x:c>
      <x:c r="D299" s="28" t="str">
        <x:v>Alder Ridge</x:v>
      </x:c>
      <x:c r="E299" s="28" t="str">
        <x:v>FY27</x:v>
      </x:c>
      <x:c r="F299" s="28" t="str">
        <x:v>Approved case</x:v>
      </x:c>
      <x:c r="G299" s="28" t="str">
        <x:v>Renewal probability reduction</x:v>
      </x:c>
      <x:c r="H299" s="31" t="n">
        <x:v>0.2</x:v>
      </x:c>
      <x:c r="I299" s="28" t="str"/>
      <x:c r="J299" s="28" t="str">
        <x:v>decimal ratio</x:v>
      </x:c>
      <x:c r="K299" s="28" t="str">
        <x:v>Finance operating schedule</x:v>
      </x:c>
      <x:c r="L299" s="34" t="str">
        <x:v>2026-06-30</x:v>
      </x:c>
      <x:c r="M299" s="28" t="str"/>
    </x:row>
    <x:row r="300">
      <x:c r="A300" s="37" t="str">
        <x:v>PLN-01257</x:v>
      </x:c>
      <x:c r="B300" s="28" t="str">
        <x:v>Customer profitability and economic profit</x:v>
      </x:c>
      <x:c r="C300" s="28" t="str">
        <x:v>Customer renewal downside policy</x:v>
      </x:c>
      <x:c r="D300" s="28" t="str">
        <x:v>Alder Ridge</x:v>
      </x:c>
      <x:c r="E300" s="28" t="str">
        <x:v>FY27</x:v>
      </x:c>
      <x:c r="F300" s="28" t="str">
        <x:v>Approved case</x:v>
      </x:c>
      <x:c r="G300" s="28" t="str">
        <x:v>Expected credit loss multiplier</x:v>
      </x:c>
      <x:c r="H300" s="31" t="n">
        <x:v>1.5</x:v>
      </x:c>
      <x:c r="I300" s="28" t="str"/>
      <x:c r="J300" s="28" t="str">
        <x:v>multiple</x:v>
      </x:c>
      <x:c r="K300" s="28" t="str">
        <x:v>Finance operating schedule</x:v>
      </x:c>
      <x:c r="L300" s="34" t="str">
        <x:v>2026-06-30</x:v>
      </x:c>
      <x:c r="M300" s="28" t="str"/>
    </x:row>
    <x:row r="301">
      <x:c r="A301" s="38" t="str">
        <x:v>PLN-01258</x:v>
      </x:c>
      <x:c r="B301" s="29" t="str">
        <x:v>Customer profitability and economic profit</x:v>
      </x:c>
      <x:c r="C301" s="29" t="str">
        <x:v>Customer renewal downside policy</x:v>
      </x:c>
      <x:c r="D301" s="29" t="str">
        <x:v>Alder Ridge</x:v>
      </x:c>
      <x:c r="E301" s="29" t="str">
        <x:v>FY27</x:v>
      </x:c>
      <x:c r="F301" s="29" t="str">
        <x:v>Approved case</x:v>
      </x:c>
      <x:c r="G301" s="29" t="str">
        <x:v>Minimum portfolio economic profit</x:v>
      </x:c>
      <x:c r="H301" s="32" t="n">
        <x:v>1250</x:v>
      </x:c>
      <x:c r="I301" s="29" t="str"/>
      <x:c r="J301" s="29" t="str">
        <x:v>USD thousands</x:v>
      </x:c>
      <x:c r="K301" s="29" t="str">
        <x:v>Finance operating schedule</x:v>
      </x:c>
      <x:c r="L301" s="35" t="str">
        <x:v>2026-06-30</x:v>
      </x:c>
      <x:c r="M301" s="29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FY27 operating plan | Working Capital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CURRENT WORKING SOURCE - controller tie completed 2026-07-03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>
      <x:c r="A5" s="36" t="str">
        <x:v>PLN-00883</x:v>
      </x:c>
      <x:c r="B5" s="27" t="str">
        <x:v>Cash-conversion and working-capital forecast</x:v>
      </x:c>
      <x:c r="C5" s="27" t="str">
        <x:v>Operating plan</x:v>
      </x:c>
      <x:c r="D5" s="27" t="str">
        <x:v>Construction</x:v>
      </x:c>
      <x:c r="E5" s="27" t="str">
        <x:v>LTM 2026-06-30</x:v>
      </x:c>
      <x:c r="F5" s="27" t="str">
        <x:v>Approved case</x:v>
      </x:c>
      <x:c r="G5" s="27" t="str">
        <x:v>Revenue base allocation</x:v>
      </x:c>
      <x:c r="H5" s="30" t="n">
        <x:v>0.58</x:v>
      </x:c>
      <x:c r="I5" s="27" t="str"/>
      <x:c r="J5" s="27" t="str">
        <x:v>ledger allocation factor</x:v>
      </x:c>
      <x:c r="K5" s="27" t="str">
        <x:v>Finance operating schedule</x:v>
      </x:c>
      <x:c r="L5" s="33" t="str">
        <x:v>2026-06-30</x:v>
      </x:c>
      <x:c r="M5" s="27" t="str">
        <x:v>Vista ERP P&amp;L, 2025-07-01 through 2026-06-30; Revenue total</x:v>
      </x:c>
    </x:row>
    <x:row r="6">
      <x:c r="A6" s="37" t="str">
        <x:v>PLN-00884</x:v>
      </x:c>
      <x:c r="B6" s="28" t="str">
        <x:v>Cash-conversion and working-capital forecast</x:v>
      </x:c>
      <x:c r="C6" s="28" t="str">
        <x:v>Working-capital drivers</x:v>
      </x:c>
      <x:c r="D6" s="28" t="str">
        <x:v>Construction</x:v>
      </x:c>
      <x:c r="E6" s="28" t="str">
        <x:v>FY27</x:v>
      </x:c>
      <x:c r="F6" s="28" t="str">
        <x:v>Approved case</x:v>
      </x:c>
      <x:c r="G6" s="28" t="str">
        <x:v>FY27 revenue growth</x:v>
      </x:c>
      <x:c r="H6" s="31" t="n">
        <x:v>0.07</x:v>
      </x:c>
      <x:c r="I6" s="28" t="str"/>
      <x:c r="J6" s="28" t="str">
        <x:v>decimal ratio</x:v>
      </x:c>
      <x:c r="K6" s="28" t="str">
        <x:v>Finance operating schedule</x:v>
      </x:c>
      <x:c r="L6" s="34" t="str">
        <x:v>2026-06-30</x:v>
      </x:c>
      <x:c r="M6" s="28" t="str"/>
    </x:row>
    <x:row r="7">
      <x:c r="A7" s="37" t="str">
        <x:v>PLN-00885</x:v>
      </x:c>
      <x:c r="B7" s="28" t="str">
        <x:v>Cash-conversion and working-capital forecast</x:v>
      </x:c>
      <x:c r="C7" s="28" t="str">
        <x:v>Working-capital drivers</x:v>
      </x:c>
      <x:c r="D7" s="28" t="str">
        <x:v>Construction</x:v>
      </x:c>
      <x:c r="E7" s="28" t="str">
        <x:v>FY27</x:v>
      </x:c>
      <x:c r="F7" s="28" t="str">
        <x:v>Approved case</x:v>
      </x:c>
      <x:c r="G7" s="28" t="str">
        <x:v>Cost of revenue rate</x:v>
      </x:c>
      <x:c r="H7" s="31" t="n">
        <x:v>0.76</x:v>
      </x:c>
      <x:c r="I7" s="28" t="str"/>
      <x:c r="J7" s="28" t="str">
        <x:v>decimal ratio</x:v>
      </x:c>
      <x:c r="K7" s="28" t="str">
        <x:v>Finance operating schedule</x:v>
      </x:c>
      <x:c r="L7" s="34" t="str">
        <x:v>2026-06-30</x:v>
      </x:c>
      <x:c r="M7" s="28" t="str"/>
    </x:row>
    <x:row r="8">
      <x:c r="A8" s="37" t="str">
        <x:v>PLN-00886</x:v>
      </x:c>
      <x:c r="B8" s="28" t="str">
        <x:v>Cash-conversion and working-capital forecast</x:v>
      </x:c>
      <x:c r="C8" s="28" t="str">
        <x:v>Working-capital drivers</x:v>
      </x:c>
      <x:c r="D8" s="28" t="str">
        <x:v>Construction</x:v>
      </x:c>
      <x:c r="E8" s="28" t="str">
        <x:v>FY27</x:v>
      </x:c>
      <x:c r="F8" s="28" t="str">
        <x:v>Approved case</x:v>
      </x:c>
      <x:c r="G8" s="28" t="str">
        <x:v>Ordinary receivable days</x:v>
      </x:c>
      <x:c r="H8" s="31" t="n">
        <x:v>61</x:v>
      </x:c>
      <x:c r="I8" s="28" t="str"/>
      <x:c r="J8" s="28" t="str">
        <x:v>days</x:v>
      </x:c>
      <x:c r="K8" s="28" t="str">
        <x:v>Finance operating schedule</x:v>
      </x:c>
      <x:c r="L8" s="34" t="str">
        <x:v>2026-06-30</x:v>
      </x:c>
      <x:c r="M8" s="28" t="str"/>
    </x:row>
    <x:row r="9">
      <x:c r="A9" s="37" t="str">
        <x:v>PLN-00887</x:v>
      </x:c>
      <x:c r="B9" s="28" t="str">
        <x:v>Cash-conversion and working-capital forecast</x:v>
      </x:c>
      <x:c r="C9" s="28" t="str">
        <x:v>Working-capital drivers</x:v>
      </x:c>
      <x:c r="D9" s="28" t="str">
        <x:v>Construction</x:v>
      </x:c>
      <x:c r="E9" s="28" t="str">
        <x:v>FY27</x:v>
      </x:c>
      <x:c r="F9" s="28" t="str">
        <x:v>Approved case</x:v>
      </x:c>
      <x:c r="G9" s="28" t="str">
        <x:v>Inventory days on cost</x:v>
      </x:c>
      <x:c r="H9" s="31" t="n">
        <x:v>4</x:v>
      </x:c>
      <x:c r="I9" s="28" t="str"/>
      <x:c r="J9" s="28" t="str">
        <x:v>days</x:v>
      </x:c>
      <x:c r="K9" s="28" t="str">
        <x:v>Finance operating schedule</x:v>
      </x:c>
      <x:c r="L9" s="34" t="str">
        <x:v>2026-06-30</x:v>
      </x:c>
      <x:c r="M9" s="28" t="str"/>
    </x:row>
    <x:row r="10">
      <x:c r="A10" s="37" t="str">
        <x:v>PLN-00888</x:v>
      </x:c>
      <x:c r="B10" s="28" t="str">
        <x:v>Cash-conversion and working-capital forecast</x:v>
      </x:c>
      <x:c r="C10" s="28" t="str">
        <x:v>Working-capital drivers</x:v>
      </x:c>
      <x:c r="D10" s="28" t="str">
        <x:v>Construction</x:v>
      </x:c>
      <x:c r="E10" s="28" t="str">
        <x:v>FY27</x:v>
      </x:c>
      <x:c r="F10" s="28" t="str">
        <x:v>Approved case</x:v>
      </x:c>
      <x:c r="G10" s="28" t="str">
        <x:v>Payable days on cost</x:v>
      </x:c>
      <x:c r="H10" s="31" t="n">
        <x:v>42</x:v>
      </x:c>
      <x:c r="I10" s="28" t="str"/>
      <x:c r="J10" s="28" t="str">
        <x:v>days</x:v>
      </x:c>
      <x:c r="K10" s="28" t="str">
        <x:v>Finance operating schedule</x:v>
      </x:c>
      <x:c r="L10" s="34" t="str">
        <x:v>2026-06-30</x:v>
      </x:c>
      <x:c r="M10" s="28" t="str"/>
    </x:row>
    <x:row r="11">
      <x:c r="A11" s="37" t="str">
        <x:v>PLN-00889</x:v>
      </x:c>
      <x:c r="B11" s="28" t="str">
        <x:v>Cash-conversion and working-capital forecast</x:v>
      </x:c>
      <x:c r="C11" s="28" t="str">
        <x:v>Working-capital drivers</x:v>
      </x:c>
      <x:c r="D11" s="28" t="str">
        <x:v>Construction</x:v>
      </x:c>
      <x:c r="E11" s="28" t="str">
        <x:v>FY27</x:v>
      </x:c>
      <x:c r="F11" s="28" t="str">
        <x:v>Approved case</x:v>
      </x:c>
      <x:c r="G11" s="28" t="str">
        <x:v>Retainage percent of revenue</x:v>
      </x:c>
      <x:c r="H11" s="31" t="n">
        <x:v>0.055</x:v>
      </x:c>
      <x:c r="I11" s="28" t="str"/>
      <x:c r="J11" s="28" t="str">
        <x:v>decimal ratio</x:v>
      </x:c>
      <x:c r="K11" s="28" t="str">
        <x:v>Finance operating schedule</x:v>
      </x:c>
      <x:c r="L11" s="34" t="str">
        <x:v>2026-06-30</x:v>
      </x:c>
      <x:c r="M11" s="28" t="str"/>
    </x:row>
    <x:row r="12">
      <x:c r="A12" s="37" t="str">
        <x:v>PLN-00890</x:v>
      </x:c>
      <x:c r="B12" s="28" t="str">
        <x:v>Cash-conversion and working-capital forecast</x:v>
      </x:c>
      <x:c r="C12" s="28" t="str">
        <x:v>Working-capital drivers</x:v>
      </x:c>
      <x:c r="D12" s="28" t="str">
        <x:v>Construction</x:v>
      </x:c>
      <x:c r="E12" s="28" t="str">
        <x:v>FY27</x:v>
      </x:c>
      <x:c r="F12" s="28" t="str">
        <x:v>Approved case</x:v>
      </x:c>
      <x:c r="G12" s="28" t="str">
        <x:v>Customer deposits percent of revenue</x:v>
      </x:c>
      <x:c r="H12" s="31" t="n">
        <x:v>0.012</x:v>
      </x:c>
      <x:c r="I12" s="28" t="str"/>
      <x:c r="J12" s="28" t="str">
        <x:v>decimal ratio</x:v>
      </x:c>
      <x:c r="K12" s="28" t="str">
        <x:v>Finance operating schedule</x:v>
      </x:c>
      <x:c r="L12" s="34" t="str">
        <x:v>2026-06-30</x:v>
      </x:c>
      <x:c r="M12" s="28" t="str"/>
    </x:row>
    <x:row r="13">
      <x:c r="A13" s="37" t="str">
        <x:v>PLN-00891</x:v>
      </x:c>
      <x:c r="B13" s="28" t="str">
        <x:v>Cash-conversion and working-capital forecast</x:v>
      </x:c>
      <x:c r="C13" s="28" t="str">
        <x:v>Operating plan</x:v>
      </x:c>
      <x:c r="D13" s="28" t="str">
        <x:v>Service</x:v>
      </x:c>
      <x:c r="E13" s="28" t="str">
        <x:v>LTM 2026-06-30</x:v>
      </x:c>
      <x:c r="F13" s="28" t="str">
        <x:v>Approved case</x:v>
      </x:c>
      <x:c r="G13" s="28" t="str">
        <x:v>Revenue base allocation</x:v>
      </x:c>
      <x:c r="H13" s="31" t="n">
        <x:v>0.27</x:v>
      </x:c>
      <x:c r="I13" s="28" t="str"/>
      <x:c r="J13" s="28" t="str">
        <x:v>ledger allocation factor</x:v>
      </x:c>
      <x:c r="K13" s="28" t="str">
        <x:v>Finance operating schedule</x:v>
      </x:c>
      <x:c r="L13" s="34" t="str">
        <x:v>2026-06-30</x:v>
      </x:c>
      <x:c r="M13" s="28" t="str">
        <x:v>Vista ERP P&amp;L, 2025-07-01 through 2026-06-30; Revenue total</x:v>
      </x:c>
    </x:row>
    <x:row r="14">
      <x:c r="A14" s="37" t="str">
        <x:v>PLN-00892</x:v>
      </x:c>
      <x:c r="B14" s="28" t="str">
        <x:v>Cash-conversion and working-capital forecast</x:v>
      </x:c>
      <x:c r="C14" s="28" t="str">
        <x:v>Working-capital drivers</x:v>
      </x:c>
      <x:c r="D14" s="28" t="str">
        <x:v>Service</x:v>
      </x:c>
      <x:c r="E14" s="28" t="str">
        <x:v>FY27</x:v>
      </x:c>
      <x:c r="F14" s="28" t="str">
        <x:v>Approved case</x:v>
      </x:c>
      <x:c r="G14" s="28" t="str">
        <x:v>FY27 revenue growth</x:v>
      </x:c>
      <x:c r="H14" s="31" t="n">
        <x:v>0.095</x:v>
      </x:c>
      <x:c r="I14" s="28" t="str"/>
      <x:c r="J14" s="28" t="str">
        <x:v>decimal ratio</x:v>
      </x:c>
      <x:c r="K14" s="28" t="str">
        <x:v>Finance operating schedule</x:v>
      </x:c>
      <x:c r="L14" s="34" t="str">
        <x:v>2026-06-30</x:v>
      </x:c>
      <x:c r="M14" s="28" t="str"/>
    </x:row>
    <x:row r="15">
      <x:c r="A15" s="37" t="str">
        <x:v>PLN-00893</x:v>
      </x:c>
      <x:c r="B15" s="28" t="str">
        <x:v>Cash-conversion and working-capital forecast</x:v>
      </x:c>
      <x:c r="C15" s="28" t="str">
        <x:v>Working-capital drivers</x:v>
      </x:c>
      <x:c r="D15" s="28" t="str">
        <x:v>Service</x:v>
      </x:c>
      <x:c r="E15" s="28" t="str">
        <x:v>FY27</x:v>
      </x:c>
      <x:c r="F15" s="28" t="str">
        <x:v>Approved case</x:v>
      </x:c>
      <x:c r="G15" s="28" t="str">
        <x:v>Cost of revenue rate</x:v>
      </x:c>
      <x:c r="H15" s="31" t="n">
        <x:v>0.55</x:v>
      </x:c>
      <x:c r="I15" s="28" t="str"/>
      <x:c r="J15" s="28" t="str">
        <x:v>decimal ratio</x:v>
      </x:c>
      <x:c r="K15" s="28" t="str">
        <x:v>Finance operating schedule</x:v>
      </x:c>
      <x:c r="L15" s="34" t="str">
        <x:v>2026-06-30</x:v>
      </x:c>
      <x:c r="M15" s="28" t="str"/>
    </x:row>
    <x:row r="16">
      <x:c r="A16" s="37" t="str">
        <x:v>PLN-00894</x:v>
      </x:c>
      <x:c r="B16" s="28" t="str">
        <x:v>Cash-conversion and working-capital forecast</x:v>
      </x:c>
      <x:c r="C16" s="28" t="str">
        <x:v>Working-capital drivers</x:v>
      </x:c>
      <x:c r="D16" s="28" t="str">
        <x:v>Service</x:v>
      </x:c>
      <x:c r="E16" s="28" t="str">
        <x:v>FY27</x:v>
      </x:c>
      <x:c r="F16" s="28" t="str">
        <x:v>Approved case</x:v>
      </x:c>
      <x:c r="G16" s="28" t="str">
        <x:v>Ordinary receivable days</x:v>
      </x:c>
      <x:c r="H16" s="31" t="n">
        <x:v>42</x:v>
      </x:c>
      <x:c r="I16" s="28" t="str"/>
      <x:c r="J16" s="28" t="str">
        <x:v>days</x:v>
      </x:c>
      <x:c r="K16" s="28" t="str">
        <x:v>Finance operating schedule</x:v>
      </x:c>
      <x:c r="L16" s="34" t="str">
        <x:v>2026-06-30</x:v>
      </x:c>
      <x:c r="M16" s="28" t="str"/>
    </x:row>
    <x:row r="17">
      <x:c r="A17" s="37" t="str">
        <x:v>PLN-00895</x:v>
      </x:c>
      <x:c r="B17" s="28" t="str">
        <x:v>Cash-conversion and working-capital forecast</x:v>
      </x:c>
      <x:c r="C17" s="28" t="str">
        <x:v>Working-capital drivers</x:v>
      </x:c>
      <x:c r="D17" s="28" t="str">
        <x:v>Service</x:v>
      </x:c>
      <x:c r="E17" s="28" t="str">
        <x:v>FY27</x:v>
      </x:c>
      <x:c r="F17" s="28" t="str">
        <x:v>Approved case</x:v>
      </x:c>
      <x:c r="G17" s="28" t="str">
        <x:v>Inventory days on cost</x:v>
      </x:c>
      <x:c r="H17" s="31" t="n">
        <x:v>12</x:v>
      </x:c>
      <x:c r="I17" s="28" t="str"/>
      <x:c r="J17" s="28" t="str">
        <x:v>days</x:v>
      </x:c>
      <x:c r="K17" s="28" t="str">
        <x:v>Finance operating schedule</x:v>
      </x:c>
      <x:c r="L17" s="34" t="str">
        <x:v>2026-06-30</x:v>
      </x:c>
      <x:c r="M17" s="28" t="str"/>
    </x:row>
    <x:row r="18">
      <x:c r="A18" s="37" t="str">
        <x:v>PLN-00896</x:v>
      </x:c>
      <x:c r="B18" s="28" t="str">
        <x:v>Cash-conversion and working-capital forecast</x:v>
      </x:c>
      <x:c r="C18" s="28" t="str">
        <x:v>Working-capital drivers</x:v>
      </x:c>
      <x:c r="D18" s="28" t="str">
        <x:v>Service</x:v>
      </x:c>
      <x:c r="E18" s="28" t="str">
        <x:v>FY27</x:v>
      </x:c>
      <x:c r="F18" s="28" t="str">
        <x:v>Approved case</x:v>
      </x:c>
      <x:c r="G18" s="28" t="str">
        <x:v>Payable days on cost</x:v>
      </x:c>
      <x:c r="H18" s="31" t="n">
        <x:v>31</x:v>
      </x:c>
      <x:c r="I18" s="28" t="str"/>
      <x:c r="J18" s="28" t="str">
        <x:v>days</x:v>
      </x:c>
      <x:c r="K18" s="28" t="str">
        <x:v>Finance operating schedule</x:v>
      </x:c>
      <x:c r="L18" s="34" t="str">
        <x:v>2026-06-30</x:v>
      </x:c>
      <x:c r="M18" s="28" t="str"/>
    </x:row>
    <x:row r="19">
      <x:c r="A19" s="37" t="str">
        <x:v>PLN-00897</x:v>
      </x:c>
      <x:c r="B19" s="28" t="str">
        <x:v>Cash-conversion and working-capital forecast</x:v>
      </x:c>
      <x:c r="C19" s="28" t="str">
        <x:v>Working-capital drivers</x:v>
      </x:c>
      <x:c r="D19" s="28" t="str">
        <x:v>Service</x:v>
      </x:c>
      <x:c r="E19" s="28" t="str">
        <x:v>FY27</x:v>
      </x:c>
      <x:c r="F19" s="28" t="str">
        <x:v>Approved case</x:v>
      </x:c>
      <x:c r="G19" s="28" t="str">
        <x:v>Retainage percent of revenue</x:v>
      </x:c>
      <x:c r="H19" s="31" t="n">
        <x:v>0.01</x:v>
      </x:c>
      <x:c r="I19" s="28" t="str"/>
      <x:c r="J19" s="28" t="str">
        <x:v>decimal ratio</x:v>
      </x:c>
      <x:c r="K19" s="28" t="str">
        <x:v>Finance operating schedule</x:v>
      </x:c>
      <x:c r="L19" s="34" t="str">
        <x:v>2026-06-30</x:v>
      </x:c>
      <x:c r="M19" s="28" t="str"/>
    </x:row>
    <x:row r="20">
      <x:c r="A20" s="37" t="str">
        <x:v>PLN-00898</x:v>
      </x:c>
      <x:c r="B20" s="28" t="str">
        <x:v>Cash-conversion and working-capital forecast</x:v>
      </x:c>
      <x:c r="C20" s="28" t="str">
        <x:v>Working-capital drivers</x:v>
      </x:c>
      <x:c r="D20" s="28" t="str">
        <x:v>Service</x:v>
      </x:c>
      <x:c r="E20" s="28" t="str">
        <x:v>FY27</x:v>
      </x:c>
      <x:c r="F20" s="28" t="str">
        <x:v>Approved case</x:v>
      </x:c>
      <x:c r="G20" s="28" t="str">
        <x:v>Customer deposits percent of revenue</x:v>
      </x:c>
      <x:c r="H20" s="31" t="n">
        <x:v>0.038</x:v>
      </x:c>
      <x:c r="I20" s="28" t="str"/>
      <x:c r="J20" s="28" t="str">
        <x:v>decimal ratio</x:v>
      </x:c>
      <x:c r="K20" s="28" t="str">
        <x:v>Finance operating schedule</x:v>
      </x:c>
      <x:c r="L20" s="34" t="str">
        <x:v>2026-06-30</x:v>
      </x:c>
      <x:c r="M20" s="28" t="str"/>
    </x:row>
    <x:row r="21">
      <x:c r="A21" s="37" t="str">
        <x:v>PLN-00899</x:v>
      </x:c>
      <x:c r="B21" s="28" t="str">
        <x:v>Cash-conversion and working-capital forecast</x:v>
      </x:c>
      <x:c r="C21" s="28" t="str">
        <x:v>Operating plan</x:v>
      </x:c>
      <x:c r="D21" s="28" t="str">
        <x:v>Controls</x:v>
      </x:c>
      <x:c r="E21" s="28" t="str">
        <x:v>LTM 2026-06-30</x:v>
      </x:c>
      <x:c r="F21" s="28" t="str">
        <x:v>Approved case</x:v>
      </x:c>
      <x:c r="G21" s="28" t="str">
        <x:v>Revenue base allocation</x:v>
      </x:c>
      <x:c r="H21" s="31" t="n">
        <x:v>0.15</x:v>
      </x:c>
      <x:c r="I21" s="28" t="str"/>
      <x:c r="J21" s="28" t="str">
        <x:v>ledger allocation factor</x:v>
      </x:c>
      <x:c r="K21" s="28" t="str">
        <x:v>Finance operating schedule</x:v>
      </x:c>
      <x:c r="L21" s="34" t="str">
        <x:v>2026-06-30</x:v>
      </x:c>
      <x:c r="M21" s="28" t="str">
        <x:v>Vista ERP P&amp;L, 2025-07-01 through 2026-06-30; Revenue total</x:v>
      </x:c>
    </x:row>
    <x:row r="22">
      <x:c r="A22" s="37" t="str">
        <x:v>PLN-00900</x:v>
      </x:c>
      <x:c r="B22" s="28" t="str">
        <x:v>Cash-conversion and working-capital forecast</x:v>
      </x:c>
      <x:c r="C22" s="28" t="str">
        <x:v>Working-capital drivers</x:v>
      </x:c>
      <x:c r="D22" s="28" t="str">
        <x:v>Controls</x:v>
      </x:c>
      <x:c r="E22" s="28" t="str">
        <x:v>FY27</x:v>
      </x:c>
      <x:c r="F22" s="28" t="str">
        <x:v>Approved case</x:v>
      </x:c>
      <x:c r="G22" s="28" t="str">
        <x:v>FY27 revenue growth</x:v>
      </x:c>
      <x:c r="H22" s="31" t="n">
        <x:v>0.125</x:v>
      </x:c>
      <x:c r="I22" s="28" t="str"/>
      <x:c r="J22" s="28" t="str">
        <x:v>decimal ratio</x:v>
      </x:c>
      <x:c r="K22" s="28" t="str">
        <x:v>Finance operating schedule</x:v>
      </x:c>
      <x:c r="L22" s="34" t="str">
        <x:v>2026-06-30</x:v>
      </x:c>
      <x:c r="M22" s="28" t="str"/>
    </x:row>
    <x:row r="23">
      <x:c r="A23" s="37" t="str">
        <x:v>PLN-00901</x:v>
      </x:c>
      <x:c r="B23" s="28" t="str">
        <x:v>Cash-conversion and working-capital forecast</x:v>
      </x:c>
      <x:c r="C23" s="28" t="str">
        <x:v>Working-capital drivers</x:v>
      </x:c>
      <x:c r="D23" s="28" t="str">
        <x:v>Controls</x:v>
      </x:c>
      <x:c r="E23" s="28" t="str">
        <x:v>FY27</x:v>
      </x:c>
      <x:c r="F23" s="28" t="str">
        <x:v>Approved case</x:v>
      </x:c>
      <x:c r="G23" s="28" t="str">
        <x:v>Cost of revenue rate</x:v>
      </x:c>
      <x:c r="H23" s="31" t="n">
        <x:v>0.63</x:v>
      </x:c>
      <x:c r="I23" s="28" t="str"/>
      <x:c r="J23" s="28" t="str">
        <x:v>decimal ratio</x:v>
      </x:c>
      <x:c r="K23" s="28" t="str">
        <x:v>Finance operating schedule</x:v>
      </x:c>
      <x:c r="L23" s="34" t="str">
        <x:v>2026-06-30</x:v>
      </x:c>
      <x:c r="M23" s="28" t="str"/>
    </x:row>
    <x:row r="24">
      <x:c r="A24" s="37" t="str">
        <x:v>PLN-00902</x:v>
      </x:c>
      <x:c r="B24" s="28" t="str">
        <x:v>Cash-conversion and working-capital forecast</x:v>
      </x:c>
      <x:c r="C24" s="28" t="str">
        <x:v>Working-capital drivers</x:v>
      </x:c>
      <x:c r="D24" s="28" t="str">
        <x:v>Controls</x:v>
      </x:c>
      <x:c r="E24" s="28" t="str">
        <x:v>FY27</x:v>
      </x:c>
      <x:c r="F24" s="28" t="str">
        <x:v>Approved case</x:v>
      </x:c>
      <x:c r="G24" s="28" t="str">
        <x:v>Ordinary receivable days</x:v>
      </x:c>
      <x:c r="H24" s="31" t="n">
        <x:v>49</x:v>
      </x:c>
      <x:c r="I24" s="28" t="str"/>
      <x:c r="J24" s="28" t="str">
        <x:v>days</x:v>
      </x:c>
      <x:c r="K24" s="28" t="str">
        <x:v>Finance operating schedule</x:v>
      </x:c>
      <x:c r="L24" s="34" t="str">
        <x:v>2026-06-30</x:v>
      </x:c>
      <x:c r="M24" s="28" t="str"/>
    </x:row>
    <x:row r="25">
      <x:c r="A25" s="37" t="str">
        <x:v>PLN-00903</x:v>
      </x:c>
      <x:c r="B25" s="28" t="str">
        <x:v>Cash-conversion and working-capital forecast</x:v>
      </x:c>
      <x:c r="C25" s="28" t="str">
        <x:v>Working-capital drivers</x:v>
      </x:c>
      <x:c r="D25" s="28" t="str">
        <x:v>Controls</x:v>
      </x:c>
      <x:c r="E25" s="28" t="str">
        <x:v>FY27</x:v>
      </x:c>
      <x:c r="F25" s="28" t="str">
        <x:v>Approved case</x:v>
      </x:c>
      <x:c r="G25" s="28" t="str">
        <x:v>Inventory days on cost</x:v>
      </x:c>
      <x:c r="H25" s="31" t="n">
        <x:v>7</x:v>
      </x:c>
      <x:c r="I25" s="28" t="str"/>
      <x:c r="J25" s="28" t="str">
        <x:v>days</x:v>
      </x:c>
      <x:c r="K25" s="28" t="str">
        <x:v>Finance operating schedule</x:v>
      </x:c>
      <x:c r="L25" s="34" t="str">
        <x:v>2026-06-30</x:v>
      </x:c>
      <x:c r="M25" s="28" t="str"/>
    </x:row>
    <x:row r="26">
      <x:c r="A26" s="37" t="str">
        <x:v>PLN-00904</x:v>
      </x:c>
      <x:c r="B26" s="28" t="str">
        <x:v>Cash-conversion and working-capital forecast</x:v>
      </x:c>
      <x:c r="C26" s="28" t="str">
        <x:v>Working-capital drivers</x:v>
      </x:c>
      <x:c r="D26" s="28" t="str">
        <x:v>Controls</x:v>
      </x:c>
      <x:c r="E26" s="28" t="str">
        <x:v>FY27</x:v>
      </x:c>
      <x:c r="F26" s="28" t="str">
        <x:v>Approved case</x:v>
      </x:c>
      <x:c r="G26" s="28" t="str">
        <x:v>Payable days on cost</x:v>
      </x:c>
      <x:c r="H26" s="31" t="n">
        <x:v>36</x:v>
      </x:c>
      <x:c r="I26" s="28" t="str"/>
      <x:c r="J26" s="28" t="str">
        <x:v>days</x:v>
      </x:c>
      <x:c r="K26" s="28" t="str">
        <x:v>Finance operating schedule</x:v>
      </x:c>
      <x:c r="L26" s="34" t="str">
        <x:v>2026-06-30</x:v>
      </x:c>
      <x:c r="M26" s="28" t="str"/>
    </x:row>
    <x:row r="27">
      <x:c r="A27" s="37" t="str">
        <x:v>PLN-00905</x:v>
      </x:c>
      <x:c r="B27" s="28" t="str">
        <x:v>Cash-conversion and working-capital forecast</x:v>
      </x:c>
      <x:c r="C27" s="28" t="str">
        <x:v>Working-capital drivers</x:v>
      </x:c>
      <x:c r="D27" s="28" t="str">
        <x:v>Controls</x:v>
      </x:c>
      <x:c r="E27" s="28" t="str">
        <x:v>FY27</x:v>
      </x:c>
      <x:c r="F27" s="28" t="str">
        <x:v>Approved case</x:v>
      </x:c>
      <x:c r="G27" s="28" t="str">
        <x:v>Retainage percent of revenue</x:v>
      </x:c>
      <x:c r="H27" s="31" t="n">
        <x:v>0.025</x:v>
      </x:c>
      <x:c r="I27" s="28" t="str"/>
      <x:c r="J27" s="28" t="str">
        <x:v>decimal ratio</x:v>
      </x:c>
      <x:c r="K27" s="28" t="str">
        <x:v>Finance operating schedule</x:v>
      </x:c>
      <x:c r="L27" s="34" t="str">
        <x:v>2026-06-30</x:v>
      </x:c>
      <x:c r="M27" s="28" t="str"/>
    </x:row>
    <x:row r="28">
      <x:c r="A28" s="37" t="str">
        <x:v>PLN-00906</x:v>
      </x:c>
      <x:c r="B28" s="28" t="str">
        <x:v>Cash-conversion and working-capital forecast</x:v>
      </x:c>
      <x:c r="C28" s="28" t="str">
        <x:v>Working-capital drivers</x:v>
      </x:c>
      <x:c r="D28" s="28" t="str">
        <x:v>Controls</x:v>
      </x:c>
      <x:c r="E28" s="28" t="str">
        <x:v>FY27</x:v>
      </x:c>
      <x:c r="F28" s="28" t="str">
        <x:v>Approved case</x:v>
      </x:c>
      <x:c r="G28" s="28" t="str">
        <x:v>Customer deposits percent of revenue</x:v>
      </x:c>
      <x:c r="H28" s="31" t="n">
        <x:v>0.02</x:v>
      </x:c>
      <x:c r="I28" s="28" t="str"/>
      <x:c r="J28" s="28" t="str">
        <x:v>decimal ratio</x:v>
      </x:c>
      <x:c r="K28" s="28" t="str">
        <x:v>Finance operating schedule</x:v>
      </x:c>
      <x:c r="L28" s="34" t="str">
        <x:v>2026-06-30</x:v>
      </x:c>
      <x:c r="M28" s="28" t="str"/>
    </x:row>
    <x:row r="29">
      <x:c r="A29" s="37" t="str">
        <x:v>PLN-00907</x:v>
      </x:c>
      <x:c r="B29" s="28" t="str">
        <x:v>Cash-conversion and working-capital forecast</x:v>
      </x:c>
      <x:c r="C29" s="28" t="str">
        <x:v>Opening working capital</x:v>
      </x:c>
      <x:c r="D29" s="28" t="str">
        <x:v>Ordinary AR</x:v>
      </x:c>
      <x:c r="E29" s="28" t="str">
        <x:v>2026-06-30</x:v>
      </x:c>
      <x:c r="F29" s="28" t="str">
        <x:v>Approved case</x:v>
      </x:c>
      <x:c r="G29" s="28" t="str">
        <x:v>Posted open balance</x:v>
      </x:c>
      <x:c r="H29" s="31" t="n">
        <x:v>0.83</x:v>
      </x:c>
      <x:c r="I29" s="28" t="str"/>
      <x:c r="J29" s="28" t="str">
        <x:v>ledger allocation factor</x:v>
      </x:c>
      <x:c r="K29" s="28" t="str">
        <x:v>Finance operating schedule</x:v>
      </x:c>
      <x:c r="L29" s="34" t="str">
        <x:v>2026-06-30</x:v>
      </x:c>
      <x:c r="M29" s="28" t="str">
        <x:v>Vista ERP AR aging as of 2026-06-30; open balances before forecast assumptions</x:v>
      </x:c>
    </x:row>
    <x:row r="30">
      <x:c r="A30" s="37" t="str">
        <x:v>PLN-00908</x:v>
      </x:c>
      <x:c r="B30" s="28" t="str">
        <x:v>Cash-conversion and working-capital forecast</x:v>
      </x:c>
      <x:c r="C30" s="28" t="str">
        <x:v>Opening working capital</x:v>
      </x:c>
      <x:c r="D30" s="28" t="str">
        <x:v>Retainage</x:v>
      </x:c>
      <x:c r="E30" s="28" t="str">
        <x:v>2026-06-30</x:v>
      </x:c>
      <x:c r="F30" s="28" t="str">
        <x:v>Approved case</x:v>
      </x:c>
      <x:c r="G30" s="28" t="str">
        <x:v>Posted open balance</x:v>
      </x:c>
      <x:c r="H30" s="31" t="n">
        <x:v>0.17</x:v>
      </x:c>
      <x:c r="I30" s="28" t="str"/>
      <x:c r="J30" s="28" t="str">
        <x:v>ledger allocation factor</x:v>
      </x:c>
      <x:c r="K30" s="28" t="str">
        <x:v>Finance operating schedule</x:v>
      </x:c>
      <x:c r="L30" s="34" t="str">
        <x:v>2026-06-30</x:v>
      </x:c>
      <x:c r="M30" s="28" t="str">
        <x:v>Vista ERP AR aging as of 2026-06-30; open balances before forecast assumptions</x:v>
      </x:c>
    </x:row>
    <x:row r="31">
      <x:c r="A31" s="37" t="str">
        <x:v>PLN-00909</x:v>
      </x:c>
      <x:c r="B31" s="28" t="str">
        <x:v>Cash-conversion and working-capital forecast</x:v>
      </x:c>
      <x:c r="C31" s="28" t="str">
        <x:v>Opening working capital</x:v>
      </x:c>
      <x:c r="D31" s="28" t="str">
        <x:v>Inventory</x:v>
      </x:c>
      <x:c r="E31" s="28" t="str">
        <x:v>2026-06-30</x:v>
      </x:c>
      <x:c r="F31" s="28" t="str">
        <x:v>Approved case</x:v>
      </x:c>
      <x:c r="G31" s="28" t="str">
        <x:v>Posted open balance</x:v>
      </x:c>
      <x:c r="H31" s="31" t="n">
        <x:v>1180000</x:v>
      </x:c>
      <x:c r="I31" s="28" t="str"/>
      <x:c r="J31" s="28" t="str">
        <x:v>USD</x:v>
      </x:c>
      <x:c r="K31" s="28" t="str">
        <x:v>Finance operating schedule</x:v>
      </x:c>
      <x:c r="L31" s="34" t="str">
        <x:v>2026-06-30</x:v>
      </x:c>
      <x:c r="M31" s="28" t="str"/>
    </x:row>
    <x:row r="32">
      <x:c r="A32" s="37" t="str">
        <x:v>PLN-00910</x:v>
      </x:c>
      <x:c r="B32" s="28" t="str">
        <x:v>Cash-conversion and working-capital forecast</x:v>
      </x:c>
      <x:c r="C32" s="28" t="str">
        <x:v>Opening working capital</x:v>
      </x:c>
      <x:c r="D32" s="28" t="str">
        <x:v>AP</x:v>
      </x:c>
      <x:c r="E32" s="28" t="str">
        <x:v>2026-06-30</x:v>
      </x:c>
      <x:c r="F32" s="28" t="str">
        <x:v>Approved case</x:v>
      </x:c>
      <x:c r="G32" s="28" t="str">
        <x:v>Posted open balance</x:v>
      </x:c>
      <x:c r="H32" s="31" t="n">
        <x:v>1</x:v>
      </x:c>
      <x:c r="I32" s="28" t="str"/>
      <x:c r="J32" s="28" t="str">
        <x:v>ledger allocation factor</x:v>
      </x:c>
      <x:c r="K32" s="28" t="str">
        <x:v>Finance operating schedule</x:v>
      </x:c>
      <x:c r="L32" s="34" t="str">
        <x:v>2026-06-30</x:v>
      </x:c>
      <x:c r="M32" s="28" t="str">
        <x:v>Vista ERP AP aging as of 2026-06-30; open balances before forecast assumptions</x:v>
      </x:c>
    </x:row>
    <x:row r="33">
      <x:c r="A33" s="37" t="str">
        <x:v>PLN-00911</x:v>
      </x:c>
      <x:c r="B33" s="28" t="str">
        <x:v>Cash-conversion and working-capital forecast</x:v>
      </x:c>
      <x:c r="C33" s="28" t="str">
        <x:v>Opening working capital</x:v>
      </x:c>
      <x:c r="D33" s="28" t="str">
        <x:v>Customer deposits</x:v>
      </x:c>
      <x:c r="E33" s="28" t="str">
        <x:v>2026-06-30</x:v>
      </x:c>
      <x:c r="F33" s="28" t="str">
        <x:v>Approved case</x:v>
      </x:c>
      <x:c r="G33" s="28" t="str">
        <x:v>Posted open balance</x:v>
      </x:c>
      <x:c r="H33" s="31" t="n">
        <x:v>1240000</x:v>
      </x:c>
      <x:c r="I33" s="28" t="str"/>
      <x:c r="J33" s="28" t="str">
        <x:v>USD</x:v>
      </x:c>
      <x:c r="K33" s="28" t="str">
        <x:v>Finance operating schedule</x:v>
      </x:c>
      <x:c r="L33" s="34" t="str">
        <x:v>2026-06-30</x:v>
      </x:c>
      <x:c r="M33" s="28" t="str"/>
    </x:row>
    <x:row r="34">
      <x:c r="A34" s="37" t="str">
        <x:v>PLN-00912</x:v>
      </x:c>
      <x:c r="B34" s="28" t="str">
        <x:v>Cash-conversion and working-capital forecast</x:v>
      </x:c>
      <x:c r="C34" s="28" t="str">
        <x:v>Cash conversion</x:v>
      </x:c>
      <x:c r="D34" s="28" t="str">
        <x:v>Consolidated</x:v>
      </x:c>
      <x:c r="E34" s="28" t="str">
        <x:v>FY27</x:v>
      </x:c>
      <x:c r="F34" s="28" t="str">
        <x:v>Approved case</x:v>
      </x:c>
      <x:c r="G34" s="28" t="str">
        <x:v>Plan EBITDA margin</x:v>
      </x:c>
      <x:c r="H34" s="31" t="n">
        <x:v>0.142</x:v>
      </x:c>
      <x:c r="I34" s="28" t="str"/>
      <x:c r="J34" s="28" t="str">
        <x:v>decimal ratio</x:v>
      </x:c>
      <x:c r="K34" s="28" t="str">
        <x:v>Finance operating schedule</x:v>
      </x:c>
      <x:c r="L34" s="34" t="str">
        <x:v>2026-06-30</x:v>
      </x:c>
      <x:c r="M34" s="28" t="str"/>
    </x:row>
    <x:row r="35">
      <x:c r="A35" s="38" t="str">
        <x:v>PLN-00913</x:v>
      </x:c>
      <x:c r="B35" s="29" t="str">
        <x:v>Cash-conversion and working-capital forecast</x:v>
      </x:c>
      <x:c r="C35" s="29" t="str">
        <x:v>Cash conversion</x:v>
      </x:c>
      <x:c r="D35" s="29" t="str">
        <x:v>Consolidated</x:v>
      </x:c>
      <x:c r="E35" s="29" t="str">
        <x:v>FY27</x:v>
      </x:c>
      <x:c r="F35" s="29" t="str">
        <x:v>Approved case</x:v>
      </x:c>
      <x:c r="G35" s="29" t="str">
        <x:v>Cash tax rate on EBITDA</x:v>
      </x:c>
      <x:c r="H35" s="32" t="n">
        <x:v>0.17</x:v>
      </x:c>
      <x:c r="I35" s="29" t="str"/>
      <x:c r="J35" s="29" t="str">
        <x:v>decimal ratio</x:v>
      </x:c>
      <x:c r="K35" s="29" t="str">
        <x:v>Finance operating schedule</x:v>
      </x:c>
      <x:c r="L35" s="35" t="str">
        <x:v>2026-06-30</x:v>
      </x:c>
      <x:c r="M35" s="29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44" hidden="0" customWidth="1"/>
  </x:cols>
  <x:sheetData>
    <x:row r="1" ht="25" customHeight="1">
      <x:c r="A1" s="9" t="str">
        <x:v>FY27 operating plan | data checks</x:v>
      </x:c>
      <x:c r="B1" s="9"/>
      <x:c r="C1" s="9"/>
      <x:c r="D1" s="9"/>
      <x:c r="E1" s="9"/>
      <x:c r="F1" s="9"/>
    </x:row>
    <x:row r="2" ht="25" customHeight="1">
      <x:c r="A2" s="11" t="str">
        <x:v>Row-count and version checks; investigate any unexpected change before using the book</x:v>
      </x:c>
      <x:c r="B2" s="11"/>
      <x:c r="C2" s="11"/>
      <x:c r="D2" s="11"/>
      <x:c r="E2" s="11"/>
      <x:c r="F2" s="11"/>
    </x:row>
    <x:row r="4" ht="30" customHeight="1">
      <x:c r="A4" s="20" t="str">
        <x:v>Data sheet</x:v>
      </x:c>
      <x:c r="B4" s="21" t="str">
        <x:v>Expected rows</x:v>
      </x:c>
      <x:c r="C4" s="21" t="str">
        <x:v>Workbook rows</x:v>
      </x:c>
      <x:c r="D4" s="21" t="str">
        <x:v>Difference</x:v>
      </x:c>
      <x:c r="E4" s="21" t="str">
        <x:v>Status</x:v>
      </x:c>
      <x:c r="F4" s="22" t="str">
        <x:v>Version note</x:v>
      </x:c>
    </x:row>
    <x:row r="5">
      <x:c r="A5" s="40" t="str">
        <x:v>Revenue and Service</x:v>
      </x:c>
      <x:c r="B5" s="40" t="n">
        <x:v>337</x:v>
      </x:c>
      <x:c r="C5" s="40" t="n">
        <x:f>COUNTA('Revenue and Service'!$A$5:$A$341)</x:f>
        <x:v>337</x:v>
      </x:c>
      <x:c r="D5" s="40" t="n">
        <x:f>C5-B5</x:f>
        <x:v>0</x:v>
      </x:c>
      <x:c r="E5" s="43" t="str">
        <x:f>IF(D5=0,"OK","CHECK")</x:f>
        <x:v>OK</x:v>
      </x:c>
      <x:c r="F5" s="40" t="str">
        <x:v>CURRENT • CONTROLLER REVIEW COMPLETE</x:v>
      </x:c>
    </x:row>
    <x:row r="6">
      <x:c r="A6" s="41" t="str">
        <x:v>Margin and Accuracy</x:v>
      </x:c>
      <x:c r="B6" s="41" t="n">
        <x:v>227</x:v>
      </x:c>
      <x:c r="C6" s="41" t="n">
        <x:f>COUNTA('Margin and Accuracy'!$A$5:$A$231)</x:f>
        <x:v>227</x:v>
      </x:c>
      <x:c r="D6" s="41" t="n">
        <x:f>C6-B6</x:f>
        <x:v>0</x:v>
      </x:c>
      <x:c r="E6" s="44" t="str">
        <x:f>IF(D6=0,"OK","CHECK")</x:f>
        <x:v>OK</x:v>
      </x:c>
      <x:c r="F6" s="41" t="str">
        <x:v>CURRENT • CONTROLLER REVIEW COMPLETE</x:v>
      </x:c>
    </x:row>
    <x:row r="7">
      <x:c r="A7" s="41" t="str">
        <x:v>Opex and Workforce</x:v>
      </x:c>
      <x:c r="B7" s="41" t="n">
        <x:v>377</x:v>
      </x:c>
      <x:c r="C7" s="41" t="n">
        <x:f>COUNTA('Opex and Workforce'!$A$5:$A$381)</x:f>
        <x:v>377</x:v>
      </x:c>
      <x:c r="D7" s="41" t="n">
        <x:f>C7-B7</x:f>
        <x:v>0</x:v>
      </x:c>
      <x:c r="E7" s="44" t="str">
        <x:f>IF(D7=0,"OK","CHECK")</x:f>
        <x:v>OK</x:v>
      </x:c>
      <x:c r="F7" s="41" t="str">
        <x:v>CURRENT • CONTROLLER REVIEW COMPLETE</x:v>
      </x:c>
    </x:row>
    <x:row r="8">
      <x:c r="A8" s="41" t="str">
        <x:v>Branches and Backlog</x:v>
      </x:c>
      <x:c r="B8" s="41" t="n">
        <x:v>297</x:v>
      </x:c>
      <x:c r="C8" s="41" t="n">
        <x:f>COUNTA('Branches and Backlog'!$A$5:$A$301)</x:f>
        <x:v>297</x:v>
      </x:c>
      <x:c r="D8" s="41" t="n">
        <x:f>C8-B8</x:f>
        <x:v>0</x:v>
      </x:c>
      <x:c r="E8" s="44" t="str">
        <x:f>IF(D8=0,"OK","CHECK")</x:f>
        <x:v>OK</x:v>
      </x:c>
      <x:c r="F8" s="41" t="str">
        <x:v>CURRENT • CONTROLLER REVIEW COMPLETE</x:v>
      </x:c>
    </x:row>
    <x:row r="9">
      <x:c r="A9" s="42" t="str">
        <x:v>Working Capital</x:v>
      </x:c>
      <x:c r="B9" s="42" t="n">
        <x:v>31</x:v>
      </x:c>
      <x:c r="C9" s="42" t="n">
        <x:f>COUNTA('Working Capital'!$A$5:$A$35)</x:f>
        <x:v>31</x:v>
      </x:c>
      <x:c r="D9" s="42" t="n">
        <x:f>C9-B9</x:f>
        <x:v>0</x:v>
      </x:c>
      <x:c r="E9" s="45" t="str">
        <x:f>IF(D9=0,"OK","CHECK")</x:f>
        <x:v>OK</x:v>
      </x:c>
      <x:c r="F9" s="42" t="str">
        <x:v>CURRENT • CONTROLLER REVIEW COMPLETE</x:v>
      </x:c>
    </x:row>
  </x:sheetData>
  <x:mergeCells>
    <x:mergeCell ref="A1:F1"/>
    <x:mergeCell ref="A2:F2"/>
  </x:mergeCells>
  <x:pageMargins left="0.7" right="0.7" top="0.75" bottom="0.75" header="0.3" footer="0.3"/>
</x:worksheet>
</file>