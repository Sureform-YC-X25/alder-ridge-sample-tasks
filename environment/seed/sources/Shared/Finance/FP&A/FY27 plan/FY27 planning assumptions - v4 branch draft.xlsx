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Id5"/>
    <x:sheet xmlns:r="http://schemas.openxmlformats.org/officeDocument/2006/relationships" name="Revenue and Service" sheetId="2" r:id="rId6"/>
    <x:sheet xmlns:r="http://schemas.openxmlformats.org/officeDocument/2006/relationships" name="Margin and Accuracy" sheetId="3" r:id="rId7"/>
    <x:sheet xmlns:r="http://schemas.openxmlformats.org/officeDocument/2006/relationships" name="Opex and Workforce" sheetId="4" r:id="rId8"/>
    <x:sheet xmlns:r="http://schemas.openxmlformats.org/officeDocument/2006/relationships" name="Branches and Backlog" sheetId="5" r:id="rId9"/>
    <x:sheet xmlns:r="http://schemas.openxmlformats.org/officeDocument/2006/relationships" name="Working Capital" sheetId="6" r:id="rId10"/>
    <x:sheet xmlns:r="http://schemas.openxmlformats.org/officeDocument/2006/relationships" name="Data Checks" sheetId="7" r:id="rI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;[Red](#,##0.0000);-"/>
    <x:numFmt numFmtId="201" formatCode="yyyy-mm-dd"/>
  </x:numFmts>
  <x:fonts count="9">
    <x:font>
      <x:sz val="11"/>
      <x:name val="Carlito"/>
    </x:font>
    <x:font>
      <x:b/>
      <x:sz val="10"/>
      <x:color rgb="FF252321"/>
      <x:name val="Aptos"/>
    </x:font>
    <x:font>
      <x:sz val="10"/>
      <x:color rgb="FF8B3A3A"/>
      <x:name val="Aptos"/>
    </x:font>
    <x:font>
      <x:sz val="10"/>
      <x:color rgb="FF252321"/>
      <x:name val="Aptos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4ECE7"/>
      </x:patternFill>
    </x:fill>
    <x:fill>
      <x:patternFill patternType="solid">
        <x:fgColor rgb="FFF3E6D5"/>
      </x:patternFill>
    </x:fill>
    <x:fill>
      <x:patternFill patternType="solid">
        <x:fgColor rgb="FF8B5E3C"/>
      </x:patternFill>
    </x:fill>
    <x:fill>
      <x:patternFill patternType="solid">
        <x:fgColor rgb="FF5A7669"/>
      </x:patternFill>
    </x:fill>
    <x:fill>
      <x:patternFill patternType="solid">
        <x:fgColor rgb="FFFFF8E1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5EBBD62F-F892-7FD7-B5B8-0E89F652C3A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5" customHeight="1">
      <x:c r="A1" s="6"/>
    </x:row>
    <x:row r="2" ht="25" customHeight="1"/>
    <x:row r="4">
      <x:c r="A4" s="2" t="str">
        <x:v>Company</x:v>
      </x:c>
      <x:c r="B4" s="5" t="str">
        <x:v>Alder Ridge Mechanical</x:v>
      </x:c>
    </x:row>
    <x:row r="5">
      <x:c r="A5" s="2" t="str">
        <x:v>Reporting cutoff</x:v>
      </x:c>
      <x:c r="B5" s="5" t="str">
        <x:v>2026-06-30</x:v>
      </x:c>
    </x:row>
    <x:row r="6">
      <x:c r="A6" s="2" t="str">
        <x:v>Review date</x:v>
      </x:c>
      <x:c r="B6" s="5" t="str">
        <x:v>2026-07-05</x:v>
      </x:c>
    </x:row>
    <x:row r="7">
      <x:c r="A7" s="2" t="str">
        <x:v>Version</x:v>
      </x:c>
      <x:c r="B7" s="5" t="str">
        <x:v>Prior working version</x:v>
      </x:c>
    </x:row>
    <x:row r="8">
      <x:c r="A8" s="2" t="str">
        <x:v>Workbook status</x:v>
      </x:c>
      <x:c r="B8" s="5" t="str">
        <x:v>PRIOR REVIEW COPY • NOT CURRENT</x:v>
      </x:c>
    </x:row>
    <x:row r="9">
      <x:c r="A9" s="2" t="str">
        <x:v>Purpose</x:v>
      </x:c>
      <x:c r="B9" s="5" t="str">
        <x:v>Management assumptions and supporting schedules used across the finance review</x:v>
      </x:c>
    </x:row>
    <x:row r="10">
      <x:c r="A10" s="2" t="str">
        <x:v>Authority</x:v>
      </x:c>
      <x:c r="B10" s="5" t="str">
        <x:v>Change history only; resolve current decisions from controller-reviewed sources and correspondence</x:v>
      </x:c>
    </x:row>
    <x:row r="12" ht="42" customHeight="1">
      <x:c r="B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Revenue and Service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PLN-00021</x:v>
      </x:c>
      <x:c r="B5" s="27" t="str">
        <x:v>FY27 branch revenue driver forecast</x:v>
      </x:c>
      <x:c r="C5" s="27" t="str">
        <x:v>FY27 approved branch drivers</x:v>
      </x:c>
      <x:c r="D5" s="27" t="str">
        <x:v>Construction</x:v>
      </x:c>
      <x:c r="E5" s="27" t="str">
        <x:v>2026-05 working copy</x:v>
      </x:c>
      <x:c r="F5" s="27" t="str">
        <x:v>Approved case</x:v>
      </x:c>
      <x:c r="G5" s="27" t="str">
        <x:v>Core volume growth</x:v>
      </x:c>
      <x:c r="H5" s="30" t="n">
        <x:v>-0.0206</x:v>
      </x:c>
      <x:c r="I5" s="27" t="str"/>
      <x:c r="J5" s="27" t="str">
        <x:v>decimal ratio</x:v>
      </x:c>
      <x:c r="K5" s="27" t="str">
        <x:v>Earlier management working export</x:v>
      </x:c>
      <x:c r="L5" s="33" t="str">
        <x:v>2026-06-24</x:v>
      </x:c>
      <x:c r="M5" s="27" t="str"/>
    </x:row>
    <x:row r="6">
      <x:c r="A6" s="37" t="str">
        <x:v>PLN-00022</x:v>
      </x:c>
      <x:c r="B6" s="28" t="str">
        <x:v>FY27 branch revenue driver forecast</x:v>
      </x:c>
      <x:c r="C6" s="28" t="str">
        <x:v>FY27 approved branch drivers</x:v>
      </x:c>
      <x:c r="D6" s="28" t="str">
        <x:v>Service</x:v>
      </x:c>
      <x:c r="E6" s="28" t="str">
        <x:v>FY27</x:v>
      </x:c>
      <x:c r="F6" s="28" t="str">
        <x:v>Management stretch</x:v>
      </x:c>
      <x:c r="G6" s="28" t="str">
        <x:v>Expansion ARR</x:v>
      </x:c>
      <x:c r="H6" s="31" t="n">
        <x:v>790400</x:v>
      </x:c>
      <x:c r="I6" s="28" t="str"/>
      <x:c r="J6" s="28" t="str">
        <x:v>USD</x:v>
      </x:c>
      <x:c r="K6" s="28" t="str">
        <x:v>Earlier management working export</x:v>
      </x:c>
      <x:c r="L6" s="34" t="str">
        <x:v>2026-06-24</x:v>
      </x:c>
      <x:c r="M6" s="28" t="str"/>
    </x:row>
    <x:row r="7">
      <x:c r="A7" s="37" t="str">
        <x:v>PLN-00023</x:v>
      </x:c>
      <x:c r="B7" s="28" t="str">
        <x:v>FY27 branch revenue driver forecast</x:v>
      </x:c>
      <x:c r="C7" s="28" t="str">
        <x:v>FY27 approved branch drivers</x:v>
      </x:c>
      <x:c r="D7" s="28" t="str">
        <x:v>Controls</x:v>
      </x:c>
      <x:c r="E7" s="28" t="str">
        <x:v>2026-05 working copy</x:v>
      </x:c>
      <x:c r="F7" s="28" t="str">
        <x:v>Approved case</x:v>
      </x:c>
      <x:c r="G7" s="28" t="str">
        <x:v>Monitoring share</x:v>
      </x:c>
      <x:c r="H7" s="31" t="n">
        <x:v>0.231</x:v>
      </x:c>
      <x:c r="I7" s="28" t="str"/>
      <x:c r="J7" s="28" t="str">
        <x:v>decimal ratio</x:v>
      </x:c>
      <x:c r="K7" s="28" t="str">
        <x:v>Earlier management working export</x:v>
      </x:c>
      <x:c r="L7" s="34" t="str">
        <x:v>2026-06-24</x:v>
      </x:c>
      <x:c r="M7" s="28" t="str"/>
    </x:row>
    <x:row r="8">
      <x:c r="A8" s="37" t="str">
        <x:v>PLN-00024</x:v>
      </x:c>
      <x:c r="B8" s="28" t="str">
        <x:v>FY27 branch revenue driver forecast</x:v>
      </x:c>
      <x:c r="C8" s="28" t="str">
        <x:v>FY27 approved branch drivers</x:v>
      </x:c>
      <x:c r="D8" s="28" t="str">
        <x:v>Service</x:v>
      </x:c>
      <x:c r="E8" s="28" t="str">
        <x:v>FY27</x:v>
      </x:c>
      <x:c r="F8" s="28" t="str">
        <x:v>Management stretch</x:v>
      </x:c>
      <x:c r="G8" s="28" t="str">
        <x:v>Recurring share</x:v>
      </x:c>
      <x:c r="H8" s="31" t="n">
        <x:v>0.4944</x:v>
      </x:c>
      <x:c r="I8" s="28" t="str"/>
      <x:c r="J8" s="28" t="str">
        <x:v>decimal ratio</x:v>
      </x:c>
      <x:c r="K8" s="28" t="str">
        <x:v>Earlier management working export</x:v>
      </x:c>
      <x:c r="L8" s="34" t="str">
        <x:v>2026-06-24</x:v>
      </x:c>
      <x:c r="M8" s="28" t="str"/>
    </x:row>
    <x:row r="9">
      <x:c r="A9" s="37" t="str">
        <x:v>PLN-00025</x:v>
      </x:c>
      <x:c r="B9" s="28" t="str">
        <x:v>FY27 branch revenue driver forecast</x:v>
      </x:c>
      <x:c r="C9" s="28" t="str">
        <x:v>FY27 approved branch drivers</x:v>
      </x:c>
      <x:c r="D9" s="28" t="str">
        <x:v>Controls</x:v>
      </x:c>
      <x:c r="E9" s="28" t="str">
        <x:v>2026-05 working copy</x:v>
      </x:c>
      <x:c r="F9" s="28" t="str">
        <x:v>Approved case</x:v>
      </x:c>
      <x:c r="G9" s="28" t="str">
        <x:v>Project volume growth</x:v>
      </x:c>
      <x:c r="H9" s="31" t="n">
        <x:v>0.0728</x:v>
      </x:c>
      <x:c r="I9" s="28" t="str"/>
      <x:c r="J9" s="28" t="str">
        <x:v>decimal ratio</x:v>
      </x:c>
      <x:c r="K9" s="28" t="str">
        <x:v>Earlier management working export</x:v>
      </x:c>
      <x:c r="L9" s="34" t="str">
        <x:v>2026-06-24</x:v>
      </x:c>
      <x:c r="M9" s="28" t="str"/>
    </x:row>
    <x:row r="10">
      <x:c r="A10" s="37" t="str">
        <x:v>PLN-00026</x:v>
      </x:c>
      <x:c r="B10" s="28" t="str">
        <x:v>FY27 branch revenue driver forecast</x:v>
      </x:c>
      <x:c r="C10" s="28" t="str">
        <x:v>FY27 approved branch drivers</x:v>
      </x:c>
      <x:c r="D10" s="28" t="str">
        <x:v>Construction</x:v>
      </x:c>
      <x:c r="E10" s="28" t="str">
        <x:v>FY27</x:v>
      </x:c>
      <x:c r="F10" s="28" t="str">
        <x:v>Management stretch</x:v>
      </x:c>
      <x:c r="G10" s="28" t="str">
        <x:v>Core price growth</x:v>
      </x:c>
      <x:c r="H10" s="31" t="n">
        <x:v>0.033600000000000005</x:v>
      </x:c>
      <x:c r="I10" s="28" t="str"/>
      <x:c r="J10" s="28" t="str">
        <x:v>decimal ratio</x:v>
      </x:c>
      <x:c r="K10" s="28" t="str">
        <x:v>Earlier management working export</x:v>
      </x:c>
      <x:c r="L10" s="34" t="str">
        <x:v>2026-06-24</x:v>
      </x:c>
      <x:c r="M10" s="28" t="str"/>
    </x:row>
    <x:row r="11">
      <x:c r="A11" s="37" t="str">
        <x:v>PLN-00027</x:v>
      </x:c>
      <x:c r="B11" s="28" t="str">
        <x:v>FY27 branch revenue driver forecast</x:v>
      </x:c>
      <x:c r="C11" s="28" t="str">
        <x:v>FY27 approved branch drivers</x:v>
      </x:c>
      <x:c r="D11" s="28" t="str">
        <x:v>Service</x:v>
      </x:c>
      <x:c r="E11" s="28" t="str">
        <x:v>2026-05 working copy</x:v>
      </x:c>
      <x:c r="F11" s="28" t="str">
        <x:v>Approved case</x:v>
      </x:c>
      <x:c r="G11" s="28" t="str">
        <x:v>Demand-work volume growth</x:v>
      </x:c>
      <x:c r="H11" s="31" t="n">
        <x:v>0.05665</x:v>
      </x:c>
      <x:c r="I11" s="28" t="str"/>
      <x:c r="J11" s="28" t="str">
        <x:v>decimal ratio</x:v>
      </x:c>
      <x:c r="K11" s="28" t="str">
        <x:v>Earlier management working export</x:v>
      </x:c>
      <x:c r="L11" s="34" t="str">
        <x:v>2026-06-24</x:v>
      </x:c>
      <x:c r="M11" s="28" t="str"/>
    </x:row>
    <x:row r="12">
      <x:c r="A12" s="37" t="str">
        <x:v>PLN-00028</x:v>
      </x:c>
      <x:c r="B12" s="28" t="str">
        <x:v>FY27 branch revenue driver forecast</x:v>
      </x:c>
      <x:c r="C12" s="28" t="str">
        <x:v>FY27 approved branch drivers</x:v>
      </x:c>
      <x:c r="D12" s="28" t="str">
        <x:v>Controls</x:v>
      </x:c>
      <x:c r="E12" s="28" t="str">
        <x:v>FY27</x:v>
      </x:c>
      <x:c r="F12" s="28" t="str">
        <x:v>Management stretch</x:v>
      </x:c>
      <x:c r="G12" s="28" t="str">
        <x:v>Signed backlog incremental revenue</x:v>
      </x:c>
      <x:c r="H12" s="31" t="n">
        <x:v>665.6</x:v>
      </x:c>
      <x:c r="I12" s="28" t="str"/>
      <x:c r="J12" s="28" t="str">
        <x:v>USD thousands</x:v>
      </x:c>
      <x:c r="K12" s="28" t="str">
        <x:v>Earlier management working export</x:v>
      </x:c>
      <x:c r="L12" s="34" t="str">
        <x:v>2026-06-24</x:v>
      </x:c>
      <x:c r="M12" s="28" t="str"/>
    </x:row>
    <x:row r="13">
      <x:c r="A13" s="37" t="str">
        <x:v>PLN-00029</x:v>
      </x:c>
      <x:c r="B13" s="28" t="str">
        <x:v>FY27 branch revenue driver forecast</x:v>
      </x:c>
      <x:c r="C13" s="28" t="str">
        <x:v>FY27 approved branch drivers</x:v>
      </x:c>
      <x:c r="D13" s="28" t="str">
        <x:v>Service</x:v>
      </x:c>
      <x:c r="E13" s="28" t="str">
        <x:v>2026-05 working copy</x:v>
      </x:c>
      <x:c r="F13" s="28" t="str">
        <x:v>Approved case</x:v>
      </x:c>
      <x:c r="G13" s="28" t="str">
        <x:v>Gross renewal rate</x:v>
      </x:c>
      <x:c r="H13" s="31" t="n">
        <x:v>0.9712500000000001</x:v>
      </x:c>
      <x:c r="I13" s="28" t="str"/>
      <x:c r="J13" s="28" t="str">
        <x:v>decimal ratio</x:v>
      </x:c>
      <x:c r="K13" s="28" t="str">
        <x:v>Earlier management working export</x:v>
      </x:c>
      <x:c r="L13" s="34" t="str">
        <x:v>2026-06-24</x:v>
      </x:c>
      <x:c r="M13" s="28" t="str"/>
    </x:row>
    <x:row r="14">
      <x:c r="A14" s="37" t="str">
        <x:v>PLN-00030</x:v>
      </x:c>
      <x:c r="B14" s="28" t="str">
        <x:v>FY27 branch revenue driver forecast</x:v>
      </x:c>
      <x:c r="C14" s="28" t="str">
        <x:v>FY27 approved branch drivers</x:v>
      </x:c>
      <x:c r="D14" s="28" t="str">
        <x:v>Controls</x:v>
      </x:c>
      <x:c r="E14" s="28" t="str">
        <x:v>FY27</x:v>
      </x:c>
      <x:c r="F14" s="28" t="str">
        <x:v>Management stretch</x:v>
      </x:c>
      <x:c r="G14" s="28" t="str">
        <x:v>Project price growth</x:v>
      </x:c>
      <x:c r="H14" s="31" t="n">
        <x:v>0.02884</x:v>
      </x:c>
      <x:c r="I14" s="28" t="str"/>
      <x:c r="J14" s="28" t="str">
        <x:v>decimal ratio</x:v>
      </x:c>
      <x:c r="K14" s="28" t="str">
        <x:v>Earlier management working export</x:v>
      </x:c>
      <x:c r="L14" s="34" t="str">
        <x:v>2026-06-24</x:v>
      </x:c>
      <x:c r="M14" s="28" t="str"/>
    </x:row>
    <x:row r="15">
      <x:c r="A15" s="37" t="str">
        <x:v>PLN-00319</x:v>
      </x:c>
      <x:c r="B15" s="28" t="str">
        <x:v>Service revenue price-volume-mix variance</x:v>
      </x:c>
      <x:c r="C15" s="28" t="str">
        <x:v>Q2 service product detail</x:v>
      </x:c>
      <x:c r="D15" s="28" t="str">
        <x:v>Preventive</x:v>
      </x:c>
      <x:c r="E15" s="28" t="str">
        <x:v>2026-05 working copy</x:v>
      </x:c>
      <x:c r="F15" s="28" t="str">
        <x:v>Approved case</x:v>
      </x:c>
      <x:c r="G15" s="28" t="str">
        <x:v>Budget units</x:v>
      </x:c>
      <x:c r="H15" s="31" t="n">
        <x:v>49440</x:v>
      </x:c>
      <x:c r="I15" s="28" t="str"/>
      <x:c r="J15" s="28" t="str">
        <x:v>count</x:v>
      </x:c>
      <x:c r="K15" s="28" t="str">
        <x:v>Earlier management working export</x:v>
      </x:c>
      <x:c r="L15" s="34" t="str">
        <x:v>2026-06-24</x:v>
      </x:c>
      <x:c r="M15" s="28" t="str"/>
    </x:row>
    <x:row r="16">
      <x:c r="A16" s="37" t="str">
        <x:v>PLN-00320</x:v>
      </x:c>
      <x:c r="B16" s="28" t="str">
        <x:v>Service revenue price-volume-mix variance</x:v>
      </x:c>
      <x:c r="C16" s="28" t="str">
        <x:v>Q2 service product detail</x:v>
      </x:c>
      <x:c r="D16" s="28" t="str">
        <x:v>Predictive</x:v>
      </x:c>
      <x:c r="E16" s="28" t="str">
        <x:v>2026-Q2</x:v>
      </x:c>
      <x:c r="F16" s="28" t="str">
        <x:v>Management stretch</x:v>
      </x:c>
      <x:c r="G16" s="28" t="str">
        <x:v>Actual units</x:v>
      </x:c>
      <x:c r="H16" s="31" t="n">
        <x:v>26208</x:v>
      </x:c>
      <x:c r="I16" s="28" t="str"/>
      <x:c r="J16" s="28" t="str">
        <x:v>count</x:v>
      </x:c>
      <x:c r="K16" s="28" t="str">
        <x:v>Earlier management working export</x:v>
      </x:c>
      <x:c r="L16" s="34" t="str">
        <x:v>2026-06-24</x:v>
      </x:c>
      <x:c r="M16" s="28" t="str"/>
    </x:row>
    <x:row r="17">
      <x:c r="A17" s="37" t="str">
        <x:v>PLN-00321</x:v>
      </x:c>
      <x:c r="B17" s="28" t="str">
        <x:v>Service revenue price-volume-mix variance</x:v>
      </x:c>
      <x:c r="C17" s="28" t="str">
        <x:v>Q2 service product detail</x:v>
      </x:c>
      <x:c r="D17" s="28" t="str">
        <x:v>Emergency</x:v>
      </x:c>
      <x:c r="E17" s="28" t="str">
        <x:v>2026-05 working copy</x:v>
      </x:c>
      <x:c r="F17" s="28" t="str">
        <x:v>Approved case</x:v>
      </x:c>
      <x:c r="G17" s="28" t="str">
        <x:v>Executed SLA credits</x:v>
      </x:c>
      <x:c r="H17" s="31" t="n">
        <x:v>-44.1</x:v>
      </x:c>
      <x:c r="I17" s="28" t="str"/>
      <x:c r="J17" s="28" t="str">
        <x:v>USD thousands</x:v>
      </x:c>
      <x:c r="K17" s="28" t="str">
        <x:v>Earlier management working export</x:v>
      </x:c>
      <x:c r="L17" s="34" t="str">
        <x:v>2026-06-24</x:v>
      </x:c>
      <x:c r="M17" s="28" t="str"/>
    </x:row>
    <x:row r="18">
      <x:c r="A18" s="37" t="str">
        <x:v>PLN-00322</x:v>
      </x:c>
      <x:c r="B18" s="28" t="str">
        <x:v>Service revenue price-volume-mix variance</x:v>
      </x:c>
      <x:c r="C18" s="28" t="str">
        <x:v>Q2 service product detail</x:v>
      </x:c>
      <x:c r="D18" s="28" t="str">
        <x:v>Preventive</x:v>
      </x:c>
      <x:c r="E18" s="28" t="str">
        <x:v>2026-Q2</x:v>
      </x:c>
      <x:c r="F18" s="28" t="str">
        <x:v>Management stretch</x:v>
      </x:c>
      <x:c r="G18" s="28" t="str">
        <x:v>Budget unit price</x:v>
      </x:c>
      <x:c r="H18" s="31" t="n">
        <x:v>98.88</x:v>
      </x:c>
      <x:c r="I18" s="28" t="str"/>
      <x:c r="J18" s="28" t="str">
        <x:v>USD</x:v>
      </x:c>
      <x:c r="K18" s="28" t="str">
        <x:v>Earlier management working export</x:v>
      </x:c>
      <x:c r="L18" s="34" t="str">
        <x:v>2026-06-24</x:v>
      </x:c>
      <x:c r="M18" s="28" t="str"/>
    </x:row>
    <x:row r="19">
      <x:c r="A19" s="37" t="str">
        <x:v>PLN-00323</x:v>
      </x:c>
      <x:c r="B19" s="28" t="str">
        <x:v>Service revenue price-volume-mix variance</x:v>
      </x:c>
      <x:c r="C19" s="28" t="str">
        <x:v>Q2 service product detail</x:v>
      </x:c>
      <x:c r="D19" s="28" t="str">
        <x:v>Predictive</x:v>
      </x:c>
      <x:c r="E19" s="28" t="str">
        <x:v>2026-05 working copy</x:v>
      </x:c>
      <x:c r="F19" s="28" t="str">
        <x:v>Approved case</x:v>
      </x:c>
      <x:c r="G19" s="28" t="str">
        <x:v>Actual unit price</x:v>
      </x:c>
      <x:c r="H19" s="31" t="n">
        <x:v>148.20000000000002</x:v>
      </x:c>
      <x:c r="I19" s="28" t="str"/>
      <x:c r="J19" s="28" t="str">
        <x:v>USD</x:v>
      </x:c>
      <x:c r="K19" s="28" t="str">
        <x:v>Earlier management working export</x:v>
      </x:c>
      <x:c r="L19" s="34" t="str">
        <x:v>2026-06-24</x:v>
      </x:c>
      <x:c r="M19" s="28" t="str"/>
    </x:row>
    <x:row r="20">
      <x:c r="A20" s="37" t="str">
        <x:v>PLN-00324</x:v>
      </x:c>
      <x:c r="B20" s="28" t="str">
        <x:v>Service revenue price-volume-mix variance</x:v>
      </x:c>
      <x:c r="C20" s="28" t="str">
        <x:v>Q2 service product detail</x:v>
      </x:c>
      <x:c r="D20" s="28" t="str">
        <x:v>Remote monitoring</x:v>
      </x:c>
      <x:c r="E20" s="28" t="str">
        <x:v>2026-Q2</x:v>
      </x:c>
      <x:c r="F20" s="28" t="str">
        <x:v>Management stretch</x:v>
      </x:c>
      <x:c r="G20" s="28" t="str">
        <x:v>Budget units</x:v>
      </x:c>
      <x:c r="H20" s="31" t="n">
        <x:v>10500</x:v>
      </x:c>
      <x:c r="I20" s="28" t="str"/>
      <x:c r="J20" s="28" t="str">
        <x:v>count</x:v>
      </x:c>
      <x:c r="K20" s="28" t="str">
        <x:v>Earlier management working export</x:v>
      </x:c>
      <x:c r="L20" s="34" t="str">
        <x:v>2026-06-24</x:v>
      </x:c>
      <x:c r="M20" s="28" t="str"/>
    </x:row>
    <x:row r="21">
      <x:c r="A21" s="37" t="str">
        <x:v>PLN-00325</x:v>
      </x:c>
      <x:c r="B21" s="28" t="str">
        <x:v>Service revenue price-volume-mix variance</x:v>
      </x:c>
      <x:c r="C21" s="28" t="str">
        <x:v>Q2 service product detail</x:v>
      </x:c>
      <x:c r="D21" s="28" t="str">
        <x:v>Preventive</x:v>
      </x:c>
      <x:c r="E21" s="28" t="str">
        <x:v>2026-05 working copy</x:v>
      </x:c>
      <x:c r="F21" s="28" t="str">
        <x:v>Approved case</x:v>
      </x:c>
      <x:c r="G21" s="28" t="str">
        <x:v>Actual units</x:v>
      </x:c>
      <x:c r="H21" s="31" t="n">
        <x:v>53148</x:v>
      </x:c>
      <x:c r="I21" s="28" t="str"/>
      <x:c r="J21" s="28" t="str">
        <x:v>count</x:v>
      </x:c>
      <x:c r="K21" s="28" t="str">
        <x:v>Earlier management working export</x:v>
      </x:c>
      <x:c r="L21" s="34" t="str">
        <x:v>2026-06-24</x:v>
      </x:c>
      <x:c r="M21" s="28" t="str"/>
    </x:row>
    <x:row r="22">
      <x:c r="A22" s="37" t="str">
        <x:v>PLN-00326</x:v>
      </x:c>
      <x:c r="B22" s="28" t="str">
        <x:v>Service revenue price-volume-mix variance</x:v>
      </x:c>
      <x:c r="C22" s="28" t="str">
        <x:v>Q2 service product detail</x:v>
      </x:c>
      <x:c r="D22" s="28" t="str">
        <x:v>Predictive</x:v>
      </x:c>
      <x:c r="E22" s="28" t="str">
        <x:v>2026-Q2</x:v>
      </x:c>
      <x:c r="F22" s="28" t="str">
        <x:v>Management stretch</x:v>
      </x:c>
      <x:c r="G22" s="28" t="str">
        <x:v>Executed SLA credits</x:v>
      </x:c>
      <x:c r="H22" s="31" t="n">
        <x:v>-24960</x:v>
      </x:c>
      <x:c r="I22" s="28" t="str"/>
      <x:c r="J22" s="28" t="str">
        <x:v>USD</x:v>
      </x:c>
      <x:c r="K22" s="28" t="str">
        <x:v>Earlier management working export</x:v>
      </x:c>
      <x:c r="L22" s="34" t="str">
        <x:v>2026-06-24</x:v>
      </x:c>
      <x:c r="M22" s="28" t="str"/>
    </x:row>
    <x:row r="23">
      <x:c r="A23" s="37" t="str">
        <x:v>PLN-00327</x:v>
      </x:c>
      <x:c r="B23" s="28" t="str">
        <x:v>Service revenue price-volume-mix variance</x:v>
      </x:c>
      <x:c r="C23" s="28" t="str">
        <x:v>Q2 service product detail</x:v>
      </x:c>
      <x:c r="D23" s="28" t="str">
        <x:v>Remote monitoring</x:v>
      </x:c>
      <x:c r="E23" s="28" t="str">
        <x:v>2026-05 working copy</x:v>
      </x:c>
      <x:c r="F23" s="28" t="str">
        <x:v>Approved case</x:v>
      </x:c>
      <x:c r="G23" s="28" t="str">
        <x:v>Budget unit price</x:v>
      </x:c>
      <x:c r="H23" s="31" t="n">
        <x:v>80.01</x:v>
      </x:c>
      <x:c r="I23" s="28" t="str"/>
      <x:c r="J23" s="28" t="str">
        <x:v>USD</x:v>
      </x:c>
      <x:c r="K23" s="28" t="str">
        <x:v>Earlier management working export</x:v>
      </x:c>
      <x:c r="L23" s="34" t="str">
        <x:v>2026-06-24</x:v>
      </x:c>
      <x:c r="M23" s="28" t="str"/>
    </x:row>
    <x:row r="24">
      <x:c r="A24" s="37" t="str">
        <x:v>PLN-00328</x:v>
      </x:c>
      <x:c r="B24" s="28" t="str">
        <x:v>Service revenue price-volume-mix variance</x:v>
      </x:c>
      <x:c r="C24" s="28" t="str">
        <x:v>Q2 service product detail</x:v>
      </x:c>
      <x:c r="D24" s="28" t="str">
        <x:v>Preventive</x:v>
      </x:c>
      <x:c r="E24" s="28" t="str">
        <x:v>2026-Q2</x:v>
      </x:c>
      <x:c r="F24" s="28" t="str">
        <x:v>Management stretch</x:v>
      </x:c>
      <x:c r="G24" s="28" t="str">
        <x:v>Actual unit price</x:v>
      </x:c>
      <x:c r="H24" s="31" t="n">
        <x:v>101.352</x:v>
      </x:c>
      <x:c r="I24" s="28" t="str"/>
      <x:c r="J24" s="28" t="str">
        <x:v>USD</x:v>
      </x:c>
      <x:c r="K24" s="28" t="str">
        <x:v>Earlier management working export</x:v>
      </x:c>
      <x:c r="L24" s="34" t="str">
        <x:v>2026-06-24</x:v>
      </x:c>
      <x:c r="M24" s="28" t="str"/>
    </x:row>
    <x:row r="25">
      <x:c r="A25" s="37" t="str">
        <x:v>PLN-029X37</x:v>
      </x:c>
      <x:c r="B25" s="28" t="str">
        <x:v>Service revenue price-volume-mix variance</x:v>
      </x:c>
      <x:c r="C25" s="28" t="str">
        <x:v>Q3 service recovery action register</x:v>
      </x:c>
      <x:c r="D25" s="28" t="str">
        <x:v>Predictive renewal outreach</x:v>
      </x:c>
      <x:c r="E25" s="28" t="str">
        <x:v>2026-05 working copy</x:v>
      </x:c>
      <x:c r="F25" s="28" t="str">
        <x:v>Approved case</x:v>
      </x:c>
      <x:c r="G25" s="28" t="str">
        <x:v>Cash cost</x:v>
      </x:c>
      <x:c r="H25" s="31" t="n">
        <x:v>144200</x:v>
      </x:c>
      <x:c r="I25" s="28" t="str"/>
      <x:c r="J25" s="28" t="str">
        <x:v>USD</x:v>
      </x:c>
      <x:c r="K25" s="28" t="str">
        <x:v>Earlier management working export</x:v>
      </x:c>
      <x:c r="L25" s="34" t="str">
        <x:v>2026-06-24</x:v>
      </x:c>
      <x:c r="M25" s="28" t="str"/>
    </x:row>
    <x:row r="26">
      <x:c r="A26" s="37" t="str">
        <x:v>PLN-029X38</x:v>
      </x:c>
      <x:c r="B26" s="28" t="str">
        <x:v>Service revenue price-volume-mix variance</x:v>
      </x:c>
      <x:c r="C26" s="28" t="str">
        <x:v>Q3 service recovery action register</x:v>
      </x:c>
      <x:c r="D26" s="28" t="str">
        <x:v>Emergency callback quality reset</x:v>
      </x:c>
      <x:c r="E26" s="28" t="str">
        <x:v>Management review</x:v>
      </x:c>
      <x:c r="F26" s="28" t="str">
        <x:v>Management stretch</x:v>
      </x:c>
      <x:c r="G26" s="28" t="str">
        <x:v>Capacity units</x:v>
      </x:c>
      <x:c r="H26" s="31" t="n">
        <x:v>322.40000000000003</x:v>
      </x:c>
      <x:c r="I26" s="28" t="str"/>
      <x:c r="J26" s="28" t="str">
        <x:v>implementation hours</x:v>
      </x:c>
      <x:c r="K26" s="28" t="str">
        <x:v>Earlier management working export</x:v>
      </x:c>
      <x:c r="L26" s="34" t="str">
        <x:v>2026-06-24</x:v>
      </x:c>
      <x:c r="M26" s="28" t="str"/>
    </x:row>
    <x:row r="27">
      <x:c r="A27" s="37" t="str">
        <x:v>PLN-029X39</x:v>
      </x:c>
      <x:c r="B27" s="28" t="str">
        <x:v>Service revenue price-volume-mix variance</x:v>
      </x:c>
      <x:c r="C27" s="28" t="str">
        <x:v>Q3 service recovery action register</x:v>
      </x:c>
      <x:c r="D27" s="28" t="str">
        <x:v>Preventive route pricing rollout</x:v>
      </x:c>
      <x:c r="E27" s="28" t="str">
        <x:v>2026-05 working copy</x:v>
      </x:c>
      <x:c r="F27" s="28" t="str">
        <x:v>Approved case</x:v>
      </x:c>
      <x:c r="G27" s="28" t="str">
        <x:v>Realization probability</x:v>
      </x:c>
      <x:c r="H27" s="31" t="n">
        <x:v>0.6825000000000001</x:v>
      </x:c>
      <x:c r="I27" s="28" t="str"/>
      <x:c r="J27" s="28" t="str">
        <x:v>decimal ratio</x:v>
      </x:c>
      <x:c r="K27" s="28" t="str">
        <x:v>Earlier management working export</x:v>
      </x:c>
      <x:c r="L27" s="34" t="str">
        <x:v>2026-06-24</x:v>
      </x:c>
      <x:c r="M27" s="28" t="str"/>
    </x:row>
    <x:row r="28">
      <x:c r="A28" s="37" t="str">
        <x:v>PLN-029X40</x:v>
      </x:c>
      <x:c r="B28" s="28" t="str">
        <x:v>Service revenue price-volume-mix variance</x:v>
      </x:c>
      <x:c r="C28" s="28" t="str">
        <x:v>Q3 service recovery action register</x:v>
      </x:c>
      <x:c r="D28" s="28" t="str">
        <x:v>Portfolio policy</x:v>
      </x:c>
      <x:c r="E28" s="28" t="str">
        <x:v>Management review</x:v>
      </x:c>
      <x:c r="F28" s="28" t="str">
        <x:v>Management stretch</x:v>
      </x:c>
      <x:c r="G28" s="28" t="str">
        <x:v>Capacity limit</x:v>
      </x:c>
      <x:c r="H28" s="31" t="n">
        <x:v>824</x:v>
      </x:c>
      <x:c r="I28" s="28" t="str"/>
      <x:c r="J28" s="28" t="str">
        <x:v>implementation hours</x:v>
      </x:c>
      <x:c r="K28" s="28" t="str">
        <x:v>Earlier management working export</x:v>
      </x:c>
      <x:c r="L28" s="34" t="str">
        <x:v>2026-06-24</x:v>
      </x:c>
      <x:c r="M28" s="28" t="str"/>
    </x:row>
    <x:row r="29">
      <x:c r="A29" s="37" t="str">
        <x:v>PLN-029X41</x:v>
      </x:c>
      <x:c r="B29" s="28" t="str">
        <x:v>Service revenue price-volume-mix variance</x:v>
      </x:c>
      <x:c r="C29" s="28" t="str">
        <x:v>Q3 service recovery action register</x:v>
      </x:c>
      <x:c r="D29" s="28" t="str">
        <x:v>Emergency callback quality reset</x:v>
      </x:c>
      <x:c r="E29" s="28" t="str">
        <x:v>2026-05 working copy</x:v>
      </x:c>
      <x:c r="F29" s="28" t="str">
        <x:v>Approved case</x:v>
      </x:c>
      <x:c r="G29" s="28" t="str">
        <x:v>Cash cost</x:v>
      </x:c>
      <x:c r="H29" s="31" t="n">
        <x:v>176800</x:v>
      </x:c>
      <x:c r="I29" s="28" t="str"/>
      <x:c r="J29" s="28" t="str">
        <x:v>USD</x:v>
      </x:c>
      <x:c r="K29" s="28" t="str">
        <x:v>Earlier management working export</x:v>
      </x:c>
      <x:c r="L29" s="34" t="str">
        <x:v>2026-06-24</x:v>
      </x:c>
      <x:c r="M29" s="28" t="str"/>
    </x:row>
    <x:row r="30">
      <x:c r="A30" s="37" t="str">
        <x:v>PLN-029X42</x:v>
      </x:c>
      <x:c r="B30" s="28" t="str">
        <x:v>Service revenue price-volume-mix variance</x:v>
      </x:c>
      <x:c r="C30" s="28" t="str">
        <x:v>Q3 service recovery action register</x:v>
      </x:c>
      <x:c r="D30" s="28" t="str">
        <x:v>Remote monitoring retention desk</x:v>
      </x:c>
      <x:c r="E30" s="28" t="str">
        <x:v>Management review</x:v>
      </x:c>
      <x:c r="F30" s="28" t="str">
        <x:v>Management stretch</x:v>
      </x:c>
      <x:c r="G30" s="28" t="str">
        <x:v>Capacity units</x:v>
      </x:c>
      <x:c r="H30" s="31" t="n">
        <x:v>168</x:v>
      </x:c>
      <x:c r="I30" s="28" t="str"/>
      <x:c r="J30" s="28" t="str">
        <x:v>implementation hours</x:v>
      </x:c>
      <x:c r="K30" s="28" t="str">
        <x:v>Earlier management working export</x:v>
      </x:c>
      <x:c r="L30" s="34" t="str">
        <x:v>2026-06-24</x:v>
      </x:c>
      <x:c r="M30" s="28" t="str"/>
    </x:row>
    <x:row r="31">
      <x:c r="A31" s="37" t="str">
        <x:v>PLN-029X43</x:v>
      </x:c>
      <x:c r="B31" s="28" t="str">
        <x:v>Service revenue price-volume-mix variance</x:v>
      </x:c>
      <x:c r="C31" s="28" t="str">
        <x:v>Q3 service recovery action register</x:v>
      </x:c>
      <x:c r="D31" s="28" t="str">
        <x:v>Predictive field specialist</x:v>
      </x:c>
      <x:c r="E31" s="28" t="str">
        <x:v>2026-05 working copy</x:v>
      </x:c>
      <x:c r="F31" s="28" t="str">
        <x:v>Approved case</x:v>
      </x:c>
      <x:c r="G31" s="28" t="str">
        <x:v>Realization probability</x:v>
      </x:c>
      <x:c r="H31" s="31" t="n">
        <x:v>0.618</x:v>
      </x:c>
      <x:c r="I31" s="28" t="str"/>
      <x:c r="J31" s="28" t="str">
        <x:v>decimal ratio</x:v>
      </x:c>
      <x:c r="K31" s="28" t="str">
        <x:v>Earlier management working export</x:v>
      </x:c>
      <x:c r="L31" s="34" t="str">
        <x:v>2026-06-24</x:v>
      </x:c>
      <x:c r="M31" s="28" t="str"/>
    </x:row>
    <x:row r="32">
      <x:c r="A32" s="37" t="str">
        <x:v>PLN-029X44</x:v>
      </x:c>
      <x:c r="B32" s="28" t="str">
        <x:v>Service revenue price-volume-mix variance</x:v>
      </x:c>
      <x:c r="C32" s="28" t="str">
        <x:v>Q3 service recovery action register</x:v>
      </x:c>
      <x:c r="D32" s="28" t="str">
        <x:v>Predictive renewal outreach</x:v>
      </x:c>
      <x:c r="E32" s="28" t="str">
        <x:v>Management review</x:v>
      </x:c>
      <x:c r="F32" s="28" t="str">
        <x:v>Management stretch</x:v>
      </x:c>
      <x:c r="G32" s="28" t="str">
        <x:v>Gross financial effect</x:v>
      </x:c>
      <x:c r="H32" s="31" t="n">
        <x:v>405.6</x:v>
      </x:c>
      <x:c r="I32" s="28" t="str"/>
      <x:c r="J32" s="28" t="str">
        <x:v>USD thousands</x:v>
      </x:c>
      <x:c r="K32" s="28" t="str">
        <x:v>Earlier management working export</x:v>
      </x:c>
      <x:c r="L32" s="34" t="str">
        <x:v>2026-06-24</x:v>
      </x:c>
      <x:c r="M32" s="28" t="str"/>
    </x:row>
    <x:row r="33">
      <x:c r="A33" s="37" t="str">
        <x:v>PLN-029X45</x:v>
      </x:c>
      <x:c r="B33" s="28" t="str">
        <x:v>Service revenue price-volume-mix variance</x:v>
      </x:c>
      <x:c r="C33" s="28" t="str">
        <x:v>Q3 service recovery action register</x:v>
      </x:c>
      <x:c r="D33" s="28" t="str">
        <x:v>Remote monitoring retention desk</x:v>
      </x:c>
      <x:c r="E33" s="28" t="str">
        <x:v>2026-05 working copy</x:v>
      </x:c>
      <x:c r="F33" s="28" t="str">
        <x:v>Approved case</x:v>
      </x:c>
      <x:c r="G33" s="28" t="str">
        <x:v>Cash cost</x:v>
      </x:c>
      <x:c r="H33" s="31" t="n">
        <x:v>94500</x:v>
      </x:c>
      <x:c r="I33" s="28" t="str"/>
      <x:c r="J33" s="28" t="str">
        <x:v>USD</x:v>
      </x:c>
      <x:c r="K33" s="28" t="str">
        <x:v>Earlier management working export</x:v>
      </x:c>
      <x:c r="L33" s="34" t="str">
        <x:v>2026-06-24</x:v>
      </x:c>
      <x:c r="M33" s="28" t="str"/>
    </x:row>
    <x:row r="34">
      <x:c r="A34" s="37" t="str">
        <x:v>PLN-029X46</x:v>
      </x:c>
      <x:c r="B34" s="28" t="str">
        <x:v>Service revenue price-volume-mix variance</x:v>
      </x:c>
      <x:c r="C34" s="28" t="str">
        <x:v>Q3 service recovery action register</x:v>
      </x:c>
      <x:c r="D34" s="28" t="str">
        <x:v>Preventive route pricing rollout</x:v>
      </x:c>
      <x:c r="E34" s="28" t="str">
        <x:v>Management review</x:v>
      </x:c>
      <x:c r="F34" s="28" t="str">
        <x:v>Management stretch</x:v>
      </x:c>
      <x:c r="G34" s="28" t="str">
        <x:v>Capacity units</x:v>
      </x:c>
      <x:c r="H34" s="31" t="n">
        <x:v>339.90000000000003</x:v>
      </x:c>
      <x:c r="I34" s="28" t="str"/>
      <x:c r="J34" s="28" t="str">
        <x:v>implementation hours</x:v>
      </x:c>
      <x:c r="K34" s="28" t="str">
        <x:v>Earlier management working export</x:v>
      </x:c>
      <x:c r="L34" s="34" t="str">
        <x:v>2026-06-24</x:v>
      </x:c>
      <x:c r="M34" s="28" t="str"/>
    </x:row>
    <x:row r="35">
      <x:c r="A35" s="37" t="str">
        <x:v>PLN-029X95</x:v>
      </x:c>
      <x:c r="B35" s="28" t="str">
        <x:v>Service revenue price-volume-mix variance</x:v>
      </x:c>
      <x:c r="C35" s="28" t="str">
        <x:v>Q3 service recovery action register scenario controls</x:v>
      </x:c>
      <x:c r="D35" s="28" t="str">
        <x:v>Steering base</x:v>
      </x:c>
      <x:c r="E35" s="28" t="str">
        <x:v>2026-05 working copy</x:v>
      </x:c>
      <x:c r="F35" s="28" t="str">
        <x:v>Approved case</x:v>
      </x:c>
      <x:c r="G35" s="28" t="str">
        <x:v>Gross effect factor</x:v>
      </x:c>
      <x:c r="H35" s="31" t="n">
        <x:v>1.03</x:v>
      </x:c>
      <x:c r="I35" s="28" t="str"/>
      <x:c r="J35" s="28" t="str">
        <x:v>decimal ratio</x:v>
      </x:c>
      <x:c r="K35" s="28" t="str">
        <x:v>Earlier management working export</x:v>
      </x:c>
      <x:c r="L35" s="34" t="str">
        <x:v>2026-06-24</x:v>
      </x:c>
      <x:c r="M35" s="28" t="str"/>
    </x:row>
    <x:row r="36">
      <x:c r="A36" s="37" t="str">
        <x:v>PLN-029X96</x:v>
      </x:c>
      <x:c r="B36" s="28" t="str">
        <x:v>Service revenue price-volume-mix variance</x:v>
      </x:c>
      <x:c r="C36" s="28" t="str">
        <x:v>Q3 service recovery action register scenario controls</x:v>
      </x:c>
      <x:c r="D36" s="28" t="str">
        <x:v>SLA escalation</x:v>
      </x:c>
      <x:c r="E36" s="28" t="str">
        <x:v>Management review</x:v>
      </x:c>
      <x:c r="F36" s="28" t="str">
        <x:v>Management stretch</x:v>
      </x:c>
      <x:c r="G36" s="28" t="str">
        <x:v>Gross effect factor</x:v>
      </x:c>
      <x:c r="H36" s="31" t="n">
        <x:v>0.8944</x:v>
      </x:c>
      <x:c r="I36" s="28" t="str"/>
      <x:c r="J36" s="28" t="str">
        <x:v>decimal ratio</x:v>
      </x:c>
      <x:c r="K36" s="28" t="str">
        <x:v>Earlier management working export</x:v>
      </x:c>
      <x:c r="L36" s="34" t="str">
        <x:v>2026-06-24</x:v>
      </x:c>
      <x:c r="M36" s="28" t="str"/>
    </x:row>
    <x:row r="37">
      <x:c r="A37" s="37" t="str">
        <x:v>PLN-029X97</x:v>
      </x:c>
      <x:c r="B37" s="28" t="str">
        <x:v>Service revenue price-volume-mix variance</x:v>
      </x:c>
      <x:c r="C37" s="28" t="str">
        <x:v>Q3 service recovery action register scenario controls</x:v>
      </x:c>
      <x:c r="D37" s="28" t="str">
        <x:v>Field capacity squeeze</x:v>
      </x:c>
      <x:c r="E37" s="28" t="str">
        <x:v>2026-05 working copy</x:v>
      </x:c>
      <x:c r="F37" s="28" t="str">
        <x:v>Approved case</x:v>
      </x:c>
      <x:c r="G37" s="28" t="str">
        <x:v>Gross effect factor</x:v>
      </x:c>
      <x:c r="H37" s="31" t="n">
        <x:v>0.987</x:v>
      </x:c>
      <x:c r="I37" s="28" t="str"/>
      <x:c r="J37" s="28" t="str">
        <x:v>decimal ratio</x:v>
      </x:c>
      <x:c r="K37" s="28" t="str">
        <x:v>Earlier management working export</x:v>
      </x:c>
      <x:c r="L37" s="34" t="str">
        <x:v>2026-06-24</x:v>
      </x:c>
      <x:c r="M37" s="28" t="str"/>
    </x:row>
    <x:row r="38">
      <x:c r="A38" s="37" t="str">
        <x:v>PLN-029X98</x:v>
      </x:c>
      <x:c r="B38" s="28" t="str">
        <x:v>Service revenue price-volume-mix variance</x:v>
      </x:c>
      <x:c r="C38" s="28" t="str">
        <x:v>Q3 service recovery action register scenario controls</x:v>
      </x:c>
      <x:c r="D38" s="28" t="str">
        <x:v>Price realization reversal</x:v>
      </x:c>
      <x:c r="E38" s="28" t="str">
        <x:v>Management review</x:v>
      </x:c>
      <x:c r="F38" s="28" t="str">
        <x:v>Management stretch</x:v>
      </x:c>
      <x:c r="G38" s="28" t="str">
        <x:v>Gross effect factor</x:v>
      </x:c>
      <x:c r="H38" s="31" t="n">
        <x:v>0.8034</x:v>
      </x:c>
      <x:c r="I38" s="28" t="str"/>
      <x:c r="J38" s="28" t="str">
        <x:v>decimal ratio</x:v>
      </x:c>
      <x:c r="K38" s="28" t="str">
        <x:v>Earlier management working export</x:v>
      </x:c>
      <x:c r="L38" s="34" t="str">
        <x:v>2026-06-24</x:v>
      </x:c>
      <x:c r="M38" s="28" t="str"/>
    </x:row>
    <x:row r="39">
      <x:c r="A39" s="37" t="str">
        <x:v>PLN-029X99</x:v>
      </x:c>
      <x:c r="B39" s="28" t="str">
        <x:v>Service revenue price-volume-mix variance</x:v>
      </x:c>
      <x:c r="C39" s="28" t="str">
        <x:v>Q3 service recovery action register scenario controls</x:v>
      </x:c>
      <x:c r="D39" s="28" t="str">
        <x:v>Renewal volume shock</x:v>
      </x:c>
      <x:c r="E39" s="28" t="str">
        <x:v>2026-05 working copy</x:v>
      </x:c>
      <x:c r="F39" s="28" t="str">
        <x:v>Approved case</x:v>
      </x:c>
      <x:c r="G39" s="28" t="str">
        <x:v>Gross effect factor</x:v>
      </x:c>
      <x:c r="H39" s="31" t="n">
        <x:v>0.6448</x:v>
      </x:c>
      <x:c r="I39" s="28" t="str"/>
      <x:c r="J39" s="28" t="str">
        <x:v>decimal ratio</x:v>
      </x:c>
      <x:c r="K39" s="28" t="str">
        <x:v>Earlier management working export</x:v>
      </x:c>
      <x:c r="L39" s="34" t="str">
        <x:v>2026-06-24</x:v>
      </x:c>
      <x:c r="M39" s="28" t="str"/>
    </x:row>
    <x:row r="40">
      <x:c r="A40" s="37" t="str">
        <x:v>PLN-029X100</x:v>
      </x:c>
      <x:c r="B40" s="28" t="str">
        <x:v>Service revenue price-volume-mix variance</x:v>
      </x:c>
      <x:c r="C40" s="28" t="str">
        <x:v>Q3 service recovery action register scenario controls</x:v>
      </x:c>
      <x:c r="D40" s="28" t="str">
        <x:v>Combined service downside</x:v>
      </x:c>
      <x:c r="E40" s="28" t="str">
        <x:v>Management review</x:v>
      </x:c>
      <x:c r="F40" s="28" t="str">
        <x:v>Management stretch</x:v>
      </x:c>
      <x:c r="G40" s="28" t="str">
        <x:v>Gross effect factor</x:v>
      </x:c>
      <x:c r="H40" s="31" t="n">
        <x:v>0.735</x:v>
      </x:c>
      <x:c r="I40" s="28" t="str"/>
      <x:c r="J40" s="28" t="str">
        <x:v>decimal ratio</x:v>
      </x:c>
      <x:c r="K40" s="28" t="str">
        <x:v>Earlier management working export</x:v>
      </x:c>
      <x:c r="L40" s="34" t="str">
        <x:v>2026-06-24</x:v>
      </x:c>
      <x:c r="M40" s="28" t="str"/>
    </x:row>
    <x:row r="41">
      <x:c r="A41" s="37" t="str">
        <x:v>PLN-029X101</x:v>
      </x:c>
      <x:c r="B41" s="28" t="str">
        <x:v>Service revenue price-volume-mix variance</x:v>
      </x:c>
      <x:c r="C41" s="28" t="str">
        <x:v>Q3 service recovery action register scenario controls</x:v>
      </x:c>
      <x:c r="D41" s="28" t="str">
        <x:v>Steering base</x:v>
      </x:c>
      <x:c r="E41" s="28" t="str">
        <x:v>2026-05 working copy</x:v>
      </x:c>
      <x:c r="F41" s="28" t="str">
        <x:v>Approved case</x:v>
      </x:c>
      <x:c r="G41" s="28" t="str">
        <x:v>Gross effect factor</x:v>
      </x:c>
      <x:c r="H41" s="31" t="n">
        <x:v>1.03</x:v>
      </x:c>
      <x:c r="I41" s="28" t="str"/>
      <x:c r="J41" s="28" t="str">
        <x:v>decimal ratio</x:v>
      </x:c>
      <x:c r="K41" s="28" t="str">
        <x:v>Earlier management working export</x:v>
      </x:c>
      <x:c r="L41" s="34" t="str">
        <x:v>2026-06-24</x:v>
      </x:c>
      <x:c r="M41" s="28" t="str"/>
    </x:row>
    <x:row r="42">
      <x:c r="A42" s="37" t="str">
        <x:v>PLN-029X102</x:v>
      </x:c>
      <x:c r="B42" s="28" t="str">
        <x:v>Service revenue price-volume-mix variance</x:v>
      </x:c>
      <x:c r="C42" s="28" t="str">
        <x:v>Q3 service recovery action register scenario controls</x:v>
      </x:c>
      <x:c r="D42" s="28" t="str">
        <x:v>SLA escalation</x:v>
      </x:c>
      <x:c r="E42" s="28" t="str">
        <x:v>Management review</x:v>
      </x:c>
      <x:c r="F42" s="28" t="str">
        <x:v>Management stretch</x:v>
      </x:c>
      <x:c r="G42" s="28" t="str">
        <x:v>Gross effect factor</x:v>
      </x:c>
      <x:c r="H42" s="31" t="n">
        <x:v>0.8944</x:v>
      </x:c>
      <x:c r="I42" s="28" t="str"/>
      <x:c r="J42" s="28" t="str">
        <x:v>decimal ratio</x:v>
      </x:c>
      <x:c r="K42" s="28" t="str">
        <x:v>Earlier management working export</x:v>
      </x:c>
      <x:c r="L42" s="34" t="str">
        <x:v>2026-06-24</x:v>
      </x:c>
      <x:c r="M42" s="28" t="str"/>
    </x:row>
    <x:row r="43">
      <x:c r="A43" s="37" t="str">
        <x:v>PLN-029X111</x:v>
      </x:c>
      <x:c r="B43" s="28" t="str">
        <x:v>Service revenue price-volume-mix variance</x:v>
      </x:c>
      <x:c r="C43" s="28" t="str">
        <x:v>Q3 service recovery action register execution sequencing</x:v>
      </x:c>
      <x:c r="D43" s="28" t="str">
        <x:v>Q1</x:v>
      </x:c>
      <x:c r="E43" s="28" t="str">
        <x:v>2026-05 working copy</x:v>
      </x:c>
      <x:c r="F43" s="28" t="str">
        <x:v>Approved case</x:v>
      </x:c>
      <x:c r="G43" s="28" t="str">
        <x:v>Cash budget</x:v>
      </x:c>
      <x:c r="H43" s="31" t="n">
        <x:v>267800</x:v>
      </x:c>
      <x:c r="I43" s="28" t="str"/>
      <x:c r="J43" s="28" t="str">
        <x:v>USD</x:v>
      </x:c>
      <x:c r="K43" s="28" t="str">
        <x:v>Earlier management working export</x:v>
      </x:c>
      <x:c r="L43" s="34" t="str">
        <x:v>2026-06-24</x:v>
      </x:c>
      <x:c r="M43" s="28" t="str"/>
    </x:row>
    <x:row r="44">
      <x:c r="A44" s="37" t="str">
        <x:v>PLN-029X112</x:v>
      </x:c>
      <x:c r="B44" s="28" t="str">
        <x:v>Service revenue price-volume-mix variance</x:v>
      </x:c>
      <x:c r="C44" s="28" t="str">
        <x:v>Q3 service recovery action register execution sequencing</x:v>
      </x:c>
      <x:c r="D44" s="28" t="str">
        <x:v>Q2</x:v>
      </x:c>
      <x:c r="E44" s="28" t="str">
        <x:v>Management review</x:v>
      </x:c>
      <x:c r="F44" s="28" t="str">
        <x:v>Management stretch</x:v>
      </x:c>
      <x:c r="G44" s="28" t="str">
        <x:v>Minimum expected net effect</x:v>
      </x:c>
      <x:c r="H44" s="31" t="n">
        <x:v>130000</x:v>
      </x:c>
      <x:c r="I44" s="28" t="str"/>
      <x:c r="J44" s="28" t="str">
        <x:v>USD</x:v>
      </x:c>
      <x:c r="K44" s="28" t="str">
        <x:v>Earlier management working export</x:v>
      </x:c>
      <x:c r="L44" s="34" t="str">
        <x:v>2026-06-24</x:v>
      </x:c>
      <x:c r="M44" s="28" t="str"/>
    </x:row>
    <x:row r="45">
      <x:c r="A45" s="37" t="str">
        <x:v>PLN-029X113</x:v>
      </x:c>
      <x:c r="B45" s="28" t="str">
        <x:v>Service revenue price-volume-mix variance</x:v>
      </x:c>
      <x:c r="C45" s="28" t="str">
        <x:v>Q3 service recovery action register execution sequencing</x:v>
      </x:c>
      <x:c r="D45" s="28" t="str">
        <x:v>Q2</x:v>
      </x:c>
      <x:c r="E45" s="28" t="str">
        <x:v>2026-05 working copy</x:v>
      </x:c>
      <x:c r="F45" s="28" t="str">
        <x:v>Approved case</x:v>
      </x:c>
      <x:c r="G45" s="28" t="str">
        <x:v>Maximum action starts</x:v>
      </x:c>
      <x:c r="H45" s="31" t="n">
        <x:v>2.1</x:v>
      </x:c>
      <x:c r="I45" s="28" t="str"/>
      <x:c r="J45" s="28" t="str">
        <x:v>count</x:v>
      </x:c>
      <x:c r="K45" s="28" t="str">
        <x:v>Earlier management working export</x:v>
      </x:c>
      <x:c r="L45" s="34" t="str">
        <x:v>2026-06-24</x:v>
      </x:c>
      <x:c r="M45" s="28" t="str"/>
    </x:row>
    <x:row r="46">
      <x:c r="A46" s="37" t="str">
        <x:v>PLN-029X114</x:v>
      </x:c>
      <x:c r="B46" s="28" t="str">
        <x:v>Service revenue price-volume-mix variance</x:v>
      </x:c>
      <x:c r="C46" s="28" t="str">
        <x:v>Q3 service recovery action register execution sequencing</x:v>
      </x:c>
      <x:c r="D46" s="28" t="str">
        <x:v>Q2</x:v>
      </x:c>
      <x:c r="E46" s="28" t="str">
        <x:v>Management review</x:v>
      </x:c>
      <x:c r="F46" s="28" t="str">
        <x:v>Management stretch</x:v>
      </x:c>
      <x:c r="G46" s="28" t="str">
        <x:v>Capacity limit</x:v>
      </x:c>
      <x:c r="H46" s="31" t="n">
        <x:v>515</x:v>
      </x:c>
      <x:c r="I46" s="28" t="str"/>
      <x:c r="J46" s="28" t="str">
        <x:v>implementation hours</x:v>
      </x:c>
      <x:c r="K46" s="28" t="str">
        <x:v>Earlier management working export</x:v>
      </x:c>
      <x:c r="L46" s="34" t="str">
        <x:v>2026-06-24</x:v>
      </x:c>
      <x:c r="M46" s="28" t="str"/>
    </x:row>
    <x:row r="47">
      <x:c r="A47" s="37" t="str">
        <x:v>PLN-029X115</x:v>
      </x:c>
      <x:c r="B47" s="28" t="str">
        <x:v>Service revenue price-volume-mix variance</x:v>
      </x:c>
      <x:c r="C47" s="28" t="str">
        <x:v>Q3 service recovery action register execution sequencing</x:v>
      </x:c>
      <x:c r="D47" s="28" t="str">
        <x:v>Q2</x:v>
      </x:c>
      <x:c r="E47" s="28" t="str">
        <x:v>2026-05 working copy</x:v>
      </x:c>
      <x:c r="F47" s="28" t="str">
        <x:v>Approved case</x:v>
      </x:c>
      <x:c r="G47" s="28" t="str">
        <x:v>Cash budget</x:v>
      </x:c>
      <x:c r="H47" s="31" t="n">
        <x:v>312000</x:v>
      </x:c>
      <x:c r="I47" s="28" t="str"/>
      <x:c r="J47" s="28" t="str">
        <x:v>USD</x:v>
      </x:c>
      <x:c r="K47" s="28" t="str">
        <x:v>Earlier management working export</x:v>
      </x:c>
      <x:c r="L47" s="34" t="str">
        <x:v>2026-06-24</x:v>
      </x:c>
      <x:c r="M47" s="28" t="str"/>
    </x:row>
    <x:row r="48">
      <x:c r="A48" s="37" t="str">
        <x:v>PLN-029X116</x:v>
      </x:c>
      <x:c r="B48" s="28" t="str">
        <x:v>Service revenue price-volume-mix variance</x:v>
      </x:c>
      <x:c r="C48" s="28" t="str">
        <x:v>Q3 service recovery action register execution sequencing</x:v>
      </x:c>
      <x:c r="D48" s="28" t="str">
        <x:v>Q1</x:v>
      </x:c>
      <x:c r="E48" s="28" t="str">
        <x:v>Management review</x:v>
      </x:c>
      <x:c r="F48" s="28" t="str">
        <x:v>Management stretch</x:v>
      </x:c>
      <x:c r="G48" s="28" t="str">
        <x:v>Minimum expected net effect</x:v>
      </x:c>
      <x:c r="H48" s="31" t="n">
        <x:v>210000</x:v>
      </x:c>
      <x:c r="I48" s="28" t="str"/>
      <x:c r="J48" s="28" t="str">
        <x:v>USD</x:v>
      </x:c>
      <x:c r="K48" s="28" t="str">
        <x:v>Earlier management working export</x:v>
      </x:c>
      <x:c r="L48" s="34" t="str">
        <x:v>2026-06-24</x:v>
      </x:c>
      <x:c r="M48" s="28" t="str"/>
    </x:row>
    <x:row r="49">
      <x:c r="A49" s="37" t="str">
        <x:v>PLN-00658</x:v>
      </x:c>
      <x:c r="B49" s="28" t="str">
        <x:v>Service-contract cohort renewal forecast</x:v>
      </x:c>
      <x:c r="C49" s="28" t="str">
        <x:v>FY27 renewal assumptions</x:v>
      </x:c>
      <x:c r="D49" s="28" t="str">
        <x:v>C-2019</x:v>
      </x:c>
      <x:c r="E49" s="28" t="str">
        <x:v>2026-05 working copy</x:v>
      </x:c>
      <x:c r="F49" s="28" t="str">
        <x:v>Approved case</x:v>
      </x:c>
      <x:c r="G49" s="28" t="str">
        <x:v>Gross renewal probability</x:v>
      </x:c>
      <x:c r="H49" s="31" t="n">
        <x:v>0.927</x:v>
      </x:c>
      <x:c r="I49" s="28" t="str"/>
      <x:c r="J49" s="28" t="str">
        <x:v>decimal ratio</x:v>
      </x:c>
      <x:c r="K49" s="28" t="str">
        <x:v>Earlier management working export</x:v>
      </x:c>
      <x:c r="L49" s="34" t="str">
        <x:v>2026-06-24</x:v>
      </x:c>
      <x:c r="M49" s="28" t="str"/>
    </x:row>
    <x:row r="50">
      <x:c r="A50" s="37" t="str">
        <x:v>PLN-00659</x:v>
      </x:c>
      <x:c r="B50" s="28" t="str">
        <x:v>Service-contract cohort renewal forecast</x:v>
      </x:c>
      <x:c r="C50" s="28" t="str">
        <x:v>FY27 renewal assumptions</x:v>
      </x:c>
      <x:c r="D50" s="28" t="str">
        <x:v>C-2020</x:v>
      </x:c>
      <x:c r="E50" s="28" t="str">
        <x:v>FY27</x:v>
      </x:c>
      <x:c r="F50" s="28" t="str">
        <x:v>Management stretch</x:v>
      </x:c>
      <x:c r="G50" s="28" t="str">
        <x:v>Signed expansion ARR</x:v>
      </x:c>
      <x:c r="H50" s="31" t="n">
        <x:v>187200</x:v>
      </x:c>
      <x:c r="I50" s="28" t="str"/>
      <x:c r="J50" s="28" t="str">
        <x:v>USD</x:v>
      </x:c>
      <x:c r="K50" s="28" t="str">
        <x:v>Earlier management working export</x:v>
      </x:c>
      <x:c r="L50" s="34" t="str">
        <x:v>2026-06-24</x:v>
      </x:c>
      <x:c r="M50" s="28" t="str"/>
    </x:row>
    <x:row r="51">
      <x:c r="A51" s="37" t="str">
        <x:v>PLN-00660</x:v>
      </x:c>
      <x:c r="B51" s="28" t="str">
        <x:v>Service-contract cohort renewal forecast</x:v>
      </x:c>
      <x:c r="C51" s="28" t="str">
        <x:v>FY27 renewal assumptions</x:v>
      </x:c>
      <x:c r="D51" s="28" t="str">
        <x:v>C-2022</x:v>
      </x:c>
      <x:c r="E51" s="28" t="str">
        <x:v>2026-05 working copy</x:v>
      </x:c>
      <x:c r="F51" s="28" t="str">
        <x:v>Approved case</x:v>
      </x:c>
      <x:c r="G51" s="28" t="str">
        <x:v>Expected downsell after renewal</x:v>
      </x:c>
      <x:c r="H51" s="31" t="n">
        <x:v>0</x:v>
      </x:c>
      <x:c r="I51" s="28" t="str"/>
      <x:c r="J51" s="28" t="str">
        <x:v>decimal ratio</x:v>
      </x:c>
      <x:c r="K51" s="28" t="str">
        <x:v>Earlier management working export</x:v>
      </x:c>
      <x:c r="L51" s="34" t="str">
        <x:v>2026-06-24</x:v>
      </x:c>
      <x:c r="M51" s="28" t="str"/>
    </x:row>
    <x:row r="52">
      <x:c r="A52" s="37" t="str">
        <x:v>PLN-00661</x:v>
      </x:c>
      <x:c r="B52" s="28" t="str">
        <x:v>Service-contract cohort renewal forecast</x:v>
      </x:c>
      <x:c r="C52" s="28" t="str">
        <x:v>FY27 renewal assumptions</x:v>
      </x:c>
      <x:c r="D52" s="28" t="str">
        <x:v>C-2024</x:v>
      </x:c>
      <x:c r="E52" s="28" t="str">
        <x:v>FY27</x:v>
      </x:c>
      <x:c r="F52" s="28" t="str">
        <x:v>Management stretch</x:v>
      </x:c>
      <x:c r="G52" s="28" t="str">
        <x:v>Contractual price escalation</x:v>
      </x:c>
      <x:c r="H52" s="31" t="n">
        <x:v>0.036050000000000006</x:v>
      </x:c>
      <x:c r="I52" s="28" t="str"/>
      <x:c r="J52" s="28" t="str">
        <x:v>decimal ratio</x:v>
      </x:c>
      <x:c r="K52" s="28" t="str">
        <x:v>Earlier management working export</x:v>
      </x:c>
      <x:c r="L52" s="34" t="str">
        <x:v>2026-06-24</x:v>
      </x:c>
      <x:c r="M52" s="28" t="str"/>
    </x:row>
    <x:row r="53">
      <x:c r="A53" s="37" t="str">
        <x:v>PLN-00662</x:v>
      </x:c>
      <x:c r="B53" s="28" t="str">
        <x:v>Service-contract cohort renewal forecast</x:v>
      </x:c>
      <x:c r="C53" s="28" t="str">
        <x:v>FY27 renewal assumptions</x:v>
      </x:c>
      <x:c r="D53" s="28" t="str">
        <x:v>C-2019</x:v>
      </x:c>
      <x:c r="E53" s="28" t="str">
        <x:v>2026-05 working copy</x:v>
      </x:c>
      <x:c r="F53" s="28" t="str">
        <x:v>Approved case</x:v>
      </x:c>
      <x:c r="G53" s="28" t="str">
        <x:v>Gross renewal probability</x:v>
      </x:c>
      <x:c r="H53" s="31" t="n">
        <x:v>0.936</x:v>
      </x:c>
      <x:c r="I53" s="28" t="str"/>
      <x:c r="J53" s="28" t="str">
        <x:v>decimal ratio</x:v>
      </x:c>
      <x:c r="K53" s="28" t="str">
        <x:v>Earlier management working export</x:v>
      </x:c>
      <x:c r="L53" s="34" t="str">
        <x:v>2026-06-24</x:v>
      </x:c>
      <x:c r="M53" s="28" t="str"/>
    </x:row>
    <x:row r="54">
      <x:c r="A54" s="37" t="str">
        <x:v>PLN-00663</x:v>
      </x:c>
      <x:c r="B54" s="28" t="str">
        <x:v>Service-contract cohort renewal forecast</x:v>
      </x:c>
      <x:c r="C54" s="28" t="str">
        <x:v>FY27 renewal assumptions</x:v>
      </x:c>
      <x:c r="D54" s="28" t="str">
        <x:v>C-2020</x:v>
      </x:c>
      <x:c r="E54" s="28" t="str">
        <x:v>FY27</x:v>
      </x:c>
      <x:c r="F54" s="28" t="str">
        <x:v>Management stretch</x:v>
      </x:c>
      <x:c r="G54" s="28" t="str">
        <x:v>Signed expansion ARR</x:v>
      </x:c>
      <x:c r="H54" s="31" t="n">
        <x:v>189000</x:v>
      </x:c>
      <x:c r="I54" s="28" t="str"/>
      <x:c r="J54" s="28" t="str">
        <x:v>USD</x:v>
      </x:c>
      <x:c r="K54" s="28" t="str">
        <x:v>Earlier management working export</x:v>
      </x:c>
      <x:c r="L54" s="34" t="str">
        <x:v>2026-06-24</x:v>
      </x:c>
      <x:c r="M54" s="28" t="str"/>
    </x:row>
    <x:row r="55">
      <x:c r="A55" s="37" t="str">
        <x:v>PLN-00664</x:v>
      </x:c>
      <x:c r="B55" s="28" t="str">
        <x:v>Service-contract cohort renewal forecast</x:v>
      </x:c>
      <x:c r="C55" s="28" t="str">
        <x:v>FY27 renewal assumptions</x:v>
      </x:c>
      <x:c r="D55" s="28" t="str">
        <x:v>C-2022</x:v>
      </x:c>
      <x:c r="E55" s="28" t="str">
        <x:v>2026-05 working copy</x:v>
      </x:c>
      <x:c r="F55" s="28" t="str">
        <x:v>Approved case</x:v>
      </x:c>
      <x:c r="G55" s="28" t="str">
        <x:v>Expected downsell after renewal</x:v>
      </x:c>
      <x:c r="H55" s="31" t="n">
        <x:v>0</x:v>
      </x:c>
      <x:c r="I55" s="28" t="str"/>
      <x:c r="J55" s="28" t="str">
        <x:v>decimal ratio</x:v>
      </x:c>
      <x:c r="K55" s="28" t="str">
        <x:v>Earlier management working export</x:v>
      </x:c>
      <x:c r="L55" s="34" t="str">
        <x:v>2026-06-24</x:v>
      </x:c>
      <x:c r="M55" s="28" t="str"/>
    </x:row>
    <x:row r="56">
      <x:c r="A56" s="37" t="str">
        <x:v>PLN-00665</x:v>
      </x:c>
      <x:c r="B56" s="28" t="str">
        <x:v>Service-contract cohort renewal forecast</x:v>
      </x:c>
      <x:c r="C56" s="28" t="str">
        <x:v>FY27 renewal assumptions</x:v>
      </x:c>
      <x:c r="D56" s="28" t="str">
        <x:v>C-2024</x:v>
      </x:c>
      <x:c r="E56" s="28" t="str">
        <x:v>FY27</x:v>
      </x:c>
      <x:c r="F56" s="28" t="str">
        <x:v>Management stretch</x:v>
      </x:c>
      <x:c r="G56" s="28" t="str">
        <x:v>Contractual price escalation</x:v>
      </x:c>
      <x:c r="H56" s="31" t="n">
        <x:v>0.0364</x:v>
      </x:c>
      <x:c r="I56" s="28" t="str"/>
      <x:c r="J56" s="28" t="str">
        <x:v>decimal ratio</x:v>
      </x:c>
      <x:c r="K56" s="28" t="str">
        <x:v>Earlier management working export</x:v>
      </x:c>
      <x:c r="L56" s="34" t="str">
        <x:v>2026-06-24</x:v>
      </x:c>
      <x:c r="M56" s="28" t="str"/>
    </x:row>
    <x:row r="57">
      <x:c r="A57" s="37" t="str">
        <x:v>PLN-00666</x:v>
      </x:c>
      <x:c r="B57" s="28" t="str">
        <x:v>Service-contract cohort renewal forecast</x:v>
      </x:c>
      <x:c r="C57" s="28" t="str">
        <x:v>FY27 renewal assumptions</x:v>
      </x:c>
      <x:c r="D57" s="28" t="str">
        <x:v>C-2019</x:v>
      </x:c>
      <x:c r="E57" s="28" t="str">
        <x:v>2026-05 working copy</x:v>
      </x:c>
      <x:c r="F57" s="28" t="str">
        <x:v>Approved case</x:v>
      </x:c>
      <x:c r="G57" s="28" t="str">
        <x:v>Gross renewal probability</x:v>
      </x:c>
      <x:c r="H57" s="31" t="n">
        <x:v>0.9450000000000001</x:v>
      </x:c>
      <x:c r="I57" s="28" t="str"/>
      <x:c r="J57" s="28" t="str">
        <x:v>decimal ratio</x:v>
      </x:c>
      <x:c r="K57" s="28" t="str">
        <x:v>Earlier management working export</x:v>
      </x:c>
      <x:c r="L57" s="34" t="str">
        <x:v>2026-06-24</x:v>
      </x:c>
      <x:c r="M57" s="28" t="str"/>
    </x:row>
    <x:row r="58">
      <x:c r="A58" s="37" t="str">
        <x:v>PLN-00667</x:v>
      </x:c>
      <x:c r="B58" s="28" t="str">
        <x:v>Service-contract cohort renewal forecast</x:v>
      </x:c>
      <x:c r="C58" s="28" t="str">
        <x:v>FY27 renewal assumptions</x:v>
      </x:c>
      <x:c r="D58" s="28" t="str">
        <x:v>C-2020</x:v>
      </x:c>
      <x:c r="E58" s="28" t="str">
        <x:v>FY27</x:v>
      </x:c>
      <x:c r="F58" s="28" t="str">
        <x:v>Management stretch</x:v>
      </x:c>
      <x:c r="G58" s="28" t="str">
        <x:v>Signed expansion ARR</x:v>
      </x:c>
      <x:c r="H58" s="31" t="n">
        <x:v>185400</x:v>
      </x:c>
      <x:c r="I58" s="28" t="str"/>
      <x:c r="J58" s="28" t="str">
        <x:v>USD</x:v>
      </x:c>
      <x:c r="K58" s="28" t="str">
        <x:v>Earlier management working export</x:v>
      </x:c>
      <x:c r="L58" s="34" t="str">
        <x:v>2026-06-24</x:v>
      </x:c>
      <x:c r="M58" s="28" t="str"/>
    </x:row>
    <x:row r="59">
      <x:c r="A59" s="37" t="str">
        <x:v>PLN-00668</x:v>
      </x:c>
      <x:c r="B59" s="28" t="str">
        <x:v>Service-contract cohort renewal forecast</x:v>
      </x:c>
      <x:c r="C59" s="28" t="str">
        <x:v>FY27 renewal assumptions</x:v>
      </x:c>
      <x:c r="D59" s="28" t="str">
        <x:v>C-2022</x:v>
      </x:c>
      <x:c r="E59" s="28" t="str">
        <x:v>2026-05 working copy</x:v>
      </x:c>
      <x:c r="F59" s="28" t="str">
        <x:v>Approved case</x:v>
      </x:c>
      <x:c r="G59" s="28" t="str">
        <x:v>Expected downsell after renewal</x:v>
      </x:c>
      <x:c r="H59" s="31" t="n">
        <x:v>0</x:v>
      </x:c>
      <x:c r="I59" s="28" t="str"/>
      <x:c r="J59" s="28" t="str">
        <x:v>decimal ratio</x:v>
      </x:c>
      <x:c r="K59" s="28" t="str">
        <x:v>Earlier management working export</x:v>
      </x:c>
      <x:c r="L59" s="34" t="str">
        <x:v>2026-06-24</x:v>
      </x:c>
      <x:c r="M59" s="28" t="str"/>
    </x:row>
    <x:row r="60">
      <x:c r="A60" s="37" t="str">
        <x:v>PLN-00669</x:v>
      </x:c>
      <x:c r="B60" s="28" t="str">
        <x:v>Service-contract cohort renewal forecast</x:v>
      </x:c>
      <x:c r="C60" s="28" t="str">
        <x:v>FY27 renewal assumptions</x:v>
      </x:c>
      <x:c r="D60" s="28" t="str">
        <x:v>C-2024</x:v>
      </x:c>
      <x:c r="E60" s="28" t="str">
        <x:v>FY27</x:v>
      </x:c>
      <x:c r="F60" s="28" t="str">
        <x:v>Management stretch</x:v>
      </x:c>
      <x:c r="G60" s="28" t="str">
        <x:v>Contractual price escalation</x:v>
      </x:c>
      <x:c r="H60" s="31" t="n">
        <x:v>0.036750000000000005</x:v>
      </x:c>
      <x:c r="I60" s="28" t="str"/>
      <x:c r="J60" s="28" t="str">
        <x:v>decimal ratio</x:v>
      </x:c>
      <x:c r="K60" s="28" t="str">
        <x:v>Earlier management working export</x:v>
      </x:c>
      <x:c r="L60" s="34" t="str">
        <x:v>2026-06-24</x:v>
      </x:c>
      <x:c r="M60" s="28" t="str"/>
    </x:row>
    <x:row r="61">
      <x:c r="A61" s="37" t="str">
        <x:v>PLN-034X37</x:v>
      </x:c>
      <x:c r="B61" s="28" t="str">
        <x:v>Service-contract cohort renewal forecast</x:v>
      </x:c>
      <x:c r="C61" s="28" t="str">
        <x:v>FY27 cohort retention action register</x:v>
      </x:c>
      <x:c r="D61" s="28" t="str">
        <x:v>Healthcare renewal desk</x:v>
      </x:c>
      <x:c r="E61" s="28" t="str">
        <x:v>2026-05 working copy</x:v>
      </x:c>
      <x:c r="F61" s="28" t="str">
        <x:v>Approved case</x:v>
      </x:c>
      <x:c r="G61" s="28" t="str">
        <x:v>Cash cost</x:v>
      </x:c>
      <x:c r="H61" s="31" t="n">
        <x:v>128750</x:v>
      </x:c>
      <x:c r="I61" s="28" t="str"/>
      <x:c r="J61" s="28" t="str">
        <x:v>USD</x:v>
      </x:c>
      <x:c r="K61" s="28" t="str">
        <x:v>Earlier management working export</x:v>
      </x:c>
      <x:c r="L61" s="34" t="str">
        <x:v>2026-06-24</x:v>
      </x:c>
      <x:c r="M61" s="28" t="str"/>
    </x:row>
    <x:row r="62">
      <x:c r="A62" s="37" t="str">
        <x:v>PLN-034X38</x:v>
      </x:c>
      <x:c r="B62" s="28" t="str">
        <x:v>Service-contract cohort renewal forecast</x:v>
      </x:c>
      <x:c r="C62" s="28" t="str">
        <x:v>FY27 cohort retention action register</x:v>
      </x:c>
      <x:c r="D62" s="28" t="str">
        <x:v>Education escalation review</x:v>
      </x:c>
      <x:c r="E62" s="28" t="str">
        <x:v>Management review</x:v>
      </x:c>
      <x:c r="F62" s="28" t="str">
        <x:v>Management stretch</x:v>
      </x:c>
      <x:c r="G62" s="28" t="str">
        <x:v>Capacity units</x:v>
      </x:c>
      <x:c r="H62" s="31" t="n">
        <x:v>228.8</x:v>
      </x:c>
      <x:c r="I62" s="28" t="str"/>
      <x:c r="J62" s="28" t="str">
        <x:v>customer-success hours</x:v>
      </x:c>
      <x:c r="K62" s="28" t="str">
        <x:v>Earlier management working export</x:v>
      </x:c>
      <x:c r="L62" s="34" t="str">
        <x:v>2026-06-24</x:v>
      </x:c>
      <x:c r="M62" s="28" t="str"/>
    </x:row>
    <x:row r="63">
      <x:c r="A63" s="37" t="str">
        <x:v>PLN-034X39</x:v>
      </x:c>
      <x:c r="B63" s="28" t="str">
        <x:v>Service-contract cohort renewal forecast</x:v>
      </x:c>
      <x:c r="C63" s="28" t="str">
        <x:v>FY27 cohort retention action register</x:v>
      </x:c>
      <x:c r="D63" s="28" t="str">
        <x:v>Remote-monitoring expansion</x:v>
      </x:c>
      <x:c r="E63" s="28" t="str">
        <x:v>2026-05 working copy</x:v>
      </x:c>
      <x:c r="F63" s="28" t="str">
        <x:v>Approved case</x:v>
      </x:c>
      <x:c r="G63" s="28" t="str">
        <x:v>Realization probability</x:v>
      </x:c>
      <x:c r="H63" s="31" t="n">
        <x:v>0.672</x:v>
      </x:c>
      <x:c r="I63" s="28" t="str"/>
      <x:c r="J63" s="28" t="str">
        <x:v>decimal ratio</x:v>
      </x:c>
      <x:c r="K63" s="28" t="str">
        <x:v>Earlier management working export</x:v>
      </x:c>
      <x:c r="L63" s="34" t="str">
        <x:v>2026-06-24</x:v>
      </x:c>
      <x:c r="M63" s="28" t="str"/>
    </x:row>
    <x:row r="64">
      <x:c r="A64" s="37" t="str">
        <x:v>PLN-034X40</x:v>
      </x:c>
      <x:c r="B64" s="28" t="str">
        <x:v>Service-contract cohort renewal forecast</x:v>
      </x:c>
      <x:c r="C64" s="28" t="str">
        <x:v>FY27 cohort retention action register</x:v>
      </x:c>
      <x:c r="D64" s="28" t="str">
        <x:v>Portfolio policy</x:v>
      </x:c>
      <x:c r="E64" s="28" t="str">
        <x:v>Management review</x:v>
      </x:c>
      <x:c r="F64" s="28" t="str">
        <x:v>Management stretch</x:v>
      </x:c>
      <x:c r="G64" s="28" t="str">
        <x:v>Capacity limit</x:v>
      </x:c>
      <x:c r="H64" s="31" t="n">
        <x:v>1133</x:v>
      </x:c>
      <x:c r="I64" s="28" t="str"/>
      <x:c r="J64" s="28" t="str">
        <x:v>customer-success hours</x:v>
      </x:c>
      <x:c r="K64" s="28" t="str">
        <x:v>Earlier management working export</x:v>
      </x:c>
      <x:c r="L64" s="34" t="str">
        <x:v>2026-06-24</x:v>
      </x:c>
      <x:c r="M64" s="28" t="str"/>
    </x:row>
    <x:row r="65">
      <x:c r="A65" s="37" t="str">
        <x:v>PLN-034X41</x:v>
      </x:c>
      <x:c r="B65" s="28" t="str">
        <x:v>Service-contract cohort renewal forecast</x:v>
      </x:c>
      <x:c r="C65" s="28" t="str">
        <x:v>FY27 cohort retention action register</x:v>
      </x:c>
      <x:c r="D65" s="28" t="str">
        <x:v>Education escalation review</x:v>
      </x:c>
      <x:c r="E65" s="28" t="str">
        <x:v>2026-05 working copy</x:v>
      </x:c>
      <x:c r="F65" s="28" t="str">
        <x:v>Approved case</x:v>
      </x:c>
      <x:c r="G65" s="28" t="str">
        <x:v>Cash cost</x:v>
      </x:c>
      <x:c r="H65" s="31" t="n">
        <x:v>93600</x:v>
      </x:c>
      <x:c r="I65" s="28" t="str"/>
      <x:c r="J65" s="28" t="str">
        <x:v>USD</x:v>
      </x:c>
      <x:c r="K65" s="28" t="str">
        <x:v>Earlier management working export</x:v>
      </x:c>
      <x:c r="L65" s="34" t="str">
        <x:v>2026-06-24</x:v>
      </x:c>
      <x:c r="M65" s="28" t="str"/>
    </x:row>
    <x:row r="66">
      <x:c r="A66" s="37" t="str">
        <x:v>PLN-034X42</x:v>
      </x:c>
      <x:c r="B66" s="28" t="str">
        <x:v>Service-contract cohort renewal forecast</x:v>
      </x:c>
      <x:c r="C66" s="28" t="str">
        <x:v>FY27 cohort retention action register</x:v>
      </x:c>
      <x:c r="D66" s="28" t="str">
        <x:v>Commercial downsell recovery</x:v>
      </x:c>
      <x:c r="E66" s="28" t="str">
        <x:v>Management review</x:v>
      </x:c>
      <x:c r="F66" s="28" t="str">
        <x:v>Management stretch</x:v>
      </x:c>
      <x:c r="G66" s="28" t="str">
        <x:v>Capacity units</x:v>
      </x:c>
      <x:c r="H66" s="31" t="n">
        <x:v>357</x:v>
      </x:c>
      <x:c r="I66" s="28" t="str"/>
      <x:c r="J66" s="28" t="str">
        <x:v>customer-success hours</x:v>
      </x:c>
      <x:c r="K66" s="28" t="str">
        <x:v>Earlier management working export</x:v>
      </x:c>
      <x:c r="L66" s="34" t="str">
        <x:v>2026-06-24</x:v>
      </x:c>
      <x:c r="M66" s="28" t="str"/>
    </x:row>
    <x:row r="67">
      <x:c r="A67" s="37" t="str">
        <x:v>PLN-034X43</x:v>
      </x:c>
      <x:c r="B67" s="28" t="str">
        <x:v>Service-contract cohort renewal forecast</x:v>
      </x:c>
      <x:c r="C67" s="28" t="str">
        <x:v>FY27 cohort retention action register</x:v>
      </x:c>
      <x:c r="D67" s="28" t="str">
        <x:v>Low-margin legacy repricing</x:v>
      </x:c>
      <x:c r="E67" s="28" t="str">
        <x:v>2026-05 working copy</x:v>
      </x:c>
      <x:c r="F67" s="28" t="str">
        <x:v>Approved case</x:v>
      </x:c>
      <x:c r="G67" s="28" t="str">
        <x:v>Realization probability</x:v>
      </x:c>
      <x:c r="H67" s="31" t="n">
        <x:v>0.5665000000000001</x:v>
      </x:c>
      <x:c r="I67" s="28" t="str"/>
      <x:c r="J67" s="28" t="str">
        <x:v>decimal ratio</x:v>
      </x:c>
      <x:c r="K67" s="28" t="str">
        <x:v>Earlier management working export</x:v>
      </x:c>
      <x:c r="L67" s="34" t="str">
        <x:v>2026-06-24</x:v>
      </x:c>
      <x:c r="M67" s="28" t="str"/>
    </x:row>
    <x:row r="68">
      <x:c r="A68" s="37" t="str">
        <x:v>PLN-034X44</x:v>
      </x:c>
      <x:c r="B68" s="28" t="str">
        <x:v>Service-contract cohort renewal forecast</x:v>
      </x:c>
      <x:c r="C68" s="28" t="str">
        <x:v>FY27 cohort retention action register</x:v>
      </x:c>
      <x:c r="D68" s="28" t="str">
        <x:v>Healthcare renewal desk</x:v>
      </x:c>
      <x:c r="E68" s="28" t="str">
        <x:v>Management review</x:v>
      </x:c>
      <x:c r="F68" s="28" t="str">
        <x:v>Management stretch</x:v>
      </x:c>
      <x:c r="G68" s="28" t="str">
        <x:v>Gross financial effect</x:v>
      </x:c>
      <x:c r="H68" s="31" t="n">
        <x:v>426.4</x:v>
      </x:c>
      <x:c r="I68" s="28" t="str"/>
      <x:c r="J68" s="28" t="str">
        <x:v>USD thousands</x:v>
      </x:c>
      <x:c r="K68" s="28" t="str">
        <x:v>Earlier management working export</x:v>
      </x:c>
      <x:c r="L68" s="34" t="str">
        <x:v>2026-06-24</x:v>
      </x:c>
      <x:c r="M68" s="28" t="str"/>
    </x:row>
    <x:row r="69">
      <x:c r="A69" s="37" t="str">
        <x:v>PLN-034X45</x:v>
      </x:c>
      <x:c r="B69" s="28" t="str">
        <x:v>Service-contract cohort renewal forecast</x:v>
      </x:c>
      <x:c r="C69" s="28" t="str">
        <x:v>FY27 cohort retention action register</x:v>
      </x:c>
      <x:c r="D69" s="28" t="str">
        <x:v>Commercial downsell recovery</x:v>
      </x:c>
      <x:c r="E69" s="28" t="str">
        <x:v>2026-05 working copy</x:v>
      </x:c>
      <x:c r="F69" s="28" t="str">
        <x:v>Approved case</x:v>
      </x:c>
      <x:c r="G69" s="28" t="str">
        <x:v>Cash cost</x:v>
      </x:c>
      <x:c r="H69" s="31" t="n">
        <x:v>152250</x:v>
      </x:c>
      <x:c r="I69" s="28" t="str"/>
      <x:c r="J69" s="28" t="str">
        <x:v>USD</x:v>
      </x:c>
      <x:c r="K69" s="28" t="str">
        <x:v>Earlier management working export</x:v>
      </x:c>
      <x:c r="L69" s="34" t="str">
        <x:v>2026-06-24</x:v>
      </x:c>
      <x:c r="M69" s="28" t="str"/>
    </x:row>
    <x:row r="70">
      <x:c r="A70" s="37" t="str">
        <x:v>PLN-034X46</x:v>
      </x:c>
      <x:c r="B70" s="28" t="str">
        <x:v>Service-contract cohort renewal forecast</x:v>
      </x:c>
      <x:c r="C70" s="28" t="str">
        <x:v>FY27 cohort retention action register</x:v>
      </x:c>
      <x:c r="D70" s="28" t="str">
        <x:v>Remote-monitoring expansion</x:v>
      </x:c>
      <x:c r="E70" s="28" t="str">
        <x:v>Management review</x:v>
      </x:c>
      <x:c r="F70" s="28" t="str">
        <x:v>Management stretch</x:v>
      </x:c>
      <x:c r="G70" s="28" t="str">
        <x:v>Capacity units</x:v>
      </x:c>
      <x:c r="H70" s="31" t="n">
        <x:v>288.40000000000003</x:v>
      </x:c>
      <x:c r="I70" s="28" t="str"/>
      <x:c r="J70" s="28" t="str">
        <x:v>customer-success hours</x:v>
      </x:c>
      <x:c r="K70" s="28" t="str">
        <x:v>Earlier management working export</x:v>
      </x:c>
      <x:c r="L70" s="34" t="str">
        <x:v>2026-06-24</x:v>
      </x:c>
      <x:c r="M70" s="28" t="str"/>
    </x:row>
    <x:row r="71">
      <x:c r="A71" s="37" t="str">
        <x:v>PLN-034X71</x:v>
      </x:c>
      <x:c r="B71" s="28" t="str">
        <x:v>Service-contract cohort renewal forecast</x:v>
      </x:c>
      <x:c r="C71" s="28" t="str">
        <x:v>FY27 cohort retention action register scenario controls</x:v>
      </x:c>
      <x:c r="D71" s="28" t="str">
        <x:v>Steering base</x:v>
      </x:c>
      <x:c r="E71" s="28" t="str">
        <x:v>2026-05 working copy</x:v>
      </x:c>
      <x:c r="F71" s="28" t="str">
        <x:v>Approved case</x:v>
      </x:c>
      <x:c r="G71" s="28" t="str">
        <x:v>Gross effect factor</x:v>
      </x:c>
      <x:c r="H71" s="31" t="n">
        <x:v>1.03</x:v>
      </x:c>
      <x:c r="I71" s="28" t="str"/>
      <x:c r="J71" s="28" t="str">
        <x:v>decimal ratio</x:v>
      </x:c>
      <x:c r="K71" s="28" t="str">
        <x:v>Earlier management working export</x:v>
      </x:c>
      <x:c r="L71" s="34" t="str">
        <x:v>2026-06-24</x:v>
      </x:c>
      <x:c r="M71" s="28" t="str"/>
    </x:row>
    <x:row r="72">
      <x:c r="A72" s="37" t="str">
        <x:v>PLN-034X72</x:v>
      </x:c>
      <x:c r="B72" s="28" t="str">
        <x:v>Service-contract cohort renewal forecast</x:v>
      </x:c>
      <x:c r="C72" s="28" t="str">
        <x:v>FY27 cohort retention action register scenario controls</x:v>
      </x:c>
      <x:c r="D72" s="28" t="str">
        <x:v>Renewal and start-date pressure</x:v>
      </x:c>
      <x:c r="E72" s="28" t="str">
        <x:v>Management review</x:v>
      </x:c>
      <x:c r="F72" s="28" t="str">
        <x:v>Management stretch</x:v>
      </x:c>
      <x:c r="G72" s="28" t="str">
        <x:v>Gross effect factor</x:v>
      </x:c>
      <x:c r="H72" s="31" t="n">
        <x:v>0.8112</x:v>
      </x:c>
      <x:c r="I72" s="28" t="str"/>
      <x:c r="J72" s="28" t="str">
        <x:v>decimal ratio</x:v>
      </x:c>
      <x:c r="K72" s="28" t="str">
        <x:v>Earlier management working export</x:v>
      </x:c>
      <x:c r="L72" s="34" t="str">
        <x:v>2026-06-24</x:v>
      </x:c>
      <x:c r="M72" s="28" t="str"/>
    </x:row>
    <x:row r="73">
      <x:c r="A73" s="37" t="str">
        <x:v>PLN-034X73</x:v>
      </x:c>
      <x:c r="B73" s="28" t="str">
        <x:v>Service-contract cohort renewal forecast</x:v>
      </x:c>
      <x:c r="C73" s="28" t="str">
        <x:v>FY27 cohort retention action register scenario controls</x:v>
      </x:c>
      <x:c r="D73" s="28" t="str">
        <x:v>Combined retention downside</x:v>
      </x:c>
      <x:c r="E73" s="28" t="str">
        <x:v>2026-05 working copy</x:v>
      </x:c>
      <x:c r="F73" s="28" t="str">
        <x:v>Approved case</x:v>
      </x:c>
      <x:c r="G73" s="28" t="str">
        <x:v>Gross effect factor</x:v>
      </x:c>
      <x:c r="H73" s="31" t="n">
        <x:v>0.651</x:v>
      </x:c>
      <x:c r="I73" s="28" t="str"/>
      <x:c r="J73" s="28" t="str">
        <x:v>decimal ratio</x:v>
      </x:c>
      <x:c r="K73" s="28" t="str">
        <x:v>Earlier management working export</x:v>
      </x:c>
      <x:c r="L73" s="34" t="str">
        <x:v>2026-06-24</x:v>
      </x:c>
      <x:c r="M73" s="28" t="str"/>
    </x:row>
    <x:row r="74">
      <x:c r="A74" s="37" t="str">
        <x:v>PLN-034X74</x:v>
      </x:c>
      <x:c r="B74" s="28" t="str">
        <x:v>Service-contract cohort renewal forecast</x:v>
      </x:c>
      <x:c r="C74" s="28" t="str">
        <x:v>FY27 cohort retention action register scenario controls</x:v>
      </x:c>
      <x:c r="D74" s="28" t="str">
        <x:v>Steering base</x:v>
      </x:c>
      <x:c r="E74" s="28" t="str">
        <x:v>Management review</x:v>
      </x:c>
      <x:c r="F74" s="28" t="str">
        <x:v>Management stretch</x:v>
      </x:c>
      <x:c r="G74" s="28" t="str">
        <x:v>Gross effect factor</x:v>
      </x:c>
      <x:c r="H74" s="31" t="n">
        <x:v>1.03</x:v>
      </x:c>
      <x:c r="I74" s="28" t="str"/>
      <x:c r="J74" s="28" t="str">
        <x:v>decimal ratio</x:v>
      </x:c>
      <x:c r="K74" s="28" t="str">
        <x:v>Earlier management working export</x:v>
      </x:c>
      <x:c r="L74" s="34" t="str">
        <x:v>2026-06-24</x:v>
      </x:c>
      <x:c r="M74" s="28" t="str"/>
    </x:row>
    <x:row r="75">
      <x:c r="A75" s="37" t="str">
        <x:v>PLN-034X75</x:v>
      </x:c>
      <x:c r="B75" s="28" t="str">
        <x:v>Service-contract cohort renewal forecast</x:v>
      </x:c>
      <x:c r="C75" s="28" t="str">
        <x:v>FY27 cohort retention action register scenario controls</x:v>
      </x:c>
      <x:c r="D75" s="28" t="str">
        <x:v>Renewal and start-date pressure</x:v>
      </x:c>
      <x:c r="E75" s="28" t="str">
        <x:v>2026-05 working copy</x:v>
      </x:c>
      <x:c r="F75" s="28" t="str">
        <x:v>Approved case</x:v>
      </x:c>
      <x:c r="G75" s="28" t="str">
        <x:v>Gross effect factor</x:v>
      </x:c>
      <x:c r="H75" s="31" t="n">
        <x:v>0.8112</x:v>
      </x:c>
      <x:c r="I75" s="28" t="str"/>
      <x:c r="J75" s="28" t="str">
        <x:v>decimal ratio</x:v>
      </x:c>
      <x:c r="K75" s="28" t="str">
        <x:v>Earlier management working export</x:v>
      </x:c>
      <x:c r="L75" s="34" t="str">
        <x:v>2026-06-24</x:v>
      </x:c>
      <x:c r="M75" s="28" t="str"/>
    </x:row>
    <x:row r="76">
      <x:c r="A76" s="37" t="str">
        <x:v>PLN-034X76</x:v>
      </x:c>
      <x:c r="B76" s="28" t="str">
        <x:v>Service-contract cohort renewal forecast</x:v>
      </x:c>
      <x:c r="C76" s="28" t="str">
        <x:v>FY27 cohort retention action register scenario controls</x:v>
      </x:c>
      <x:c r="D76" s="28" t="str">
        <x:v>Combined retention downside</x:v>
      </x:c>
      <x:c r="E76" s="28" t="str">
        <x:v>Management review</x:v>
      </x:c>
      <x:c r="F76" s="28" t="str">
        <x:v>Management stretch</x:v>
      </x:c>
      <x:c r="G76" s="28" t="str">
        <x:v>Gross effect factor</x:v>
      </x:c>
      <x:c r="H76" s="31" t="n">
        <x:v>0.651</x:v>
      </x:c>
      <x:c r="I76" s="28" t="str"/>
      <x:c r="J76" s="28" t="str">
        <x:v>decimal ratio</x:v>
      </x:c>
      <x:c r="K76" s="28" t="str">
        <x:v>Earlier management working export</x:v>
      </x:c>
      <x:c r="L76" s="34" t="str">
        <x:v>2026-06-24</x:v>
      </x:c>
      <x:c r="M76" s="28" t="str"/>
    </x:row>
    <x:row r="77">
      <x:c r="A77" s="37" t="str">
        <x:v>PLN-034X77</x:v>
      </x:c>
      <x:c r="B77" s="28" t="str">
        <x:v>Service-contract cohort renewal forecast</x:v>
      </x:c>
      <x:c r="C77" s="28" t="str">
        <x:v>FY27 cohort retention action register scenario controls</x:v>
      </x:c>
      <x:c r="D77" s="28" t="str">
        <x:v>Steering base</x:v>
      </x:c>
      <x:c r="E77" s="28" t="str">
        <x:v>2026-05 working copy</x:v>
      </x:c>
      <x:c r="F77" s="28" t="str">
        <x:v>Approved case</x:v>
      </x:c>
      <x:c r="G77" s="28" t="str">
        <x:v>Gross effect factor</x:v>
      </x:c>
      <x:c r="H77" s="31" t="n">
        <x:v>1.03</x:v>
      </x:c>
      <x:c r="I77" s="28" t="str"/>
      <x:c r="J77" s="28" t="str">
        <x:v>decimal ratio</x:v>
      </x:c>
      <x:c r="K77" s="28" t="str">
        <x:v>Earlier management working export</x:v>
      </x:c>
      <x:c r="L77" s="34" t="str">
        <x:v>2026-06-24</x:v>
      </x:c>
      <x:c r="M77" s="28" t="str"/>
    </x:row>
    <x:row r="78">
      <x:c r="A78" s="37" t="str">
        <x:v>PLN-034X78</x:v>
      </x:c>
      <x:c r="B78" s="28" t="str">
        <x:v>Service-contract cohort renewal forecast</x:v>
      </x:c>
      <x:c r="C78" s="28" t="str">
        <x:v>FY27 cohort retention action register scenario controls</x:v>
      </x:c>
      <x:c r="D78" s="28" t="str">
        <x:v>Renewal and start-date pressure</x:v>
      </x:c>
      <x:c r="E78" s="28" t="str">
        <x:v>Management review</x:v>
      </x:c>
      <x:c r="F78" s="28" t="str">
        <x:v>Management stretch</x:v>
      </x:c>
      <x:c r="G78" s="28" t="str">
        <x:v>Gross effect factor</x:v>
      </x:c>
      <x:c r="H78" s="31" t="n">
        <x:v>0.8112</x:v>
      </x:c>
      <x:c r="I78" s="28" t="str"/>
      <x:c r="J78" s="28" t="str">
        <x:v>decimal ratio</x:v>
      </x:c>
      <x:c r="K78" s="28" t="str">
        <x:v>Earlier management working export</x:v>
      </x:c>
      <x:c r="L78" s="34" t="str">
        <x:v>2026-06-24</x:v>
      </x:c>
      <x:c r="M78" s="28" t="str"/>
    </x:row>
    <x:row r="79">
      <x:c r="A79" s="37" t="str">
        <x:v>PLN-00951</x:v>
      </x:c>
      <x:c r="B79" s="28" t="str">
        <x:v>Create the integrated FY27 operating plan</x:v>
      </x:c>
      <x:c r="C79" s="28" t="str">
        <x:v>Branch operating plan</x:v>
      </x:c>
      <x:c r="D79" s="28" t="str">
        <x:v>Construction</x:v>
      </x:c>
      <x:c r="E79" s="28" t="str">
        <x:v>2026-05 working copy</x:v>
      </x:c>
      <x:c r="F79" s="28" t="str">
        <x:v>Approved case</x:v>
      </x:c>
      <x:c r="G79" s="28" t="str">
        <x:v>FY26 revenue share</x:v>
      </x:c>
      <x:c r="H79" s="31" t="n">
        <x:v>0.5973999999999999</x:v>
      </x:c>
      <x:c r="I79" s="28" t="str"/>
      <x:c r="J79" s="28" t="str">
        <x:v>decimal ratio</x:v>
      </x:c>
      <x:c r="K79" s="28" t="str">
        <x:v>Earlier management working export</x:v>
      </x:c>
      <x:c r="L79" s="34" t="str">
        <x:v>2026-06-24</x:v>
      </x:c>
      <x:c r="M79" s="28" t="str"/>
    </x:row>
    <x:row r="80">
      <x:c r="A80" s="37" t="str">
        <x:v>PLN-00952</x:v>
      </x:c>
      <x:c r="B80" s="28" t="str">
        <x:v>Create the integrated FY27 operating plan</x:v>
      </x:c>
      <x:c r="C80" s="28" t="str">
        <x:v>Branch operating plan</x:v>
      </x:c>
      <x:c r="D80" s="28" t="str">
        <x:v>Service</x:v>
      </x:c>
      <x:c r="E80" s="28" t="str">
        <x:v>FY27</x:v>
      </x:c>
      <x:c r="F80" s="28" t="str">
        <x:v>Management stretch</x:v>
      </x:c>
      <x:c r="G80" s="28" t="str">
        <x:v>FY27 gross margin</x:v>
      </x:c>
      <x:c r="H80" s="31" t="n">
        <x:v>0.4524</x:v>
      </x:c>
      <x:c r="I80" s="28" t="str"/>
      <x:c r="J80" s="28" t="str">
        <x:v>decimal ratio</x:v>
      </x:c>
      <x:c r="K80" s="28" t="str">
        <x:v>Earlier management working export</x:v>
      </x:c>
      <x:c r="L80" s="34" t="str">
        <x:v>2026-06-24</x:v>
      </x:c>
      <x:c r="M80" s="28" t="str"/>
    </x:row>
    <x:row r="81">
      <x:c r="A81" s="37" t="str">
        <x:v>PLN-00953</x:v>
      </x:c>
      <x:c r="B81" s="28" t="str">
        <x:v>Create the integrated FY27 operating plan</x:v>
      </x:c>
      <x:c r="C81" s="28" t="str">
        <x:v>Branch operating plan</x:v>
      </x:c>
      <x:c r="D81" s="28" t="str">
        <x:v>Controls</x:v>
      </x:c>
      <x:c r="E81" s="28" t="str">
        <x:v>2026-05 working copy</x:v>
      </x:c>
      <x:c r="F81" s="28" t="str">
        <x:v>Approved case</x:v>
      </x:c>
      <x:c r="G81" s="28" t="str">
        <x:v>Variable opex percent</x:v>
      </x:c>
      <x:c r="H81" s="31" t="n">
        <x:v>0.0462</x:v>
      </x:c>
      <x:c r="I81" s="28" t="str"/>
      <x:c r="J81" s="28" t="str">
        <x:v>decimal ratio</x:v>
      </x:c>
      <x:c r="K81" s="28" t="str">
        <x:v>Earlier management working export</x:v>
      </x:c>
      <x:c r="L81" s="34" t="str">
        <x:v>2026-06-24</x:v>
      </x:c>
      <x:c r="M81" s="28" t="str"/>
    </x:row>
    <x:row r="82">
      <x:c r="A82" s="37" t="str">
        <x:v>PLN-00954</x:v>
      </x:c>
      <x:c r="B82" s="28" t="str">
        <x:v>Create the integrated FY27 operating plan</x:v>
      </x:c>
      <x:c r="C82" s="28" t="str">
        <x:v>Integrated plan assumptions</x:v>
      </x:c>
      <x:c r="D82" s="28" t="str">
        <x:v>Alder Ridge</x:v>
      </x:c>
      <x:c r="E82" s="28" t="str">
        <x:v>FY27</x:v>
      </x:c>
      <x:c r="F82" s="28" t="str">
        <x:v>Management stretch</x:v>
      </x:c>
      <x:c r="G82" s="28" t="str">
        <x:v>Downside gross margin compression</x:v>
      </x:c>
      <x:c r="H82" s="31" t="n">
        <x:v>0.023175</x:v>
      </x:c>
      <x:c r="I82" s="28" t="str"/>
      <x:c r="J82" s="28" t="str">
        <x:v>decimal ratio</x:v>
      </x:c>
      <x:c r="K82" s="28" t="str">
        <x:v>Earlier management working export</x:v>
      </x:c>
      <x:c r="L82" s="34" t="str">
        <x:v>2026-06-24</x:v>
      </x:c>
      <x:c r="M82" s="28" t="str"/>
    </x:row>
    <x:row r="83">
      <x:c r="A83" s="37" t="str">
        <x:v>PLN-00955</x:v>
      </x:c>
      <x:c r="B83" s="28" t="str">
        <x:v>Create the integrated FY27 operating plan</x:v>
      </x:c>
      <x:c r="C83" s="28" t="str">
        <x:v>Branch operating plan</x:v>
      </x:c>
      <x:c r="D83" s="28" t="str">
        <x:v>Service</x:v>
      </x:c>
      <x:c r="E83" s="28" t="str">
        <x:v>2026-05 working copy</x:v>
      </x:c>
      <x:c r="F83" s="28" t="str">
        <x:v>Approved case</x:v>
      </x:c>
      <x:c r="G83" s="28" t="str">
        <x:v>FY26 revenue share</x:v>
      </x:c>
      <x:c r="H83" s="31" t="n">
        <x:v>0.28080000000000005</x:v>
      </x:c>
      <x:c r="I83" s="28" t="str"/>
      <x:c r="J83" s="28" t="str">
        <x:v>decimal ratio</x:v>
      </x:c>
      <x:c r="K83" s="28" t="str">
        <x:v>Earlier management working export</x:v>
      </x:c>
      <x:c r="L83" s="34" t="str">
        <x:v>2026-06-24</x:v>
      </x:c>
      <x:c r="M83" s="28" t="str"/>
    </x:row>
    <x:row r="84">
      <x:c r="A84" s="37" t="str">
        <x:v>PLN-00956</x:v>
      </x:c>
      <x:c r="B84" s="28" t="str">
        <x:v>Create the integrated FY27 operating plan</x:v>
      </x:c>
      <x:c r="C84" s="28" t="str">
        <x:v>Branch operating plan</x:v>
      </x:c>
      <x:c r="D84" s="28" t="str">
        <x:v>Controls</x:v>
      </x:c>
      <x:c r="E84" s="28" t="str">
        <x:v>FY27</x:v>
      </x:c>
      <x:c r="F84" s="28" t="str">
        <x:v>Management stretch</x:v>
      </x:c>
      <x:c r="G84" s="28" t="str">
        <x:v>FY27 gross margin</x:v>
      </x:c>
      <x:c r="H84" s="31" t="n">
        <x:v>0.33390000000000003</x:v>
      </x:c>
      <x:c r="I84" s="28" t="str"/>
      <x:c r="J84" s="28" t="str">
        <x:v>decimal ratio</x:v>
      </x:c>
      <x:c r="K84" s="28" t="str">
        <x:v>Earlier management working export</x:v>
      </x:c>
      <x:c r="L84" s="34" t="str">
        <x:v>2026-06-24</x:v>
      </x:c>
      <x:c r="M84" s="28" t="str"/>
    </x:row>
    <x:row r="85">
      <x:c r="A85" s="37" t="str">
        <x:v>PLN-00957</x:v>
      </x:c>
      <x:c r="B85" s="28" t="str">
        <x:v>Create the integrated FY27 operating plan</x:v>
      </x:c>
      <x:c r="C85" s="28" t="str">
        <x:v>Integrated plan assumptions</x:v>
      </x:c>
      <x:c r="D85" s="28" t="str">
        <x:v>Alder Ridge</x:v>
      </x:c>
      <x:c r="E85" s="28" t="str">
        <x:v>2026-05 working copy</x:v>
      </x:c>
      <x:c r="F85" s="28" t="str">
        <x:v>Approved case</x:v>
      </x:c>
      <x:c r="G85" s="28" t="str">
        <x:v>Working capital percent of incremental revenue</x:v>
      </x:c>
      <x:c r="H85" s="31" t="n">
        <x:v>0.08497500000000001</x:v>
      </x:c>
      <x:c r="I85" s="28" t="str"/>
      <x:c r="J85" s="28" t="str">
        <x:v>decimal ratio</x:v>
      </x:c>
      <x:c r="K85" s="28" t="str">
        <x:v>Earlier management working export</x:v>
      </x:c>
      <x:c r="L85" s="34" t="str">
        <x:v>2026-06-24</x:v>
      </x:c>
      <x:c r="M85" s="28" t="str"/>
    </x:row>
    <x:row r="86">
      <x:c r="A86" s="37" t="str">
        <x:v>PLN-00958</x:v>
      </x:c>
      <x:c r="B86" s="28" t="str">
        <x:v>Create the integrated FY27 operating plan</x:v>
      </x:c>
      <x:c r="C86" s="28" t="str">
        <x:v>Branch operating plan</x:v>
      </x:c>
      <x:c r="D86" s="28" t="str">
        <x:v>Construction</x:v>
      </x:c>
      <x:c r="E86" s="28" t="str">
        <x:v>FY27</x:v>
      </x:c>
      <x:c r="F86" s="28" t="str">
        <x:v>Management stretch</x:v>
      </x:c>
      <x:c r="G86" s="28" t="str">
        <x:v>FY27 fixed opex</x:v>
      </x:c>
      <x:c r="H86" s="31" t="n">
        <x:v>3276000</x:v>
      </x:c>
      <x:c r="I86" s="28" t="str"/>
      <x:c r="J86" s="28" t="str">
        <x:v>USD</x:v>
      </x:c>
      <x:c r="K86" s="28" t="str">
        <x:v>Earlier management working export</x:v>
      </x:c>
      <x:c r="L86" s="34" t="str">
        <x:v>2026-06-24</x:v>
      </x:c>
      <x:c r="M86" s="28" t="str"/>
    </x:row>
    <x:row r="87">
      <x:c r="A87" s="37" t="str">
        <x:v>PLN-00959</x:v>
      </x:c>
      <x:c r="B87" s="28" t="str">
        <x:v>Create the integrated FY27 operating plan</x:v>
      </x:c>
      <x:c r="C87" s="28" t="str">
        <x:v>Branch operating plan</x:v>
      </x:c>
      <x:c r="D87" s="28" t="str">
        <x:v>Controls</x:v>
      </x:c>
      <x:c r="E87" s="28" t="str">
        <x:v>2026-05 working copy</x:v>
      </x:c>
      <x:c r="F87" s="28" t="str">
        <x:v>Approved case</x:v>
      </x:c>
      <x:c r="G87" s="28" t="str">
        <x:v>FY26 revenue share</x:v>
      </x:c>
      <x:c r="H87" s="31" t="n">
        <x:v>0.1575</x:v>
      </x:c>
      <x:c r="I87" s="28" t="str"/>
      <x:c r="J87" s="28" t="str">
        <x:v>decimal ratio</x:v>
      </x:c>
      <x:c r="K87" s="28" t="str">
        <x:v>Earlier management working export</x:v>
      </x:c>
      <x:c r="L87" s="34" t="str">
        <x:v>2026-06-24</x:v>
      </x:c>
      <x:c r="M87" s="28" t="str"/>
    </x:row>
    <x:row r="88">
      <x:c r="A88" s="37" t="str">
        <x:v>PLN-00960</x:v>
      </x:c>
      <x:c r="B88" s="28" t="str">
        <x:v>Create the integrated FY27 operating plan</x:v>
      </x:c>
      <x:c r="C88" s="28" t="str">
        <x:v>Integrated plan assumptions</x:v>
      </x:c>
      <x:c r="D88" s="28" t="str">
        <x:v>Alder Ridge</x:v>
      </x:c>
      <x:c r="E88" s="28" t="str">
        <x:v>FY27</x:v>
      </x:c>
      <x:c r="F88" s="28" t="str">
        <x:v>Management stretch</x:v>
      </x:c>
      <x:c r="G88" s="28" t="str">
        <x:v>Maintenance capex</x:v>
      </x:c>
      <x:c r="H88" s="31" t="n">
        <x:v>1184500</x:v>
      </x:c>
      <x:c r="I88" s="28" t="str"/>
      <x:c r="J88" s="28" t="str">
        <x:v>USD</x:v>
      </x:c>
      <x:c r="K88" s="28" t="str">
        <x:v>Earlier management working export</x:v>
      </x:c>
      <x:c r="L88" s="34" t="str">
        <x:v>2026-06-24</x:v>
      </x:c>
      <x:c r="M88" s="28" t="str"/>
    </x:row>
    <x:row r="89">
      <x:c r="A89" s="37" t="str">
        <x:v>PLN-00961</x:v>
      </x:c>
      <x:c r="B89" s="28" t="str">
        <x:v>Create the integrated FY27 operating plan</x:v>
      </x:c>
      <x:c r="C89" s="28" t="str">
        <x:v>Branch operating plan</x:v>
      </x:c>
      <x:c r="D89" s="28" t="str">
        <x:v>Construction</x:v>
      </x:c>
      <x:c r="E89" s="28" t="str">
        <x:v>2026-05 working copy</x:v>
      </x:c>
      <x:c r="F89" s="28" t="str">
        <x:v>Approved case</x:v>
      </x:c>
      <x:c r="G89" s="28" t="str">
        <x:v>FY27 approved growth</x:v>
      </x:c>
      <x:c r="H89" s="31" t="n">
        <x:v>0.078</x:v>
      </x:c>
      <x:c r="I89" s="28" t="str"/>
      <x:c r="J89" s="28" t="str">
        <x:v>decimal ratio</x:v>
      </x:c>
      <x:c r="K89" s="28" t="str">
        <x:v>Earlier management working export</x:v>
      </x:c>
      <x:c r="L89" s="34" t="str">
        <x:v>2026-06-24</x:v>
      </x:c>
      <x:c r="M89" s="28" t="str"/>
    </x:row>
    <x:row r="90">
      <x:c r="A90" s="37" t="str">
        <x:v>PLN-00962</x:v>
      </x:c>
      <x:c r="B90" s="28" t="str">
        <x:v>Create the integrated FY27 operating plan</x:v>
      </x:c>
      <x:c r="C90" s="28" t="str">
        <x:v>Branch operating plan</x:v>
      </x:c>
      <x:c r="D90" s="28" t="str">
        <x:v>Service</x:v>
      </x:c>
      <x:c r="E90" s="28" t="str">
        <x:v>FY27</x:v>
      </x:c>
      <x:c r="F90" s="28" t="str">
        <x:v>Management stretch</x:v>
      </x:c>
      <x:c r="G90" s="28" t="str">
        <x:v>FY27 fixed opex</x:v>
      </x:c>
      <x:c r="H90" s="31" t="n">
        <x:v>2226000</x:v>
      </x:c>
      <x:c r="I90" s="28" t="str"/>
      <x:c r="J90" s="28" t="str">
        <x:v>USD</x:v>
      </x:c>
      <x:c r="K90" s="28" t="str">
        <x:v>Earlier management working export</x:v>
      </x:c>
      <x:c r="L90" s="34" t="str">
        <x:v>2026-06-24</x:v>
      </x:c>
      <x:c r="M90" s="28" t="str"/>
    </x:row>
    <x:row r="91">
      <x:c r="A91" s="37" t="str">
        <x:v>PLN-00963</x:v>
      </x:c>
      <x:c r="B91" s="28" t="str">
        <x:v>Create the integrated FY27 operating plan</x:v>
      </x:c>
      <x:c r="C91" s="28" t="str">
        <x:v>Integrated plan assumptions</x:v>
      </x:c>
      <x:c r="D91" s="28" t="str">
        <x:v>Alder Ridge</x:v>
      </x:c>
      <x:c r="E91" s="28" t="str">
        <x:v>2026-05 working copy</x:v>
      </x:c>
      <x:c r="F91" s="28" t="str">
        <x:v>Approved case</x:v>
      </x:c>
      <x:c r="G91" s="28" t="str">
        <x:v>Corporate opex</x:v>
      </x:c>
      <x:c r="H91" s="31" t="n">
        <x:v>1081500</x:v>
      </x:c>
      <x:c r="I91" s="28" t="str"/>
      <x:c r="J91" s="28" t="str">
        <x:v>USD</x:v>
      </x:c>
      <x:c r="K91" s="28" t="str">
        <x:v>Earlier management working export</x:v>
      </x:c>
      <x:c r="L91" s="34" t="str">
        <x:v>2026-06-24</x:v>
      </x:c>
      <x:c r="M91" s="28" t="str"/>
    </x:row>
    <x:row r="92">
      <x:c r="A92" s="37" t="str">
        <x:v>PLN-00964</x:v>
      </x:c>
      <x:c r="B92" s="28" t="str">
        <x:v>Create the integrated FY27 operating plan</x:v>
      </x:c>
      <x:c r="C92" s="28" t="str">
        <x:v>Integrated plan assumptions</x:v>
      </x:c>
      <x:c r="D92" s="28" t="str">
        <x:v>Alder Ridge</x:v>
      </x:c>
      <x:c r="E92" s="28" t="str">
        <x:v>FY27</x:v>
      </x:c>
      <x:c r="F92" s="28" t="str">
        <x:v>Management stretch</x:v>
      </x:c>
      <x:c r="G92" s="28" t="str">
        <x:v>Downside opex mitigation</x:v>
      </x:c>
      <x:c r="H92" s="31" t="n">
        <x:v>790400</x:v>
      </x:c>
      <x:c r="I92" s="28" t="str"/>
      <x:c r="J92" s="28" t="str">
        <x:v>USD</x:v>
      </x:c>
      <x:c r="K92" s="28" t="str">
        <x:v>Earlier management working export</x:v>
      </x:c>
      <x:c r="L92" s="34" t="str">
        <x:v>2026-06-24</x:v>
      </x:c>
      <x:c r="M92" s="28" t="str"/>
    </x:row>
    <x:row r="93">
      <x:c r="A93" s="37" t="str">
        <x:v>PLN-00992</x:v>
      </x:c>
      <x:c r="B93" s="28" t="str">
        <x:v>Create the integrated FY27 operating plan</x:v>
      </x:c>
      <x:c r="C93" s="28" t="str">
        <x:v>Quarterly integrated plan</x:v>
      </x:c>
      <x:c r="D93" s="28" t="str">
        <x:v>Alder Ridge</x:v>
      </x:c>
      <x:c r="E93" s="28" t="str">
        <x:v>2026-05 working copy</x:v>
      </x:c>
      <x:c r="F93" s="28" t="str">
        <x:v>Approved case</x:v>
      </x:c>
      <x:c r="G93" s="28" t="str">
        <x:v>Revenue phase</x:v>
      </x:c>
      <x:c r="H93" s="31" t="n">
        <x:v>0.2163</x:v>
      </x:c>
      <x:c r="I93" s="28" t="str"/>
      <x:c r="J93" s="28" t="str">
        <x:v>decimal ratio</x:v>
      </x:c>
      <x:c r="K93" s="28" t="str">
        <x:v>Earlier management working export</x:v>
      </x:c>
      <x:c r="L93" s="34" t="str">
        <x:v>2026-06-24</x:v>
      </x:c>
      <x:c r="M93" s="28" t="str"/>
    </x:row>
    <x:row r="94">
      <x:c r="A94" s="37" t="str">
        <x:v>PLN-00993</x:v>
      </x:c>
      <x:c r="B94" s="28" t="str">
        <x:v>Create the integrated FY27 operating plan</x:v>
      </x:c>
      <x:c r="C94" s="28" t="str">
        <x:v>Quarterly integrated plan</x:v>
      </x:c>
      <x:c r="D94" s="28" t="str">
        <x:v>Alder Ridge</x:v>
      </x:c>
      <x:c r="E94" s="28" t="str">
        <x:v>Q2 FY27</x:v>
      </x:c>
      <x:c r="F94" s="28" t="str">
        <x:v>Management stretch</x:v>
      </x:c>
      <x:c r="G94" s="28" t="str">
        <x:v>Cash taxes</x:v>
      </x:c>
      <x:c r="H94" s="31" t="n">
        <x:v>124800</x:v>
      </x:c>
      <x:c r="I94" s="28" t="str"/>
      <x:c r="J94" s="28" t="str">
        <x:v>USD</x:v>
      </x:c>
      <x:c r="K94" s="28" t="str">
        <x:v>Earlier management working export</x:v>
      </x:c>
      <x:c r="L94" s="34" t="str">
        <x:v>2026-06-24</x:v>
      </x:c>
      <x:c r="M94" s="28" t="str"/>
    </x:row>
    <x:row r="95">
      <x:c r="A95" s="37" t="str">
        <x:v>PLN-00994</x:v>
      </x:c>
      <x:c r="B95" s="28" t="str">
        <x:v>Create the integrated FY27 operating plan</x:v>
      </x:c>
      <x:c r="C95" s="28" t="str">
        <x:v>Quarterly integrated plan</x:v>
      </x:c>
      <x:c r="D95" s="28" t="str">
        <x:v>Alder Ridge</x:v>
      </x:c>
      <x:c r="E95" s="28" t="str">
        <x:v>2026-05 working copy</x:v>
      </x:c>
      <x:c r="F95" s="28" t="str">
        <x:v>Approved case</x:v>
      </x:c>
      <x:c r="G95" s="28" t="str">
        <x:v>Ending NWC balance</x:v>
      </x:c>
      <x:c r="H95" s="31" t="n">
        <x:v>5670000</x:v>
      </x:c>
      <x:c r="I95" s="28" t="str"/>
      <x:c r="J95" s="28" t="str">
        <x:v>USD</x:v>
      </x:c>
      <x:c r="K95" s="28" t="str">
        <x:v>Earlier management working export</x:v>
      </x:c>
      <x:c r="L95" s="34" t="str">
        <x:v>2026-06-24</x:v>
      </x:c>
      <x:c r="M95" s="28" t="str"/>
    </x:row>
    <x:row r="96">
      <x:c r="A96" s="37" t="str">
        <x:v>PLN-00995</x:v>
      </x:c>
      <x:c r="B96" s="28" t="str">
        <x:v>Create the integrated FY27 operating plan</x:v>
      </x:c>
      <x:c r="C96" s="28" t="str">
        <x:v>Quarterly funding policy</x:v>
      </x:c>
      <x:c r="D96" s="28" t="str">
        <x:v>Alder Ridge</x:v>
      </x:c>
      <x:c r="E96" s="28" t="str">
        <x:v>FY27</x:v>
      </x:c>
      <x:c r="F96" s="28" t="str">
        <x:v>Management stretch</x:v>
      </x:c>
      <x:c r="G96" s="28" t="str">
        <x:v>Opening term debt</x:v>
      </x:c>
      <x:c r="H96" s="31" t="n">
        <x:v>5768000</x:v>
      </x:c>
      <x:c r="I96" s="28" t="str"/>
      <x:c r="J96" s="28" t="str">
        <x:v>USD</x:v>
      </x:c>
      <x:c r="K96" s="28" t="str">
        <x:v>Earlier management working export</x:v>
      </x:c>
      <x:c r="L96" s="34" t="str">
        <x:v>2026-06-24</x:v>
      </x:c>
      <x:c r="M96" s="28" t="str"/>
    </x:row>
    <x:row r="97">
      <x:c r="A97" s="37" t="str">
        <x:v>PLN-00996</x:v>
      </x:c>
      <x:c r="B97" s="28" t="str">
        <x:v>Create the integrated FY27 operating plan</x:v>
      </x:c>
      <x:c r="C97" s="28" t="str">
        <x:v>Quarterly integrated plan</x:v>
      </x:c>
      <x:c r="D97" s="28" t="str">
        <x:v>Alder Ridge</x:v>
      </x:c>
      <x:c r="E97" s="28" t="str">
        <x:v>2026-05 working copy</x:v>
      </x:c>
      <x:c r="F97" s="28" t="str">
        <x:v>Approved case</x:v>
      </x:c>
      <x:c r="G97" s="28" t="str">
        <x:v>EBITDA phase</x:v>
      </x:c>
      <x:c r="H97" s="31" t="n">
        <x:v>0.1768</x:v>
      </x:c>
      <x:c r="I97" s="28" t="str"/>
      <x:c r="J97" s="28" t="str">
        <x:v>decimal ratio</x:v>
      </x:c>
      <x:c r="K97" s="28" t="str">
        <x:v>Earlier management working export</x:v>
      </x:c>
      <x:c r="L97" s="34" t="str">
        <x:v>2026-06-24</x:v>
      </x:c>
      <x:c r="M97" s="28" t="str"/>
    </x:row>
    <x:row r="98">
      <x:c r="A98" s="37" t="str">
        <x:v>PLN-00997</x:v>
      </x:c>
      <x:c r="B98" s="28" t="str">
        <x:v>Create the integrated FY27 operating plan</x:v>
      </x:c>
      <x:c r="C98" s="28" t="str">
        <x:v>Quarterly integrated plan</x:v>
      </x:c>
      <x:c r="D98" s="28" t="str">
        <x:v>Alder Ridge</x:v>
      </x:c>
      <x:c r="E98" s="28" t="str">
        <x:v>Q2 FY27</x:v>
      </x:c>
      <x:c r="F98" s="28" t="str">
        <x:v>Management stretch</x:v>
      </x:c>
      <x:c r="G98" s="28" t="str">
        <x:v>Capex</x:v>
      </x:c>
      <x:c r="H98" s="31" t="n">
        <x:v>771750</x:v>
      </x:c>
      <x:c r="I98" s="28" t="str"/>
      <x:c r="J98" s="28" t="str">
        <x:v>USD</x:v>
      </x:c>
      <x:c r="K98" s="28" t="str">
        <x:v>Earlier management working export</x:v>
      </x:c>
      <x:c r="L98" s="34" t="str">
        <x:v>2026-06-24</x:v>
      </x:c>
      <x:c r="M98" s="28" t="str"/>
    </x:row>
    <x:row r="99">
      <x:c r="A99" s="37" t="str">
        <x:v>PLN-01035</x:v>
      </x:c>
      <x:c r="B99" s="28" t="str">
        <x:v>Rolling forecast variance and corrective actions</x:v>
      </x:c>
      <x:c r="C99" s="28" t="str">
        <x:v>Rolling forecast by business unit</x:v>
      </x:c>
      <x:c r="D99" s="28" t="str">
        <x:v>Construction</x:v>
      </x:c>
      <x:c r="E99" s="28" t="str">
        <x:v>2026-05 working copy</x:v>
      </x:c>
      <x:c r="F99" s="28" t="str">
        <x:v>Approved case</x:v>
      </x:c>
      <x:c r="G99" s="28" t="str">
        <x:v>YTD actual revenue</x:v>
      </x:c>
      <x:c r="H99" s="31" t="n">
        <x:v>16428500</x:v>
      </x:c>
      <x:c r="I99" s="28" t="str"/>
      <x:c r="J99" s="28" t="str">
        <x:v>USD</x:v>
      </x:c>
      <x:c r="K99" s="28" t="str">
        <x:v>Earlier management working export</x:v>
      </x:c>
      <x:c r="L99" s="34" t="str">
        <x:v>2026-06-24</x:v>
      </x:c>
      <x:c r="M99" s="28" t="str"/>
    </x:row>
    <x:row r="100">
      <x:c r="A100" s="37" t="str">
        <x:v>PLN-01036</x:v>
      </x:c>
      <x:c r="B100" s="28" t="str">
        <x:v>Rolling forecast variance and corrective actions</x:v>
      </x:c>
      <x:c r="C100" s="28" t="str">
        <x:v>Rolling forecast by business unit</x:v>
      </x:c>
      <x:c r="D100" s="28" t="str">
        <x:v>Construction</x:v>
      </x:c>
      <x:c r="E100" s="28" t="str">
        <x:v>FY26</x:v>
      </x:c>
      <x:c r="F100" s="28" t="str">
        <x:v>Management stretch</x:v>
      </x:c>
      <x:c r="G100" s="28" t="str">
        <x:v>Full year plan opex</x:v>
      </x:c>
      <x:c r="H100" s="31" t="n">
        <x:v>6292000</x:v>
      </x:c>
      <x:c r="I100" s="28" t="str"/>
      <x:c r="J100" s="28" t="str">
        <x:v>USD</x:v>
      </x:c>
      <x:c r="K100" s="28" t="str">
        <x:v>Earlier management working export</x:v>
      </x:c>
      <x:c r="L100" s="34" t="str">
        <x:v>2026-06-24</x:v>
      </x:c>
      <x:c r="M100" s="28" t="str"/>
    </x:row>
    <x:row r="101">
      <x:c r="A101" s="37" t="str">
        <x:v>PLN-01037</x:v>
      </x:c>
      <x:c r="B101" s="28" t="str">
        <x:v>Rolling forecast variance and corrective actions</x:v>
      </x:c>
      <x:c r="C101" s="28" t="str">
        <x:v>Rolling forecast by business unit</x:v>
      </x:c>
      <x:c r="D101" s="28" t="str">
        <x:v>Service</x:v>
      </x:c>
      <x:c r="E101" s="28" t="str">
        <x:v>2026-05 working copy</x:v>
      </x:c>
      <x:c r="F101" s="28" t="str">
        <x:v>Approved case</x:v>
      </x:c>
      <x:c r="G101" s="28" t="str">
        <x:v>YTD plus H2 forecast opex</x:v>
      </x:c>
      <x:c r="H101" s="31" t="n">
        <x:v>4147.5</x:v>
      </x:c>
      <x:c r="I101" s="28" t="str"/>
      <x:c r="J101" s="28" t="str">
        <x:v>USD thousands</x:v>
      </x:c>
      <x:c r="K101" s="28" t="str">
        <x:v>Earlier management working export</x:v>
      </x:c>
      <x:c r="L101" s="34" t="str">
        <x:v>2026-06-24</x:v>
      </x:c>
      <x:c r="M101" s="28" t="str"/>
    </x:row>
    <x:row r="102">
      <x:c r="A102" s="37" t="str">
        <x:v>PLN-01038</x:v>
      </x:c>
      <x:c r="B102" s="28" t="str">
        <x:v>Rolling forecast variance and corrective actions</x:v>
      </x:c>
      <x:c r="C102" s="28" t="str">
        <x:v>Rolling forecast by business unit</x:v>
      </x:c>
      <x:c r="D102" s="28" t="str">
        <x:v>Controls</x:v>
      </x:c>
      <x:c r="E102" s="28" t="str">
        <x:v>FY26</x:v>
      </x:c>
      <x:c r="F102" s="28" t="str">
        <x:v>Management stretch</x:v>
      </x:c>
      <x:c r="G102" s="28" t="str">
        <x:v>Plan gross margin</x:v>
      </x:c>
      <x:c r="H102" s="31" t="n">
        <x:v>0.33166</x:v>
      </x:c>
      <x:c r="I102" s="28" t="str"/>
      <x:c r="J102" s="28" t="str">
        <x:v>decimal ratio</x:v>
      </x:c>
      <x:c r="K102" s="28" t="str">
        <x:v>Earlier management working export</x:v>
      </x:c>
      <x:c r="L102" s="34" t="str">
        <x:v>2026-06-24</x:v>
      </x:c>
      <x:c r="M102" s="28" t="str"/>
    </x:row>
    <x:row r="103">
      <x:c r="A103" s="37" t="str">
        <x:v>PLN-01039</x:v>
      </x:c>
      <x:c r="B103" s="28" t="str">
        <x:v>Rolling forecast variance and corrective actions</x:v>
      </x:c>
      <x:c r="C103" s="28" t="str">
        <x:v>Forecast corrective actions</x:v>
      </x:c>
      <x:c r="D103" s="28" t="str">
        <x:v>Controls commissioning</x:v>
      </x:c>
      <x:c r="E103" s="28" t="str">
        <x:v>2026-05 working copy</x:v>
      </x:c>
      <x:c r="F103" s="28" t="str">
        <x:v>Approved case</x:v>
      </x:c>
      <x:c r="G103" s="28" t="str">
        <x:v>Gross EBITDA benefit</x:v>
      </x:c>
      <x:c r="H103" s="31" t="n">
        <x:v>197600</x:v>
      </x:c>
      <x:c r="I103" s="28" t="str"/>
      <x:c r="J103" s="28" t="str">
        <x:v>USD</x:v>
      </x:c>
      <x:c r="K103" s="28" t="str">
        <x:v>Earlier management working export</x:v>
      </x:c>
      <x:c r="L103" s="34" t="str">
        <x:v>2026-06-24</x:v>
      </x:c>
      <x:c r="M103" s="28" t="str"/>
    </x:row>
    <x:row r="104">
      <x:c r="A104" s="37" t="str">
        <x:v>PLN-01040</x:v>
      </x:c>
      <x:c r="B104" s="28" t="str">
        <x:v>Rolling forecast variance and corrective actions</x:v>
      </x:c>
      <x:c r="C104" s="28" t="str">
        <x:v>Rolling forecast by business unit</x:v>
      </x:c>
      <x:c r="D104" s="28" t="str">
        <x:v>Construction</x:v>
      </x:c>
      <x:c r="E104" s="28" t="str">
        <x:v>FY26</x:v>
      </x:c>
      <x:c r="F104" s="28" t="str">
        <x:v>Management stretch</x:v>
      </x:c>
      <x:c r="G104" s="28" t="str">
        <x:v>H2 latest forecast revenue</x:v>
      </x:c>
      <x:c r="H104" s="31" t="n">
        <x:v>18774000</x:v>
      </x:c>
      <x:c r="I104" s="28" t="str"/>
      <x:c r="J104" s="28" t="str">
        <x:v>USD</x:v>
      </x:c>
      <x:c r="K104" s="28" t="str">
        <x:v>Earlier management working export</x:v>
      </x:c>
      <x:c r="L104" s="34" t="str">
        <x:v>2026-06-24</x:v>
      </x:c>
      <x:c r="M104" s="28" t="str"/>
    </x:row>
    <x:row r="105">
      <x:c r="A105" s="37" t="str">
        <x:v>PLN-01041</x:v>
      </x:c>
      <x:c r="B105" s="28" t="str">
        <x:v>Rolling forecast variance and corrective actions</x:v>
      </x:c>
      <x:c r="C105" s="28" t="str">
        <x:v>Rolling forecast by business unit</x:v>
      </x:c>
      <x:c r="D105" s="28" t="str">
        <x:v>Service</x:v>
      </x:c>
      <x:c r="E105" s="28" t="str">
        <x:v>2026-05 working copy</x:v>
      </x:c>
      <x:c r="F105" s="28" t="str">
        <x:v>Approved case</x:v>
      </x:c>
      <x:c r="G105" s="28" t="str">
        <x:v>YTD plan revenue</x:v>
      </x:c>
      <x:c r="H105" s="31" t="n">
        <x:v>7395.4</x:v>
      </x:c>
      <x:c r="I105" s="28" t="str"/>
      <x:c r="J105" s="28" t="str">
        <x:v>USD thousands</x:v>
      </x:c>
      <x:c r="K105" s="28" t="str">
        <x:v>Earlier management working export</x:v>
      </x:c>
      <x:c r="L105" s="34" t="str">
        <x:v>2026-06-24</x:v>
      </x:c>
      <x:c r="M105" s="28" t="str"/>
    </x:row>
    <x:row r="106">
      <x:c r="A106" s="37" t="str">
        <x:v>PLN-01042</x:v>
      </x:c>
      <x:c r="B106" s="28" t="str">
        <x:v>Rolling forecast variance and corrective actions</x:v>
      </x:c>
      <x:c r="C106" s="28" t="str">
        <x:v>Rolling forecast by business unit</x:v>
      </x:c>
      <x:c r="D106" s="28" t="str">
        <x:v>Controls</x:v>
      </x:c>
      <x:c r="E106" s="28" t="str">
        <x:v>FY26</x:v>
      </x:c>
      <x:c r="F106" s="28" t="str">
        <x:v>Management stretch</x:v>
      </x:c>
      <x:c r="G106" s="28" t="str">
        <x:v>YTD actual revenue</x:v>
      </x:c>
      <x:c r="H106" s="31" t="n">
        <x:v>4191200</x:v>
      </x:c>
      <x:c r="I106" s="28" t="str"/>
      <x:c r="J106" s="28" t="str">
        <x:v>USD</x:v>
      </x:c>
      <x:c r="K106" s="28" t="str">
        <x:v>Earlier management working export</x:v>
      </x:c>
      <x:c r="L106" s="34" t="str">
        <x:v>2026-06-24</x:v>
      </x:c>
      <x:c r="M106" s="28" t="str"/>
    </x:row>
    <x:row r="107">
      <x:c r="A107" s="37" t="str">
        <x:v>PLN-01043</x:v>
      </x:c>
      <x:c r="B107" s="28" t="str">
        <x:v>Rolling forecast variance and corrective actions</x:v>
      </x:c>
      <x:c r="C107" s="28" t="str">
        <x:v>Rolling forecast by business unit</x:v>
      </x:c>
      <x:c r="D107" s="28" t="str">
        <x:v>Controls</x:v>
      </x:c>
      <x:c r="E107" s="28" t="str">
        <x:v>2026-05 working copy</x:v>
      </x:c>
      <x:c r="F107" s="28" t="str">
        <x:v>Approved case</x:v>
      </x:c>
      <x:c r="G107" s="28" t="str">
        <x:v>Full year plan opex</x:v>
      </x:c>
      <x:c r="H107" s="31" t="n">
        <x:v>2404500</x:v>
      </x:c>
      <x:c r="I107" s="28" t="str"/>
      <x:c r="J107" s="28" t="str">
        <x:v>USD</x:v>
      </x:c>
      <x:c r="K107" s="28" t="str">
        <x:v>Earlier management working export</x:v>
      </x:c>
      <x:c r="L107" s="34" t="str">
        <x:v>2026-06-24</x:v>
      </x:c>
      <x:c r="M107" s="28" t="str"/>
    </x:row>
    <x:row r="108">
      <x:c r="A108" s="37" t="str">
        <x:v>PLN-01044</x:v>
      </x:c>
      <x:c r="B108" s="28" t="str">
        <x:v>Rolling forecast variance and corrective actions</x:v>
      </x:c>
      <x:c r="C108" s="28" t="str">
        <x:v>Forecast corrective actions</x:v>
      </x:c>
      <x:c r="D108" s="28" t="str">
        <x:v>Discretionary freeze</x:v>
      </x:c>
      <x:c r="E108" s="28" t="str">
        <x:v>FY26 H2</x:v>
      </x:c>
      <x:c r="F108" s="28" t="str">
        <x:v>Management stretch</x:v>
      </x:c>
      <x:c r="G108" s="28" t="str">
        <x:v>Gross EBITDA benefit</x:v>
      </x:c>
      <x:c r="H108" s="31" t="n">
        <x:v>231750</x:v>
      </x:c>
      <x:c r="I108" s="28" t="str"/>
      <x:c r="J108" s="28" t="str">
        <x:v>USD</x:v>
      </x:c>
      <x:c r="K108" s="28" t="str">
        <x:v>Earlier management working export</x:v>
      </x:c>
      <x:c r="L108" s="34" t="str">
        <x:v>2026-06-24</x:v>
      </x:c>
      <x:c r="M108" s="28" t="str"/>
    </x:row>
    <x:row r="109">
      <x:c r="A109" s="37" t="str">
        <x:v>PLN-01045</x:v>
      </x:c>
      <x:c r="B109" s="28" t="str">
        <x:v>Rolling forecast variance and corrective actions</x:v>
      </x:c>
      <x:c r="C109" s="28" t="str">
        <x:v>Rolling forecast by business unit</x:v>
      </x:c>
      <x:c r="D109" s="28" t="str">
        <x:v>Construction</x:v>
      </x:c>
      <x:c r="E109" s="28" t="str">
        <x:v>2026-05 working copy</x:v>
      </x:c>
      <x:c r="F109" s="28" t="str">
        <x:v>Approved case</x:v>
      </x:c>
      <x:c r="G109" s="28" t="str">
        <x:v>Actual gross margin</x:v>
      </x:c>
      <x:c r="H109" s="31" t="n">
        <x:v>0.23504000000000003</x:v>
      </x:c>
      <x:c r="I109" s="28" t="str"/>
      <x:c r="J109" s="28" t="str">
        <x:v>decimal ratio</x:v>
      </x:c>
      <x:c r="K109" s="28" t="str">
        <x:v>Earlier management working export</x:v>
      </x:c>
      <x:c r="L109" s="34" t="str">
        <x:v>2026-06-24</x:v>
      </x:c>
      <x:c r="M109" s="28" t="str"/>
    </x:row>
    <x:row r="110">
      <x:c r="A110" s="37" t="str">
        <x:v>PLN-01046</x:v>
      </x:c>
      <x:c r="B110" s="28" t="str">
        <x:v>Rolling forecast variance and corrective actions</x:v>
      </x:c>
      <x:c r="C110" s="28" t="str">
        <x:v>Rolling forecast by business unit</x:v>
      </x:c>
      <x:c r="D110" s="28" t="str">
        <x:v>Service</x:v>
      </x:c>
      <x:c r="E110" s="28" t="str">
        <x:v>FY26</x:v>
      </x:c>
      <x:c r="F110" s="28" t="str">
        <x:v>Management stretch</x:v>
      </x:c>
      <x:c r="G110" s="28" t="str">
        <x:v>H2 plan revenue</x:v>
      </x:c>
      <x:c r="H110" s="31" t="n">
        <x:v>8253000</x:v>
      </x:c>
      <x:c r="I110" s="28" t="str"/>
      <x:c r="J110" s="28" t="str">
        <x:v>USD</x:v>
      </x:c>
      <x:c r="K110" s="28" t="str">
        <x:v>Earlier management working export</x:v>
      </x:c>
      <x:c r="L110" s="34" t="str">
        <x:v>2026-06-24</x:v>
      </x:c>
      <x:c r="M110" s="28" t="str"/>
    </x:row>
    <x:row r="111">
      <x:c r="A111" s="37" t="str">
        <x:v>PLN-01060</x:v>
      </x:c>
      <x:c r="B111" s="28" t="str">
        <x:v>Rolling forecast variance and corrective actions</x:v>
      </x:c>
      <x:c r="C111" s="28" t="str">
        <x:v>Corrective action phasing</x:v>
      </x:c>
      <x:c r="D111" s="28" t="str">
        <x:v>Procurement reset</x:v>
      </x:c>
      <x:c r="E111" s="28" t="str">
        <x:v>2026-05 working copy</x:v>
      </x:c>
      <x:c r="F111" s="28" t="str">
        <x:v>Approved case</x:v>
      </x:c>
      <x:c r="G111" s="28" t="str">
        <x:v>Q3 realization phase</x:v>
      </x:c>
      <x:c r="H111" s="31" t="n">
        <x:v>0.3605</x:v>
      </x:c>
      <x:c r="I111" s="28" t="str"/>
      <x:c r="J111" s="28" t="str">
        <x:v>decimal ratio</x:v>
      </x:c>
      <x:c r="K111" s="28" t="str">
        <x:v>Earlier management working export</x:v>
      </x:c>
      <x:c r="L111" s="34" t="str">
        <x:v>2026-06-24</x:v>
      </x:c>
      <x:c r="M111" s="28" t="str"/>
    </x:row>
    <x:row r="112">
      <x:c r="A112" s="37" t="str">
        <x:v>PLN-01061</x:v>
      </x:c>
      <x:c r="B112" s="28" t="str">
        <x:v>Rolling forecast variance and corrective actions</x:v>
      </x:c>
      <x:c r="C112" s="28" t="str">
        <x:v>Corrective action phasing</x:v>
      </x:c>
      <x:c r="D112" s="28" t="str">
        <x:v>Controls commissioning</x:v>
      </x:c>
      <x:c r="E112" s="28" t="str">
        <x:v>FY26 H2</x:v>
      </x:c>
      <x:c r="F112" s="28" t="str">
        <x:v>Management stretch</x:v>
      </x:c>
      <x:c r="G112" s="28" t="str">
        <x:v>Q4 realization phase</x:v>
      </x:c>
      <x:c r="H112" s="31" t="n">
        <x:v>0.8320000000000001</x:v>
      </x:c>
      <x:c r="I112" s="28" t="str"/>
      <x:c r="J112" s="28" t="str">
        <x:v>decimal ratio</x:v>
      </x:c>
      <x:c r="K112" s="28" t="str">
        <x:v>Earlier management working export</x:v>
      </x:c>
      <x:c r="L112" s="34" t="str">
        <x:v>2026-06-24</x:v>
      </x:c>
      <x:c r="M112" s="28" t="str"/>
    </x:row>
    <x:row r="113">
      <x:c r="A113" s="37" t="str">
        <x:v>PLN-01062</x:v>
      </x:c>
      <x:c r="B113" s="28" t="str">
        <x:v>Rolling forecast variance and corrective actions</x:v>
      </x:c>
      <x:c r="C113" s="28" t="str">
        <x:v>Corrective action phasing</x:v>
      </x:c>
      <x:c r="D113" s="28" t="str">
        <x:v>Procurement reset</x:v>
      </x:c>
      <x:c r="E113" s="28" t="str">
        <x:v>2026-05 working copy</x:v>
      </x:c>
      <x:c r="F113" s="28" t="str">
        <x:v>Approved case</x:v>
      </x:c>
      <x:c r="G113" s="28" t="str">
        <x:v>Q4 realization phase</x:v>
      </x:c>
      <x:c r="H113" s="31" t="n">
        <x:v>0.6825000000000001</x:v>
      </x:c>
      <x:c r="I113" s="28" t="str"/>
      <x:c r="J113" s="28" t="str">
        <x:v>decimal ratio</x:v>
      </x:c>
      <x:c r="K113" s="28" t="str">
        <x:v>Earlier management working export</x:v>
      </x:c>
      <x:c r="L113" s="34" t="str">
        <x:v>2026-06-24</x:v>
      </x:c>
      <x:c r="M113" s="28" t="str"/>
    </x:row>
    <x:row r="114">
      <x:c r="A114" s="37" t="str">
        <x:v>PLN-01063</x:v>
      </x:c>
      <x:c r="B114" s="28" t="str">
        <x:v>Rolling forecast variance and corrective actions</x:v>
      </x:c>
      <x:c r="C114" s="28" t="str">
        <x:v>Corrective action phasing</x:v>
      </x:c>
      <x:c r="D114" s="28" t="str">
        <x:v>Controls commissioning</x:v>
      </x:c>
      <x:c r="E114" s="28" t="str">
        <x:v>FY26 H2</x:v>
      </x:c>
      <x:c r="F114" s="28" t="str">
        <x:v>Management stretch</x:v>
      </x:c>
      <x:c r="G114" s="28" t="str">
        <x:v>Implementation cash cost</x:v>
      </x:c>
      <x:c r="H114" s="31" t="n">
        <x:v>72100</x:v>
      </x:c>
      <x:c r="I114" s="28" t="str"/>
      <x:c r="J114" s="28" t="str">
        <x:v>USD</x:v>
      </x:c>
      <x:c r="K114" s="28" t="str">
        <x:v>Earlier management working export</x:v>
      </x:c>
      <x:c r="L114" s="34" t="str">
        <x:v>2026-06-24</x:v>
      </x:c>
      <x:c r="M114" s="28" t="str"/>
    </x:row>
    <x:row r="115">
      <x:c r="A115" s="37" t="str">
        <x:v>PLN-01064</x:v>
      </x:c>
      <x:c r="B115" s="28" t="str">
        <x:v>Rolling forecast variance and corrective actions</x:v>
      </x:c>
      <x:c r="C115" s="28" t="str">
        <x:v>Corrective action phasing</x:v>
      </x:c>
      <x:c r="D115" s="28" t="str">
        <x:v>Procurement reset</x:v>
      </x:c>
      <x:c r="E115" s="28" t="str">
        <x:v>2026-05 working copy</x:v>
      </x:c>
      <x:c r="F115" s="28" t="str">
        <x:v>Approved case</x:v>
      </x:c>
      <x:c r="G115" s="28" t="str">
        <x:v>Implementation cash cost</x:v>
      </x:c>
      <x:c r="H115" s="31" t="n">
        <x:v>130000</x:v>
      </x:c>
      <x:c r="I115" s="28" t="str"/>
      <x:c r="J115" s="28" t="str">
        <x:v>USD</x:v>
      </x:c>
      <x:c r="K115" s="28" t="str">
        <x:v>Earlier management working export</x:v>
      </x:c>
      <x:c r="L115" s="34" t="str">
        <x:v>2026-06-24</x:v>
      </x:c>
      <x:c r="M115" s="28" t="str"/>
    </x:row>
    <x:row r="116">
      <x:c r="A116" s="38" t="str">
        <x:v>PLN-01065</x:v>
      </x:c>
      <x:c r="B116" s="29" t="str">
        <x:v>Rolling forecast variance and corrective actions</x:v>
      </x:c>
      <x:c r="C116" s="29" t="str">
        <x:v>Corrective action phasing</x:v>
      </x:c>
      <x:c r="D116" s="29" t="str">
        <x:v>Discretionary freeze</x:v>
      </x:c>
      <x:c r="E116" s="29" t="str">
        <x:v>FY26 H2</x:v>
      </x:c>
      <x:c r="F116" s="29" t="str">
        <x:v>Management stretch</x:v>
      </x:c>
      <x:c r="G116" s="29" t="str">
        <x:v>Q3 realization phase</x:v>
      </x:c>
      <x:c r="H116" s="32" t="n">
        <x:v>0.63</x:v>
      </x:c>
      <x:c r="I116" s="29" t="str"/>
      <x:c r="J116" s="29" t="str">
        <x:v>decimal ratio</x:v>
      </x:c>
      <x:c r="K116" s="29" t="str">
        <x:v>Earlier management working export</x:v>
      </x:c>
      <x:c r="L116" s="35" t="str">
        <x:v>2026-06-24</x:v>
      </x:c>
      <x:c r="M116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Margin and Accuracy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PLN-00361</x:v>
      </x:c>
      <x:c r="B5" s="27" t="str">
        <x:v>Construction gross-margin driver bridge</x:v>
      </x:c>
      <x:c r="C5" s="27" t="str">
        <x:v>Construction worktype bridge</x:v>
      </x:c>
      <x:c r="D5" s="27" t="str">
        <x:v>Large project</x:v>
      </x:c>
      <x:c r="E5" s="27" t="str">
        <x:v>2026-05 working copy</x:v>
      </x:c>
      <x:c r="F5" s="27" t="str">
        <x:v>Approved case</x:v>
      </x:c>
      <x:c r="G5" s="27" t="str">
        <x:v>Budget revenue</x:v>
      </x:c>
      <x:c r="H5" s="30" t="n">
        <x:v>12360000</x:v>
      </x:c>
      <x:c r="I5" s="27" t="str"/>
      <x:c r="J5" s="27" t="str">
        <x:v>USD</x:v>
      </x:c>
      <x:c r="K5" s="27" t="str">
        <x:v>Earlier management working export</x:v>
      </x:c>
      <x:c r="L5" s="33" t="str">
        <x:v>2026-06-24</x:v>
      </x:c>
      <x:c r="M5" s="27" t="str"/>
    </x:row>
    <x:row r="6">
      <x:c r="A6" s="37" t="str">
        <x:v>PLN-00362</x:v>
      </x:c>
      <x:c r="B6" s="28" t="str">
        <x:v>Construction gross-margin driver bridge</x:v>
      </x:c>
      <x:c r="C6" s="28" t="str">
        <x:v>Construction worktype bridge</x:v>
      </x:c>
      <x:c r="D6" s="28" t="str">
        <x:v>Large project</x:v>
      </x:c>
      <x:c r="E6" s="28" t="str">
        <x:v>2026-Q2</x:v>
      </x:c>
      <x:c r="F6" s="28" t="str">
        <x:v>Management stretch</x:v>
      </x:c>
      <x:c r="G6" s="28" t="str">
        <x:v>Subcontractor effect as percent of actual revenue</x:v>
      </x:c>
      <x:c r="H6" s="31" t="n">
        <x:v>-0.006240000000000001</x:v>
      </x:c>
      <x:c r="I6" s="28" t="str"/>
      <x:c r="J6" s="28" t="str">
        <x:v>decimal ratio</x:v>
      </x:c>
      <x:c r="K6" s="28" t="str">
        <x:v>Earlier management working export</x:v>
      </x:c>
      <x:c r="L6" s="34" t="str">
        <x:v>2026-06-24</x:v>
      </x:c>
      <x:c r="M6" s="28" t="str"/>
    </x:row>
    <x:row r="7">
      <x:c r="A7" s="37" t="str">
        <x:v>PLN-00363</x:v>
      </x:c>
      <x:c r="B7" s="28" t="str">
        <x:v>Construction gross-margin driver bridge</x:v>
      </x:c>
      <x:c r="C7" s="28" t="str">
        <x:v>Construction worktype bridge</x:v>
      </x:c>
      <x:c r="D7" s="28" t="str">
        <x:v>Tenant improvement</x:v>
      </x:c>
      <x:c r="E7" s="28" t="str">
        <x:v>2026-05 working copy</x:v>
      </x:c>
      <x:c r="F7" s="28" t="str">
        <x:v>Approved case</x:v>
      </x:c>
      <x:c r="G7" s="28" t="str">
        <x:v>Material price effect as percent of actual revenue</x:v>
      </x:c>
      <x:c r="H7" s="31" t="n">
        <x:v>-0.008400000000000001</x:v>
      </x:c>
      <x:c r="I7" s="28" t="str"/>
      <x:c r="J7" s="28" t="str">
        <x:v>decimal ratio</x:v>
      </x:c>
      <x:c r="K7" s="28" t="str">
        <x:v>Earlier management working export</x:v>
      </x:c>
      <x:c r="L7" s="34" t="str">
        <x:v>2026-06-24</x:v>
      </x:c>
      <x:c r="M7" s="28" t="str"/>
    </x:row>
    <x:row r="8">
      <x:c r="A8" s="37" t="str">
        <x:v>PLN-00364</x:v>
      </x:c>
      <x:c r="B8" s="28" t="str">
        <x:v>Construction gross-margin driver bridge</x:v>
      </x:c>
      <x:c r="C8" s="28" t="str">
        <x:v>Construction worktype bridge</x:v>
      </x:c>
      <x:c r="D8" s="28" t="str">
        <x:v>Retrofit</x:v>
      </x:c>
      <x:c r="E8" s="28" t="str">
        <x:v>2026-Q2</x:v>
      </x:c>
      <x:c r="F8" s="28" t="str">
        <x:v>Management stretch</x:v>
      </x:c>
      <x:c r="G8" s="28" t="str">
        <x:v>Labor productivity effect as percent of actual revenue</x:v>
      </x:c>
      <x:c r="H8" s="31" t="n">
        <x:v>-0.0103</x:v>
      </x:c>
      <x:c r="I8" s="28" t="str"/>
      <x:c r="J8" s="28" t="str">
        <x:v>decimal ratio</x:v>
      </x:c>
      <x:c r="K8" s="28" t="str">
        <x:v>Earlier management working export</x:v>
      </x:c>
      <x:c r="L8" s="34" t="str">
        <x:v>2026-06-24</x:v>
      </x:c>
      <x:c r="M8" s="28" t="str"/>
    </x:row>
    <x:row r="9">
      <x:c r="A9" s="37" t="str">
        <x:v>PLN-00365</x:v>
      </x:c>
      <x:c r="B9" s="28" t="str">
        <x:v>Construction gross-margin driver bridge</x:v>
      </x:c>
      <x:c r="C9" s="28" t="str">
        <x:v>Construction worktype bridge</x:v>
      </x:c>
      <x:c r="D9" s="28" t="str">
        <x:v>Special projects</x:v>
      </x:c>
      <x:c r="E9" s="28" t="str">
        <x:v>2026-05 working copy</x:v>
      </x:c>
      <x:c r="F9" s="28" t="str">
        <x:v>Approved case</x:v>
      </x:c>
      <x:c r="G9" s="28" t="str">
        <x:v>Labor rate effect as percent of actual revenue</x:v>
      </x:c>
      <x:c r="H9" s="31" t="n">
        <x:v>-0.010400000000000001</x:v>
      </x:c>
      <x:c r="I9" s="28" t="str"/>
      <x:c r="J9" s="28" t="str">
        <x:v>decimal ratio</x:v>
      </x:c>
      <x:c r="K9" s="28" t="str">
        <x:v>Earlier management working export</x:v>
      </x:c>
      <x:c r="L9" s="34" t="str">
        <x:v>2026-06-24</x:v>
      </x:c>
      <x:c r="M9" s="28" t="str"/>
    </x:row>
    <x:row r="10">
      <x:c r="A10" s="37" t="str">
        <x:v>PLN-00366</x:v>
      </x:c>
      <x:c r="B10" s="28" t="str">
        <x:v>Construction gross-margin driver bridge</x:v>
      </x:c>
      <x:c r="C10" s="28" t="str">
        <x:v>Construction worktype bridge</x:v>
      </x:c>
      <x:c r="D10" s="28" t="str">
        <x:v>Large project</x:v>
      </x:c>
      <x:c r="E10" s="28" t="str">
        <x:v>2026-Q2</x:v>
      </x:c>
      <x:c r="F10" s="28" t="str">
        <x:v>Management stretch</x:v>
      </x:c>
      <x:c r="G10" s="28" t="str">
        <x:v>Contract price change</x:v>
      </x:c>
      <x:c r="H10" s="31" t="n">
        <x:v>0.0189</x:v>
      </x:c>
      <x:c r="I10" s="28" t="str"/>
      <x:c r="J10" s="28" t="str">
        <x:v>decimal ratio</x:v>
      </x:c>
      <x:c r="K10" s="28" t="str">
        <x:v>Earlier management working export</x:v>
      </x:c>
      <x:c r="L10" s="34" t="str">
        <x:v>2026-06-24</x:v>
      </x:c>
      <x:c r="M10" s="28" t="str"/>
    </x:row>
    <x:row r="11">
      <x:c r="A11" s="37" t="str">
        <x:v>PLN-00367</x:v>
      </x:c>
      <x:c r="B11" s="28" t="str">
        <x:v>Construction gross-margin driver bridge</x:v>
      </x:c>
      <x:c r="C11" s="28" t="str">
        <x:v>Construction worktype bridge</x:v>
      </x:c>
      <x:c r="D11" s="28" t="str">
        <x:v>Tenant improvement</x:v>
      </x:c>
      <x:c r="E11" s="28" t="str">
        <x:v>2026-05 working copy</x:v>
      </x:c>
      <x:c r="F11" s="28" t="str">
        <x:v>Approved case</x:v>
      </x:c>
      <x:c r="G11" s="28" t="str">
        <x:v>Revenue volume change</x:v>
      </x:c>
      <x:c r="H11" s="31" t="n">
        <x:v>0.0824</x:v>
      </x:c>
      <x:c r="I11" s="28" t="str"/>
      <x:c r="J11" s="28" t="str">
        <x:v>decimal ratio</x:v>
      </x:c>
      <x:c r="K11" s="28" t="str">
        <x:v>Earlier management working export</x:v>
      </x:c>
      <x:c r="L11" s="34" t="str">
        <x:v>2026-06-24</x:v>
      </x:c>
      <x:c r="M11" s="28" t="str"/>
    </x:row>
    <x:row r="12">
      <x:c r="A12" s="37" t="str">
        <x:v>PLN-00368</x:v>
      </x:c>
      <x:c r="B12" s="28" t="str">
        <x:v>Construction gross-margin driver bridge</x:v>
      </x:c>
      <x:c r="C12" s="28" t="str">
        <x:v>Construction worktype bridge</x:v>
      </x:c>
      <x:c r="D12" s="28" t="str">
        <x:v>Retrofit</x:v>
      </x:c>
      <x:c r="E12" s="28" t="str">
        <x:v>2026-Q2</x:v>
      </x:c>
      <x:c r="F12" s="28" t="str">
        <x:v>Management stretch</x:v>
      </x:c>
      <x:c r="G12" s="28" t="str">
        <x:v>Budget gross margin</x:v>
      </x:c>
      <x:c r="H12" s="31" t="n">
        <x:v>0.3952</x:v>
      </x:c>
      <x:c r="I12" s="28" t="str"/>
      <x:c r="J12" s="28" t="str">
        <x:v>decimal ratio</x:v>
      </x:c>
      <x:c r="K12" s="28" t="str">
        <x:v>Earlier management working export</x:v>
      </x:c>
      <x:c r="L12" s="34" t="str">
        <x:v>2026-06-24</x:v>
      </x:c>
      <x:c r="M12" s="28" t="str"/>
    </x:row>
    <x:row r="13">
      <x:c r="A13" s="37" t="str">
        <x:v>PLN-00369</x:v>
      </x:c>
      <x:c r="B13" s="28" t="str">
        <x:v>Construction gross-margin driver bridge</x:v>
      </x:c>
      <x:c r="C13" s="28" t="str">
        <x:v>Construction worktype bridge</x:v>
      </x:c>
      <x:c r="D13" s="28" t="str">
        <x:v>Special projects</x:v>
      </x:c>
      <x:c r="E13" s="28" t="str">
        <x:v>2026-05 working copy</x:v>
      </x:c>
      <x:c r="F13" s="28" t="str">
        <x:v>Approved case</x:v>
      </x:c>
      <x:c r="G13" s="28" t="str">
        <x:v>Budget revenue</x:v>
      </x:c>
      <x:c r="H13" s="31" t="n">
        <x:v>2415000</x:v>
      </x:c>
      <x:c r="I13" s="28" t="str"/>
      <x:c r="J13" s="28" t="str">
        <x:v>USD</x:v>
      </x:c>
      <x:c r="K13" s="28" t="str">
        <x:v>Earlier management working export</x:v>
      </x:c>
      <x:c r="L13" s="34" t="str">
        <x:v>2026-06-24</x:v>
      </x:c>
      <x:c r="M13" s="28" t="str"/>
    </x:row>
    <x:row r="14">
      <x:c r="A14" s="37" t="str">
        <x:v>PLN-00370</x:v>
      </x:c>
      <x:c r="B14" s="28" t="str">
        <x:v>Construction gross-margin driver bridge</x:v>
      </x:c>
      <x:c r="C14" s="28" t="str">
        <x:v>Construction worktype bridge</x:v>
      </x:c>
      <x:c r="D14" s="28" t="str">
        <x:v>Special projects</x:v>
      </x:c>
      <x:c r="E14" s="28" t="str">
        <x:v>2026-Q2</x:v>
      </x:c>
      <x:c r="F14" s="28" t="str">
        <x:v>Management stretch</x:v>
      </x:c>
      <x:c r="G14" s="28" t="str">
        <x:v>Subcontractor effect as percent of actual revenue</x:v>
      </x:c>
      <x:c r="H14" s="31" t="n">
        <x:v>-0.00515</x:v>
      </x:c>
      <x:c r="I14" s="28" t="str"/>
      <x:c r="J14" s="28" t="str">
        <x:v>decimal ratio</x:v>
      </x:c>
      <x:c r="K14" s="28" t="str">
        <x:v>Earlier management working export</x:v>
      </x:c>
      <x:c r="L14" s="34" t="str">
        <x:v>2026-06-24</x:v>
      </x:c>
      <x:c r="M14" s="28" t="str"/>
    </x:row>
    <x:row r="15">
      <x:c r="A15" s="37" t="str">
        <x:v>PLN-00371</x:v>
      </x:c>
      <x:c r="B15" s="28" t="str">
        <x:v>Construction gross-margin driver bridge</x:v>
      </x:c>
      <x:c r="C15" s="28" t="str">
        <x:v>Construction worktype bridge</x:v>
      </x:c>
      <x:c r="D15" s="28" t="str">
        <x:v>Large project</x:v>
      </x:c>
      <x:c r="E15" s="28" t="str">
        <x:v>2026-05 working copy</x:v>
      </x:c>
      <x:c r="F15" s="28" t="str">
        <x:v>Approved case</x:v>
      </x:c>
      <x:c r="G15" s="28" t="str">
        <x:v>Material price effect as percent of actual revenue</x:v>
      </x:c>
      <x:c r="H15" s="31" t="n">
        <x:v>-0.01144</x:v>
      </x:c>
      <x:c r="I15" s="28" t="str"/>
      <x:c r="J15" s="28" t="str">
        <x:v>decimal ratio</x:v>
      </x:c>
      <x:c r="K15" s="28" t="str">
        <x:v>Earlier management working export</x:v>
      </x:c>
      <x:c r="L15" s="34" t="str">
        <x:v>2026-06-24</x:v>
      </x:c>
      <x:c r="M15" s="28" t="str"/>
    </x:row>
    <x:row r="16">
      <x:c r="A16" s="37" t="str">
        <x:v>PLN-00372</x:v>
      </x:c>
      <x:c r="B16" s="28" t="str">
        <x:v>Construction gross-margin driver bridge</x:v>
      </x:c>
      <x:c r="C16" s="28" t="str">
        <x:v>Construction worktype bridge</x:v>
      </x:c>
      <x:c r="D16" s="28" t="str">
        <x:v>Tenant improvement</x:v>
      </x:c>
      <x:c r="E16" s="28" t="str">
        <x:v>2026-Q2</x:v>
      </x:c>
      <x:c r="F16" s="28" t="str">
        <x:v>Management stretch</x:v>
      </x:c>
      <x:c r="G16" s="28" t="str">
        <x:v>Labor productivity effect as percent of actual revenue</x:v>
      </x:c>
      <x:c r="H16" s="31" t="n">
        <x:v>-0.014700000000000001</x:v>
      </x:c>
      <x:c r="I16" s="28" t="str"/>
      <x:c r="J16" s="28" t="str">
        <x:v>decimal ratio</x:v>
      </x:c>
      <x:c r="K16" s="28" t="str">
        <x:v>Earlier management working export</x:v>
      </x:c>
      <x:c r="L16" s="34" t="str">
        <x:v>2026-06-24</x:v>
      </x:c>
      <x:c r="M16" s="28" t="str"/>
    </x:row>
    <x:row r="17">
      <x:c r="A17" s="37" t="str">
        <x:v>PLN-030X37</x:v>
      </x:c>
      <x:c r="B17" s="28" t="str">
        <x:v>Construction gross-margin driver bridge</x:v>
      </x:c>
      <x:c r="C17" s="28" t="str">
        <x:v>Construction margin recovery action register</x:v>
      </x:c>
      <x:c r="D17" s="28" t="str">
        <x:v>Large-project crew rebalance</x:v>
      </x:c>
      <x:c r="E17" s="28" t="str">
        <x:v>2026-05 working copy</x:v>
      </x:c>
      <x:c r="F17" s="28" t="str">
        <x:v>Approved case</x:v>
      </x:c>
      <x:c r="G17" s="28" t="str">
        <x:v>Cash cost</x:v>
      </x:c>
      <x:c r="H17" s="31" t="n">
        <x:v>195700</x:v>
      </x:c>
      <x:c r="I17" s="28" t="str"/>
      <x:c r="J17" s="28" t="str">
        <x:v>USD</x:v>
      </x:c>
      <x:c r="K17" s="28" t="str">
        <x:v>Earlier management working export</x:v>
      </x:c>
      <x:c r="L17" s="34" t="str">
        <x:v>2026-06-24</x:v>
      </x:c>
      <x:c r="M17" s="28" t="str"/>
    </x:row>
    <x:row r="18">
      <x:c r="A18" s="37" t="str">
        <x:v>PLN-030X38</x:v>
      </x:c>
      <x:c r="B18" s="28" t="str">
        <x:v>Construction gross-margin driver bridge</x:v>
      </x:c>
      <x:c r="C18" s="28" t="str">
        <x:v>Construction margin recovery action register</x:v>
      </x:c>
      <x:c r="D18" s="28" t="str">
        <x:v>Subcontractor buyout renegotiation</x:v>
      </x:c>
      <x:c r="E18" s="28" t="str">
        <x:v>Management review</x:v>
      </x:c>
      <x:c r="F18" s="28" t="str">
        <x:v>Management stretch</x:v>
      </x:c>
      <x:c r="G18" s="28" t="str">
        <x:v>Capacity units</x:v>
      </x:c>
      <x:c r="H18" s="31" t="n">
        <x:v>270.40000000000003</x:v>
      </x:c>
      <x:c r="I18" s="28" t="str"/>
      <x:c r="J18" s="28" t="str">
        <x:v>project-management hours</x:v>
      </x:c>
      <x:c r="K18" s="28" t="str">
        <x:v>Earlier management working export</x:v>
      </x:c>
      <x:c r="L18" s="34" t="str">
        <x:v>2026-06-24</x:v>
      </x:c>
      <x:c r="M18" s="28" t="str"/>
    </x:row>
    <x:row r="19">
      <x:c r="A19" s="37" t="str">
        <x:v>PLN-030X39</x:v>
      </x:c>
      <x:c r="B19" s="28" t="str">
        <x:v>Construction gross-margin driver bridge</x:v>
      </x:c>
      <x:c r="C19" s="28" t="str">
        <x:v>Construction margin recovery action register</x:v>
      </x:c>
      <x:c r="D19" s="28" t="str">
        <x:v>Retrofit material substitution</x:v>
      </x:c>
      <x:c r="E19" s="28" t="str">
        <x:v>2026-05 working copy</x:v>
      </x:c>
      <x:c r="F19" s="28" t="str">
        <x:v>Approved case</x:v>
      </x:c>
      <x:c r="G19" s="28" t="str">
        <x:v>Realization probability</x:v>
      </x:c>
      <x:c r="H19" s="31" t="n">
        <x:v>0.6825000000000001</x:v>
      </x:c>
      <x:c r="I19" s="28" t="str"/>
      <x:c r="J19" s="28" t="str">
        <x:v>decimal ratio</x:v>
      </x:c>
      <x:c r="K19" s="28" t="str">
        <x:v>Earlier management working export</x:v>
      </x:c>
      <x:c r="L19" s="34" t="str">
        <x:v>2026-06-24</x:v>
      </x:c>
      <x:c r="M19" s="28" t="str"/>
    </x:row>
    <x:row r="20">
      <x:c r="A20" s="37" t="str">
        <x:v>PLN-030X40</x:v>
      </x:c>
      <x:c r="B20" s="28" t="str">
        <x:v>Construction gross-margin driver bridge</x:v>
      </x:c>
      <x:c r="C20" s="28" t="str">
        <x:v>Construction margin recovery action register</x:v>
      </x:c>
      <x:c r="D20" s="28" t="str">
        <x:v>Portfolio policy</x:v>
      </x:c>
      <x:c r="E20" s="28" t="str">
        <x:v>Management review</x:v>
      </x:c>
      <x:c r="F20" s="28" t="str">
        <x:v>Management stretch</x:v>
      </x:c>
      <x:c r="G20" s="28" t="str">
        <x:v>Capacity limit</x:v>
      </x:c>
      <x:c r="H20" s="31" t="n">
        <x:v>1081.5</x:v>
      </x:c>
      <x:c r="I20" s="28" t="str"/>
      <x:c r="J20" s="28" t="str">
        <x:v>project-management hours</x:v>
      </x:c>
      <x:c r="K20" s="28" t="str">
        <x:v>Earlier management working export</x:v>
      </x:c>
      <x:c r="L20" s="34" t="str">
        <x:v>2026-06-24</x:v>
      </x:c>
      <x:c r="M20" s="28" t="str"/>
    </x:row>
    <x:row r="21">
      <x:c r="A21" s="37" t="str">
        <x:v>PLN-030X41</x:v>
      </x:c>
      <x:c r="B21" s="28" t="str">
        <x:v>Construction gross-margin driver bridge</x:v>
      </x:c>
      <x:c r="C21" s="28" t="str">
        <x:v>Construction margin recovery action register</x:v>
      </x:c>
      <x:c r="D21" s="28" t="str">
        <x:v>Subcontractor buyout renegotiation</x:v>
      </x:c>
      <x:c r="E21" s="28" t="str">
        <x:v>2026-05 working copy</x:v>
      </x:c>
      <x:c r="F21" s="28" t="str">
        <x:v>Approved case</x:v>
      </x:c>
      <x:c r="G21" s="28" t="str">
        <x:v>Cash cost</x:v>
      </x:c>
      <x:c r="H21" s="31" t="n">
        <x:v>166400</x:v>
      </x:c>
      <x:c r="I21" s="28" t="str"/>
      <x:c r="J21" s="28" t="str">
        <x:v>USD</x:v>
      </x:c>
      <x:c r="K21" s="28" t="str">
        <x:v>Earlier management working export</x:v>
      </x:c>
      <x:c r="L21" s="34" t="str">
        <x:v>2026-06-24</x:v>
      </x:c>
      <x:c r="M21" s="28" t="str"/>
    </x:row>
    <x:row r="22">
      <x:c r="A22" s="37" t="str">
        <x:v>PLN-030X42</x:v>
      </x:c>
      <x:c r="B22" s="28" t="str">
        <x:v>Construction gross-margin driver bridge</x:v>
      </x:c>
      <x:c r="C22" s="28" t="str">
        <x:v>Construction margin recovery action register</x:v>
      </x:c>
      <x:c r="D22" s="28" t="str">
        <x:v>Tenant-improvement prefabrication</x:v>
      </x:c>
      <x:c r="E22" s="28" t="str">
        <x:v>Management review</x:v>
      </x:c>
      <x:c r="F22" s="28" t="str">
        <x:v>Management stretch</x:v>
      </x:c>
      <x:c r="G22" s="28" t="str">
        <x:v>Capacity units</x:v>
      </x:c>
      <x:c r="H22" s="31" t="n">
        <x:v>252</x:v>
      </x:c>
      <x:c r="I22" s="28" t="str"/>
      <x:c r="J22" s="28" t="str">
        <x:v>project-management hours</x:v>
      </x:c>
      <x:c r="K22" s="28" t="str">
        <x:v>Earlier management working export</x:v>
      </x:c>
      <x:c r="L22" s="34" t="str">
        <x:v>2026-06-24</x:v>
      </x:c>
      <x:c r="M22" s="28" t="str"/>
    </x:row>
    <x:row r="23">
      <x:c r="A23" s="37" t="str">
        <x:v>PLN-030X43</x:v>
      </x:c>
      <x:c r="B23" s="28" t="str">
        <x:v>Construction gross-margin driver bridge</x:v>
      </x:c>
      <x:c r="C23" s="28" t="str">
        <x:v>Construction margin recovery action register</x:v>
      </x:c>
      <x:c r="D23" s="28" t="str">
        <x:v>Special-project pricing discipline</x:v>
      </x:c>
      <x:c r="E23" s="28" t="str">
        <x:v>2026-05 working copy</x:v>
      </x:c>
      <x:c r="F23" s="28" t="str">
        <x:v>Approved case</x:v>
      </x:c>
      <x:c r="G23" s="28" t="str">
        <x:v>Realization probability</x:v>
      </x:c>
      <x:c r="H23" s="31" t="n">
        <x:v>0.8755</x:v>
      </x:c>
      <x:c r="I23" s="28" t="str"/>
      <x:c r="J23" s="28" t="str">
        <x:v>decimal ratio</x:v>
      </x:c>
      <x:c r="K23" s="28" t="str">
        <x:v>Earlier management working export</x:v>
      </x:c>
      <x:c r="L23" s="34" t="str">
        <x:v>2026-06-24</x:v>
      </x:c>
      <x:c r="M23" s="28" t="str"/>
    </x:row>
    <x:row r="24">
      <x:c r="A24" s="37" t="str">
        <x:v>PLN-030X44</x:v>
      </x:c>
      <x:c r="B24" s="28" t="str">
        <x:v>Construction gross-margin driver bridge</x:v>
      </x:c>
      <x:c r="C24" s="28" t="str">
        <x:v>Construction margin recovery action register</x:v>
      </x:c>
      <x:c r="D24" s="28" t="str">
        <x:v>Large-project crew rebalance</x:v>
      </x:c>
      <x:c r="E24" s="28" t="str">
        <x:v>Management review</x:v>
      </x:c>
      <x:c r="F24" s="28" t="str">
        <x:v>Management stretch</x:v>
      </x:c>
      <x:c r="G24" s="28" t="str">
        <x:v>Gross financial effect</x:v>
      </x:c>
      <x:c r="H24" s="31" t="n">
        <x:v>634.4</x:v>
      </x:c>
      <x:c r="I24" s="28" t="str"/>
      <x:c r="J24" s="28" t="str">
        <x:v>USD thousands</x:v>
      </x:c>
      <x:c r="K24" s="28" t="str">
        <x:v>Earlier management working export</x:v>
      </x:c>
      <x:c r="L24" s="34" t="str">
        <x:v>2026-06-24</x:v>
      </x:c>
      <x:c r="M24" s="28" t="str"/>
    </x:row>
    <x:row r="25">
      <x:c r="A25" s="37" t="str">
        <x:v>PLN-030X45</x:v>
      </x:c>
      <x:c r="B25" s="28" t="str">
        <x:v>Construction gross-margin driver bridge</x:v>
      </x:c>
      <x:c r="C25" s="28" t="str">
        <x:v>Construction margin recovery action register</x:v>
      </x:c>
      <x:c r="D25" s="28" t="str">
        <x:v>Tenant-improvement prefabrication</x:v>
      </x:c>
      <x:c r="E25" s="28" t="str">
        <x:v>2026-05 working copy</x:v>
      </x:c>
      <x:c r="F25" s="28" t="str">
        <x:v>Approved case</x:v>
      </x:c>
      <x:c r="G25" s="28" t="str">
        <x:v>Cash cost</x:v>
      </x:c>
      <x:c r="H25" s="31" t="n">
        <x:v>141750</x:v>
      </x:c>
      <x:c r="I25" s="28" t="str"/>
      <x:c r="J25" s="28" t="str">
        <x:v>USD</x:v>
      </x:c>
      <x:c r="K25" s="28" t="str">
        <x:v>Earlier management working export</x:v>
      </x:c>
      <x:c r="L25" s="34" t="str">
        <x:v>2026-06-24</x:v>
      </x:c>
      <x:c r="M25" s="28" t="str"/>
    </x:row>
    <x:row r="26">
      <x:c r="A26" s="37" t="str">
        <x:v>PLN-030X46</x:v>
      </x:c>
      <x:c r="B26" s="28" t="str">
        <x:v>Construction gross-margin driver bridge</x:v>
      </x:c>
      <x:c r="C26" s="28" t="str">
        <x:v>Construction margin recovery action register</x:v>
      </x:c>
      <x:c r="D26" s="28" t="str">
        <x:v>Retrofit material substitution</x:v>
      </x:c>
      <x:c r="E26" s="28" t="str">
        <x:v>Management review</x:v>
      </x:c>
      <x:c r="F26" s="28" t="str">
        <x:v>Management stretch</x:v>
      </x:c>
      <x:c r="G26" s="28" t="str">
        <x:v>Capacity units</x:v>
      </x:c>
      <x:c r="H26" s="31" t="n">
        <x:v>216.3</x:v>
      </x:c>
      <x:c r="I26" s="28" t="str"/>
      <x:c r="J26" s="28" t="str">
        <x:v>project-management hours</x:v>
      </x:c>
      <x:c r="K26" s="28" t="str">
        <x:v>Earlier management working export</x:v>
      </x:c>
      <x:c r="L26" s="34" t="str">
        <x:v>2026-06-24</x:v>
      </x:c>
      <x:c r="M26" s="28" t="str"/>
    </x:row>
    <x:row r="27">
      <x:c r="A27" s="37" t="str">
        <x:v>PLN-030X95</x:v>
      </x:c>
      <x:c r="B27" s="28" t="str">
        <x:v>Construction gross-margin driver bridge</x:v>
      </x:c>
      <x:c r="C27" s="28" t="str">
        <x:v>Construction margin recovery action register scenario controls</x:v>
      </x:c>
      <x:c r="D27" s="28" t="str">
        <x:v>Steering base</x:v>
      </x:c>
      <x:c r="E27" s="28" t="str">
        <x:v>2026-05 working copy</x:v>
      </x:c>
      <x:c r="F27" s="28" t="str">
        <x:v>Approved case</x:v>
      </x:c>
      <x:c r="G27" s="28" t="str">
        <x:v>Gross effect factor</x:v>
      </x:c>
      <x:c r="H27" s="31" t="n">
        <x:v>1.03</x:v>
      </x:c>
      <x:c r="I27" s="28" t="str"/>
      <x:c r="J27" s="28" t="str">
        <x:v>decimal ratio</x:v>
      </x:c>
      <x:c r="K27" s="28" t="str">
        <x:v>Earlier management working export</x:v>
      </x:c>
      <x:c r="L27" s="34" t="str">
        <x:v>2026-06-24</x:v>
      </x:c>
      <x:c r="M27" s="28" t="str"/>
    </x:row>
    <x:row r="28">
      <x:c r="A28" s="37" t="str">
        <x:v>PLN-030X96</x:v>
      </x:c>
      <x:c r="B28" s="28" t="str">
        <x:v>Construction gross-margin driver bridge</x:v>
      </x:c>
      <x:c r="C28" s="28" t="str">
        <x:v>Construction margin recovery action register scenario controls</x:v>
      </x:c>
      <x:c r="D28" s="28" t="str">
        <x:v>Labor disruption</x:v>
      </x:c>
      <x:c r="E28" s="28" t="str">
        <x:v>Management review</x:v>
      </x:c>
      <x:c r="F28" s="28" t="str">
        <x:v>Management stretch</x:v>
      </x:c>
      <x:c r="G28" s="28" t="str">
        <x:v>Gross effect factor</x:v>
      </x:c>
      <x:c r="H28" s="31" t="n">
        <x:v>0.8736</x:v>
      </x:c>
      <x:c r="I28" s="28" t="str"/>
      <x:c r="J28" s="28" t="str">
        <x:v>decimal ratio</x:v>
      </x:c>
      <x:c r="K28" s="28" t="str">
        <x:v>Earlier management working export</x:v>
      </x:c>
      <x:c r="L28" s="34" t="str">
        <x:v>2026-06-24</x:v>
      </x:c>
      <x:c r="M28" s="28" t="str"/>
    </x:row>
    <x:row r="29">
      <x:c r="A29" s="37" t="str">
        <x:v>PLN-030X97</x:v>
      </x:c>
      <x:c r="B29" s="28" t="str">
        <x:v>Construction gross-margin driver bridge</x:v>
      </x:c>
      <x:c r="C29" s="28" t="str">
        <x:v>Construction margin recovery action register scenario controls</x:v>
      </x:c>
      <x:c r="D29" s="28" t="str">
        <x:v>Buyout and material squeeze</x:v>
      </x:c>
      <x:c r="E29" s="28" t="str">
        <x:v>2026-05 working copy</x:v>
      </x:c>
      <x:c r="F29" s="28" t="str">
        <x:v>Approved case</x:v>
      </x:c>
      <x:c r="G29" s="28" t="str">
        <x:v>Gross effect factor</x:v>
      </x:c>
      <x:c r="H29" s="31" t="n">
        <x:v>0.9450000000000001</x:v>
      </x:c>
      <x:c r="I29" s="28" t="str"/>
      <x:c r="J29" s="28" t="str">
        <x:v>decimal ratio</x:v>
      </x:c>
      <x:c r="K29" s="28" t="str">
        <x:v>Earlier management working export</x:v>
      </x:c>
      <x:c r="L29" s="34" t="str">
        <x:v>2026-06-24</x:v>
      </x:c>
      <x:c r="M29" s="28" t="str"/>
    </x:row>
    <x:row r="30">
      <x:c r="A30" s="37" t="str">
        <x:v>PLN-030X98</x:v>
      </x:c>
      <x:c r="B30" s="28" t="str">
        <x:v>Construction gross-margin driver bridge</x:v>
      </x:c>
      <x:c r="C30" s="28" t="str">
        <x:v>Construction margin recovery action register scenario controls</x:v>
      </x:c>
      <x:c r="D30" s="28" t="str">
        <x:v>Backlog mix erosion</x:v>
      </x:c>
      <x:c r="E30" s="28" t="str">
        <x:v>Management review</x:v>
      </x:c>
      <x:c r="F30" s="28" t="str">
        <x:v>Management stretch</x:v>
      </x:c>
      <x:c r="G30" s="28" t="str">
        <x:v>Gross effect factor</x:v>
      </x:c>
      <x:c r="H30" s="31" t="n">
        <x:v>0.7828</x:v>
      </x:c>
      <x:c r="I30" s="28" t="str"/>
      <x:c r="J30" s="28" t="str">
        <x:v>decimal ratio</x:v>
      </x:c>
      <x:c r="K30" s="28" t="str">
        <x:v>Earlier management working export</x:v>
      </x:c>
      <x:c r="L30" s="34" t="str">
        <x:v>2026-06-24</x:v>
      </x:c>
      <x:c r="M30" s="28" t="str"/>
    </x:row>
    <x:row r="31">
      <x:c r="A31" s="37" t="str">
        <x:v>PLN-030X99</x:v>
      </x:c>
      <x:c r="B31" s="28" t="str">
        <x:v>Construction gross-margin driver bridge</x:v>
      </x:c>
      <x:c r="C31" s="28" t="str">
        <x:v>Construction margin recovery action register scenario controls</x:v>
      </x:c>
      <x:c r="D31" s="28" t="str">
        <x:v>Subcontractor default</x:v>
      </x:c>
      <x:c r="E31" s="28" t="str">
        <x:v>2026-05 working copy</x:v>
      </x:c>
      <x:c r="F31" s="28" t="str">
        <x:v>Approved case</x:v>
      </x:c>
      <x:c r="G31" s="28" t="str">
        <x:v>Gross effect factor</x:v>
      </x:c>
      <x:c r="H31" s="31" t="n">
        <x:v>0.624</x:v>
      </x:c>
      <x:c r="I31" s="28" t="str"/>
      <x:c r="J31" s="28" t="str">
        <x:v>decimal ratio</x:v>
      </x:c>
      <x:c r="K31" s="28" t="str">
        <x:v>Earlier management working export</x:v>
      </x:c>
      <x:c r="L31" s="34" t="str">
        <x:v>2026-06-24</x:v>
      </x:c>
      <x:c r="M31" s="28" t="str"/>
    </x:row>
    <x:row r="32">
      <x:c r="A32" s="37" t="str">
        <x:v>PLN-030X100</x:v>
      </x:c>
      <x:c r="B32" s="28" t="str">
        <x:v>Construction gross-margin driver bridge</x:v>
      </x:c>
      <x:c r="C32" s="28" t="str">
        <x:v>Construction margin recovery action register scenario controls</x:v>
      </x:c>
      <x:c r="D32" s="28" t="str">
        <x:v>Combined construction downside</x:v>
      </x:c>
      <x:c r="E32" s="28" t="str">
        <x:v>Management review</x:v>
      </x:c>
      <x:c r="F32" s="28" t="str">
        <x:v>Management stretch</x:v>
      </x:c>
      <x:c r="G32" s="28" t="str">
        <x:v>Gross effect factor</x:v>
      </x:c>
      <x:c r="H32" s="31" t="n">
        <x:v>0.7140000000000001</x:v>
      </x:c>
      <x:c r="I32" s="28" t="str"/>
      <x:c r="J32" s="28" t="str">
        <x:v>decimal ratio</x:v>
      </x:c>
      <x:c r="K32" s="28" t="str">
        <x:v>Earlier management working export</x:v>
      </x:c>
      <x:c r="L32" s="34" t="str">
        <x:v>2026-06-24</x:v>
      </x:c>
      <x:c r="M32" s="28" t="str"/>
    </x:row>
    <x:row r="33">
      <x:c r="A33" s="37" t="str">
        <x:v>PLN-030X101</x:v>
      </x:c>
      <x:c r="B33" s="28" t="str">
        <x:v>Construction gross-margin driver bridge</x:v>
      </x:c>
      <x:c r="C33" s="28" t="str">
        <x:v>Construction margin recovery action register scenario controls</x:v>
      </x:c>
      <x:c r="D33" s="28" t="str">
        <x:v>Steering base</x:v>
      </x:c>
      <x:c r="E33" s="28" t="str">
        <x:v>2026-05 working copy</x:v>
      </x:c>
      <x:c r="F33" s="28" t="str">
        <x:v>Approved case</x:v>
      </x:c>
      <x:c r="G33" s="28" t="str">
        <x:v>Gross effect factor</x:v>
      </x:c>
      <x:c r="H33" s="31" t="n">
        <x:v>1.03</x:v>
      </x:c>
      <x:c r="I33" s="28" t="str"/>
      <x:c r="J33" s="28" t="str">
        <x:v>decimal ratio</x:v>
      </x:c>
      <x:c r="K33" s="28" t="str">
        <x:v>Earlier management working export</x:v>
      </x:c>
      <x:c r="L33" s="34" t="str">
        <x:v>2026-06-24</x:v>
      </x:c>
      <x:c r="M33" s="28" t="str"/>
    </x:row>
    <x:row r="34">
      <x:c r="A34" s="37" t="str">
        <x:v>PLN-030X102</x:v>
      </x:c>
      <x:c r="B34" s="28" t="str">
        <x:v>Construction gross-margin driver bridge</x:v>
      </x:c>
      <x:c r="C34" s="28" t="str">
        <x:v>Construction margin recovery action register scenario controls</x:v>
      </x:c>
      <x:c r="D34" s="28" t="str">
        <x:v>Labor disruption</x:v>
      </x:c>
      <x:c r="E34" s="28" t="str">
        <x:v>Management review</x:v>
      </x:c>
      <x:c r="F34" s="28" t="str">
        <x:v>Management stretch</x:v>
      </x:c>
      <x:c r="G34" s="28" t="str">
        <x:v>Gross effect factor</x:v>
      </x:c>
      <x:c r="H34" s="31" t="n">
        <x:v>0.8736</x:v>
      </x:c>
      <x:c r="I34" s="28" t="str"/>
      <x:c r="J34" s="28" t="str">
        <x:v>decimal ratio</x:v>
      </x:c>
      <x:c r="K34" s="28" t="str">
        <x:v>Earlier management working export</x:v>
      </x:c>
      <x:c r="L34" s="34" t="str">
        <x:v>2026-06-24</x:v>
      </x:c>
      <x:c r="M34" s="28" t="str"/>
    </x:row>
    <x:row r="35">
      <x:c r="A35" s="37" t="str">
        <x:v>PLN-030X111</x:v>
      </x:c>
      <x:c r="B35" s="28" t="str">
        <x:v>Construction gross-margin driver bridge</x:v>
      </x:c>
      <x:c r="C35" s="28" t="str">
        <x:v>Construction margin recovery action register execution sequencing</x:v>
      </x:c>
      <x:c r="D35" s="28" t="str">
        <x:v>Q1</x:v>
      </x:c>
      <x:c r="E35" s="28" t="str">
        <x:v>2026-05 working copy</x:v>
      </x:c>
      <x:c r="F35" s="28" t="str">
        <x:v>Approved case</x:v>
      </x:c>
      <x:c r="G35" s="28" t="str">
        <x:v>Cash budget</x:v>
      </x:c>
      <x:c r="H35" s="31" t="n">
        <x:v>334750</x:v>
      </x:c>
      <x:c r="I35" s="28" t="str"/>
      <x:c r="J35" s="28" t="str">
        <x:v>USD</x:v>
      </x:c>
      <x:c r="K35" s="28" t="str">
        <x:v>Earlier management working export</x:v>
      </x:c>
      <x:c r="L35" s="34" t="str">
        <x:v>2026-06-24</x:v>
      </x:c>
      <x:c r="M35" s="28" t="str"/>
    </x:row>
    <x:row r="36">
      <x:c r="A36" s="37" t="str">
        <x:v>PLN-030X112</x:v>
      </x:c>
      <x:c r="B36" s="28" t="str">
        <x:v>Construction gross-margin driver bridge</x:v>
      </x:c>
      <x:c r="C36" s="28" t="str">
        <x:v>Construction margin recovery action register execution sequencing</x:v>
      </x:c>
      <x:c r="D36" s="28" t="str">
        <x:v>Q2</x:v>
      </x:c>
      <x:c r="E36" s="28" t="str">
        <x:v>Management review</x:v>
      </x:c>
      <x:c r="F36" s="28" t="str">
        <x:v>Management stretch</x:v>
      </x:c>
      <x:c r="G36" s="28" t="str">
        <x:v>Minimum expected net effect</x:v>
      </x:c>
      <x:c r="H36" s="31" t="n">
        <x:v>260000</x:v>
      </x:c>
      <x:c r="I36" s="28" t="str"/>
      <x:c r="J36" s="28" t="str">
        <x:v>USD</x:v>
      </x:c>
      <x:c r="K36" s="28" t="str">
        <x:v>Earlier management working export</x:v>
      </x:c>
      <x:c r="L36" s="34" t="str">
        <x:v>2026-06-24</x:v>
      </x:c>
      <x:c r="M36" s="28" t="str"/>
    </x:row>
    <x:row r="37">
      <x:c r="A37" s="37" t="str">
        <x:v>PLN-030X113</x:v>
      </x:c>
      <x:c r="B37" s="28" t="str">
        <x:v>Construction gross-margin driver bridge</x:v>
      </x:c>
      <x:c r="C37" s="28" t="str">
        <x:v>Construction margin recovery action register execution sequencing</x:v>
      </x:c>
      <x:c r="D37" s="28" t="str">
        <x:v>Q2</x:v>
      </x:c>
      <x:c r="E37" s="28" t="str">
        <x:v>2026-05 working copy</x:v>
      </x:c>
      <x:c r="F37" s="28" t="str">
        <x:v>Approved case</x:v>
      </x:c>
      <x:c r="G37" s="28" t="str">
        <x:v>Maximum action starts</x:v>
      </x:c>
      <x:c r="H37" s="31" t="n">
        <x:v>2.1</x:v>
      </x:c>
      <x:c r="I37" s="28" t="str"/>
      <x:c r="J37" s="28" t="str">
        <x:v>count</x:v>
      </x:c>
      <x:c r="K37" s="28" t="str">
        <x:v>Earlier management working export</x:v>
      </x:c>
      <x:c r="L37" s="34" t="str">
        <x:v>2026-06-24</x:v>
      </x:c>
      <x:c r="M37" s="28" t="str"/>
    </x:row>
    <x:row r="38">
      <x:c r="A38" s="37" t="str">
        <x:v>PLN-030X114</x:v>
      </x:c>
      <x:c r="B38" s="28" t="str">
        <x:v>Construction gross-margin driver bridge</x:v>
      </x:c>
      <x:c r="C38" s="28" t="str">
        <x:v>Construction margin recovery action register execution sequencing</x:v>
      </x:c>
      <x:c r="D38" s="28" t="str">
        <x:v>Q2</x:v>
      </x:c>
      <x:c r="E38" s="28" t="str">
        <x:v>Management review</x:v>
      </x:c>
      <x:c r="F38" s="28" t="str">
        <x:v>Management stretch</x:v>
      </x:c>
      <x:c r="G38" s="28" t="str">
        <x:v>Capacity limit</x:v>
      </x:c>
      <x:c r="H38" s="31" t="n">
        <x:v>618</x:v>
      </x:c>
      <x:c r="I38" s="28" t="str"/>
      <x:c r="J38" s="28" t="str">
        <x:v>project-management hours</x:v>
      </x:c>
      <x:c r="K38" s="28" t="str">
        <x:v>Earlier management working export</x:v>
      </x:c>
      <x:c r="L38" s="34" t="str">
        <x:v>2026-06-24</x:v>
      </x:c>
      <x:c r="M38" s="28" t="str"/>
    </x:row>
    <x:row r="39">
      <x:c r="A39" s="37" t="str">
        <x:v>PLN-030X115</x:v>
      </x:c>
      <x:c r="B39" s="28" t="str">
        <x:v>Construction gross-margin driver bridge</x:v>
      </x:c>
      <x:c r="C39" s="28" t="str">
        <x:v>Construction margin recovery action register execution sequencing</x:v>
      </x:c>
      <x:c r="D39" s="28" t="str">
        <x:v>Q2</x:v>
      </x:c>
      <x:c r="E39" s="28" t="str">
        <x:v>2026-05 working copy</x:v>
      </x:c>
      <x:c r="F39" s="28" t="str">
        <x:v>Approved case</x:v>
      </x:c>
      <x:c r="G39" s="28" t="str">
        <x:v>Cash budget</x:v>
      </x:c>
      <x:c r="H39" s="31" t="n">
        <x:v>416000</x:v>
      </x:c>
      <x:c r="I39" s="28" t="str"/>
      <x:c r="J39" s="28" t="str">
        <x:v>USD</x:v>
      </x:c>
      <x:c r="K39" s="28" t="str">
        <x:v>Earlier management working export</x:v>
      </x:c>
      <x:c r="L39" s="34" t="str">
        <x:v>2026-06-24</x:v>
      </x:c>
      <x:c r="M39" s="28" t="str"/>
    </x:row>
    <x:row r="40">
      <x:c r="A40" s="37" t="str">
        <x:v>PLN-030X116</x:v>
      </x:c>
      <x:c r="B40" s="28" t="str">
        <x:v>Construction gross-margin driver bridge</x:v>
      </x:c>
      <x:c r="C40" s="28" t="str">
        <x:v>Construction margin recovery action register execution sequencing</x:v>
      </x:c>
      <x:c r="D40" s="28" t="str">
        <x:v>Q1</x:v>
      </x:c>
      <x:c r="E40" s="28" t="str">
        <x:v>Management review</x:v>
      </x:c>
      <x:c r="F40" s="28" t="str">
        <x:v>Management stretch</x:v>
      </x:c>
      <x:c r="G40" s="28" t="str">
        <x:v>Minimum expected net effect</x:v>
      </x:c>
      <x:c r="H40" s="31" t="n">
        <x:v>288750</x:v>
      </x:c>
      <x:c r="I40" s="28" t="str"/>
      <x:c r="J40" s="28" t="str">
        <x:v>USD</x:v>
      </x:c>
      <x:c r="K40" s="28" t="str">
        <x:v>Earlier management working export</x:v>
      </x:c>
      <x:c r="L40" s="34" t="str">
        <x:v>2026-06-24</x:v>
      </x:c>
      <x:c r="M40" s="28" t="str"/>
    </x:row>
    <x:row r="41">
      <x:c r="A41" s="37" t="str">
        <x:v>PLN-00549</x:v>
      </x:c>
      <x:c r="B41" s="28" t="str">
        <x:v>Forecast accuracy and bias backtest</x:v>
      </x:c>
      <x:c r="C41" s="28" t="str">
        <x:v>Monthly locked forecast</x:v>
      </x:c>
      <x:c r="D41" s="28" t="str">
        <x:v>Construction</x:v>
      </x:c>
      <x:c r="E41" s="28" t="str">
        <x:v>2026-05 working copy</x:v>
      </x:c>
      <x:c r="F41" s="28" t="str">
        <x:v>Approved case</x:v>
      </x:c>
      <x:c r="G41" s="28" t="str">
        <x:v>Forecast error rate versus posted actual</x:v>
      </x:c>
      <x:c r="H41" s="31" t="n">
        <x:v>0.036050000000000006</x:v>
      </x:c>
      <x:c r="I41" s="28" t="str"/>
      <x:c r="J41" s="28" t="str">
        <x:v>decimal ratio</x:v>
      </x:c>
      <x:c r="K41" s="28" t="str">
        <x:v>Earlier management working export</x:v>
      </x:c>
      <x:c r="L41" s="34" t="str">
        <x:v>2026-06-24</x:v>
      </x:c>
      <x:c r="M41" s="28" t="str"/>
    </x:row>
    <x:row r="42">
      <x:c r="A42" s="37" t="str">
        <x:v>PLN-00550</x:v>
      </x:c>
      <x:c r="B42" s="28" t="str">
        <x:v>Forecast accuracy and bias backtest</x:v>
      </x:c>
      <x:c r="C42" s="28" t="str">
        <x:v>Forecast policy flags</x:v>
      </x:c>
      <x:c r="D42" s="28" t="str">
        <x:v>Construction</x:v>
      </x:c>
      <x:c r="E42" s="28" t="str">
        <x:v>2025-08</x:v>
      </x:c>
      <x:c r="F42" s="28" t="str">
        <x:v>Management stretch</x:v>
      </x:c>
      <x:c r="G42" s="28" t="str">
        <x:v>Acquisition month flag</x:v>
      </x:c>
      <x:c r="H42" s="31" t="n">
        <x:v>0</x:v>
      </x:c>
      <x:c r="I42" s="28" t="str"/>
      <x:c r="J42" s="28" t="str">
        <x:v>boolean</x:v>
      </x:c>
      <x:c r="K42" s="28" t="str">
        <x:v>Earlier management working export</x:v>
      </x:c>
      <x:c r="L42" s="34" t="str">
        <x:v>2026-06-24</x:v>
      </x:c>
      <x:c r="M42" s="28" t="str"/>
    </x:row>
    <x:row r="43">
      <x:c r="A43" s="37" t="str">
        <x:v>PLN-00551</x:v>
      </x:c>
      <x:c r="B43" s="28" t="str">
        <x:v>Forecast accuracy and bias backtest</x:v>
      </x:c>
      <x:c r="C43" s="28" t="str">
        <x:v>Monthly locked forecast</x:v>
      </x:c>
      <x:c r="D43" s="28" t="str">
        <x:v>Service</x:v>
      </x:c>
      <x:c r="E43" s="28" t="str">
        <x:v>2026-05 working copy</x:v>
      </x:c>
      <x:c r="F43" s="28" t="str">
        <x:v>Approved case</x:v>
      </x:c>
      <x:c r="G43" s="28" t="str">
        <x:v>Forecast error rate versus posted actual</x:v>
      </x:c>
      <x:c r="H43" s="31" t="n">
        <x:v>-0.0231</x:v>
      </x:c>
      <x:c r="I43" s="28" t="str"/>
      <x:c r="J43" s="28" t="str">
        <x:v>decimal ratio</x:v>
      </x:c>
      <x:c r="K43" s="28" t="str">
        <x:v>Earlier management working export</x:v>
      </x:c>
      <x:c r="L43" s="34" t="str">
        <x:v>2026-06-24</x:v>
      </x:c>
      <x:c r="M43" s="28" t="str"/>
    </x:row>
    <x:row r="44">
      <x:c r="A44" s="37" t="str">
        <x:v>PLN-00552</x:v>
      </x:c>
      <x:c r="B44" s="28" t="str">
        <x:v>Forecast accuracy and bias backtest</x:v>
      </x:c>
      <x:c r="C44" s="28" t="str">
        <x:v>Forecast policy flags</x:v>
      </x:c>
      <x:c r="D44" s="28" t="str">
        <x:v>Service</x:v>
      </x:c>
      <x:c r="E44" s="28" t="str">
        <x:v>2025-10</x:v>
      </x:c>
      <x:c r="F44" s="28" t="str">
        <x:v>Management stretch</x:v>
      </x:c>
      <x:c r="G44" s="28" t="str">
        <x:v>Acquisition month flag</x:v>
      </x:c>
      <x:c r="H44" s="31" t="n">
        <x:v>0</x:v>
      </x:c>
      <x:c r="I44" s="28" t="str"/>
      <x:c r="J44" s="28" t="str">
        <x:v>boolean</x:v>
      </x:c>
      <x:c r="K44" s="28" t="str">
        <x:v>Earlier management working export</x:v>
      </x:c>
      <x:c r="L44" s="34" t="str">
        <x:v>2026-06-24</x:v>
      </x:c>
      <x:c r="M44" s="28" t="str"/>
    </x:row>
    <x:row r="45">
      <x:c r="A45" s="37" t="str">
        <x:v>PLN-00553</x:v>
      </x:c>
      <x:c r="B45" s="28" t="str">
        <x:v>Forecast accuracy and bias backtest</x:v>
      </x:c>
      <x:c r="C45" s="28" t="str">
        <x:v>Monthly locked forecast</x:v>
      </x:c>
      <x:c r="D45" s="28" t="str">
        <x:v>Building Controls</x:v>
      </x:c>
      <x:c r="E45" s="28" t="str">
        <x:v>2026-05 working copy</x:v>
      </x:c>
      <x:c r="F45" s="28" t="str">
        <x:v>Approved case</x:v>
      </x:c>
      <x:c r="G45" s="28" t="str">
        <x:v>Forecast error rate versus posted actual</x:v>
      </x:c>
      <x:c r="H45" s="31" t="n">
        <x:v>-0.078</x:v>
      </x:c>
      <x:c r="I45" s="28" t="str"/>
      <x:c r="J45" s="28" t="str">
        <x:v>decimal ratio</x:v>
      </x:c>
      <x:c r="K45" s="28" t="str">
        <x:v>Earlier management working export</x:v>
      </x:c>
      <x:c r="L45" s="34" t="str">
        <x:v>2026-06-24</x:v>
      </x:c>
      <x:c r="M45" s="28" t="str"/>
    </x:row>
    <x:row r="46">
      <x:c r="A46" s="37" t="str">
        <x:v>PLN-00554</x:v>
      </x:c>
      <x:c r="B46" s="28" t="str">
        <x:v>Forecast accuracy and bias backtest</x:v>
      </x:c>
      <x:c r="C46" s="28" t="str">
        <x:v>Forecast policy flags</x:v>
      </x:c>
      <x:c r="D46" s="28" t="str">
        <x:v>Building Controls</x:v>
      </x:c>
      <x:c r="E46" s="28" t="str">
        <x:v>2025-12</x:v>
      </x:c>
      <x:c r="F46" s="28" t="str">
        <x:v>Management stretch</x:v>
      </x:c>
      <x:c r="G46" s="28" t="str">
        <x:v>Acquisition month flag</x:v>
      </x:c>
      <x:c r="H46" s="31" t="n">
        <x:v>0</x:v>
      </x:c>
      <x:c r="I46" s="28" t="str"/>
      <x:c r="J46" s="28" t="str">
        <x:v>boolean</x:v>
      </x:c>
      <x:c r="K46" s="28" t="str">
        <x:v>Earlier management working export</x:v>
      </x:c>
      <x:c r="L46" s="34" t="str">
        <x:v>2026-06-24</x:v>
      </x:c>
      <x:c r="M46" s="28" t="str"/>
    </x:row>
    <x:row r="47">
      <x:c r="A47" s="37" t="str">
        <x:v>PLN-00555</x:v>
      </x:c>
      <x:c r="B47" s="28" t="str">
        <x:v>Forecast accuracy and bias backtest</x:v>
      </x:c>
      <x:c r="C47" s="28" t="str">
        <x:v>Monthly locked forecast</x:v>
      </x:c>
      <x:c r="D47" s="28" t="str">
        <x:v>Construction</x:v>
      </x:c>
      <x:c r="E47" s="28" t="str">
        <x:v>2026-05 working copy</x:v>
      </x:c>
      <x:c r="F47" s="28" t="str">
        <x:v>Approved case</x:v>
      </x:c>
      <x:c r="G47" s="28" t="str">
        <x:v>Forecast error rate versus posted actual</x:v>
      </x:c>
      <x:c r="H47" s="31" t="n">
        <x:v>0.07725000000000001</x:v>
      </x:c>
      <x:c r="I47" s="28" t="str"/>
      <x:c r="J47" s="28" t="str">
        <x:v>decimal ratio</x:v>
      </x:c>
      <x:c r="K47" s="28" t="str">
        <x:v>Earlier management working export</x:v>
      </x:c>
      <x:c r="L47" s="34" t="str">
        <x:v>2026-06-24</x:v>
      </x:c>
      <x:c r="M47" s="28" t="str"/>
    </x:row>
    <x:row r="48">
      <x:c r="A48" s="37" t="str">
        <x:v>PLN-00556</x:v>
      </x:c>
      <x:c r="B48" s="28" t="str">
        <x:v>Forecast accuracy and bias backtest</x:v>
      </x:c>
      <x:c r="C48" s="28" t="str">
        <x:v>Forecast policy flags</x:v>
      </x:c>
      <x:c r="D48" s="28" t="str">
        <x:v>Construction</x:v>
      </x:c>
      <x:c r="E48" s="28" t="str">
        <x:v>2026-03</x:v>
      </x:c>
      <x:c r="F48" s="28" t="str">
        <x:v>Management stretch</x:v>
      </x:c>
      <x:c r="G48" s="28" t="str">
        <x:v>Acquisition month flag</x:v>
      </x:c>
      <x:c r="H48" s="31" t="n">
        <x:v>0</x:v>
      </x:c>
      <x:c r="I48" s="28" t="str"/>
      <x:c r="J48" s="28" t="str">
        <x:v>boolean</x:v>
      </x:c>
      <x:c r="K48" s="28" t="str">
        <x:v>Earlier management working export</x:v>
      </x:c>
      <x:c r="L48" s="34" t="str">
        <x:v>2026-06-24</x:v>
      </x:c>
      <x:c r="M48" s="28" t="str"/>
    </x:row>
    <x:row r="49">
      <x:c r="A49" s="37" t="str">
        <x:v>PLN-00557</x:v>
      </x:c>
      <x:c r="B49" s="28" t="str">
        <x:v>Forecast accuracy and bias backtest</x:v>
      </x:c>
      <x:c r="C49" s="28" t="str">
        <x:v>Monthly locked forecast</x:v>
      </x:c>
      <x:c r="D49" s="28" t="str">
        <x:v>Service</x:v>
      </x:c>
      <x:c r="E49" s="28" t="str">
        <x:v>2026-05 working copy</x:v>
      </x:c>
      <x:c r="F49" s="28" t="str">
        <x:v>Approved case</x:v>
      </x:c>
      <x:c r="G49" s="28" t="str">
        <x:v>Forecast error rate versus posted actual</x:v>
      </x:c>
      <x:c r="H49" s="31" t="n">
        <x:v>-0.0231</x:v>
      </x:c>
      <x:c r="I49" s="28" t="str"/>
      <x:c r="J49" s="28" t="str">
        <x:v>decimal ratio</x:v>
      </x:c>
      <x:c r="K49" s="28" t="str">
        <x:v>Earlier management working export</x:v>
      </x:c>
      <x:c r="L49" s="34" t="str">
        <x:v>2026-06-24</x:v>
      </x:c>
      <x:c r="M49" s="28" t="str"/>
    </x:row>
    <x:row r="50">
      <x:c r="A50" s="37" t="str">
        <x:v>PLN-00558</x:v>
      </x:c>
      <x:c r="B50" s="28" t="str">
        <x:v>Forecast accuracy and bias backtest</x:v>
      </x:c>
      <x:c r="C50" s="28" t="str">
        <x:v>Forecast policy flags</x:v>
      </x:c>
      <x:c r="D50" s="28" t="str">
        <x:v>Service</x:v>
      </x:c>
      <x:c r="E50" s="28" t="str">
        <x:v>2026-05</x:v>
      </x:c>
      <x:c r="F50" s="28" t="str">
        <x:v>Management stretch</x:v>
      </x:c>
      <x:c r="G50" s="28" t="str">
        <x:v>Acquisition month flag</x:v>
      </x:c>
      <x:c r="H50" s="31" t="n">
        <x:v>0</x:v>
      </x:c>
      <x:c r="I50" s="28" t="str"/>
      <x:c r="J50" s="28" t="str">
        <x:v>boolean</x:v>
      </x:c>
      <x:c r="K50" s="28" t="str">
        <x:v>Earlier management working export</x:v>
      </x:c>
      <x:c r="L50" s="34" t="str">
        <x:v>2026-06-24</x:v>
      </x:c>
      <x:c r="M50" s="28" t="str"/>
    </x:row>
    <x:row r="51">
      <x:c r="A51" s="37" t="str">
        <x:v>PLN-00559</x:v>
      </x:c>
      <x:c r="B51" s="28" t="str">
        <x:v>Forecast accuracy and bias backtest</x:v>
      </x:c>
      <x:c r="C51" s="28" t="str">
        <x:v>Monthly locked forecast</x:v>
      </x:c>
      <x:c r="D51" s="28" t="str">
        <x:v>Building Controls</x:v>
      </x:c>
      <x:c r="E51" s="28" t="str">
        <x:v>2026-05 working copy</x:v>
      </x:c>
      <x:c r="F51" s="28" t="str">
        <x:v>Approved case</x:v>
      </x:c>
      <x:c r="G51" s="28" t="str">
        <x:v>Forecast error rate versus posted actual</x:v>
      </x:c>
      <x:c r="H51" s="31" t="n">
        <x:v>-0.078</x:v>
      </x:c>
      <x:c r="I51" s="28" t="str"/>
      <x:c r="J51" s="28" t="str">
        <x:v>decimal ratio</x:v>
      </x:c>
      <x:c r="K51" s="28" t="str">
        <x:v>Earlier management working export</x:v>
      </x:c>
      <x:c r="L51" s="34" t="str">
        <x:v>2026-06-24</x:v>
      </x:c>
      <x:c r="M51" s="28" t="str"/>
    </x:row>
    <x:row r="52">
      <x:c r="A52" s="37" t="str">
        <x:v>PLN-00560</x:v>
      </x:c>
      <x:c r="B52" s="28" t="str">
        <x:v>Forecast accuracy and bias backtest</x:v>
      </x:c>
      <x:c r="C52" s="28" t="str">
        <x:v>Forecast policy flags</x:v>
      </x:c>
      <x:c r="D52" s="28" t="str">
        <x:v>Building Controls</x:v>
      </x:c>
      <x:c r="E52" s="28" t="str">
        <x:v>2025-07</x:v>
      </x:c>
      <x:c r="F52" s="28" t="str">
        <x:v>Management stretch</x:v>
      </x:c>
      <x:c r="G52" s="28" t="str">
        <x:v>Acquisition month flag</x:v>
      </x:c>
      <x:c r="H52" s="31" t="n">
        <x:v>0</x:v>
      </x:c>
      <x:c r="I52" s="28" t="str"/>
      <x:c r="J52" s="28" t="str">
        <x:v>boolean</x:v>
      </x:c>
      <x:c r="K52" s="28" t="str">
        <x:v>Earlier management working export</x:v>
      </x:c>
      <x:c r="L52" s="34" t="str">
        <x:v>2026-06-24</x:v>
      </x:c>
      <x:c r="M52" s="28" t="str"/>
    </x:row>
    <x:row r="53">
      <x:c r="A53" s="37" t="str">
        <x:v>PLN-00561</x:v>
      </x:c>
      <x:c r="B53" s="28" t="str">
        <x:v>Forecast accuracy and bias backtest</x:v>
      </x:c>
      <x:c r="C53" s="28" t="str">
        <x:v>Monthly locked forecast</x:v>
      </x:c>
      <x:c r="D53" s="28" t="str">
        <x:v>Construction</x:v>
      </x:c>
      <x:c r="E53" s="28" t="str">
        <x:v>2026-05 working copy</x:v>
      </x:c>
      <x:c r="F53" s="28" t="str">
        <x:v>Approved case</x:v>
      </x:c>
      <x:c r="G53" s="28" t="str">
        <x:v>Forecast error rate versus posted actual</x:v>
      </x:c>
      <x:c r="H53" s="31" t="n">
        <x:v>0.036050000000000006</x:v>
      </x:c>
      <x:c r="I53" s="28" t="str"/>
      <x:c r="J53" s="28" t="str">
        <x:v>decimal ratio</x:v>
      </x:c>
      <x:c r="K53" s="28" t="str">
        <x:v>Earlier management working export</x:v>
      </x:c>
      <x:c r="L53" s="34" t="str">
        <x:v>2026-06-24</x:v>
      </x:c>
      <x:c r="M53" s="28" t="str"/>
    </x:row>
    <x:row r="54">
      <x:c r="A54" s="37" t="str">
        <x:v>PLN-00562</x:v>
      </x:c>
      <x:c r="B54" s="28" t="str">
        <x:v>Forecast accuracy and bias backtest</x:v>
      </x:c>
      <x:c r="C54" s="28" t="str">
        <x:v>Forecast policy flags</x:v>
      </x:c>
      <x:c r="D54" s="28" t="str">
        <x:v>Construction</x:v>
      </x:c>
      <x:c r="E54" s="28" t="str">
        <x:v>2025-10</x:v>
      </x:c>
      <x:c r="F54" s="28" t="str">
        <x:v>Management stretch</x:v>
      </x:c>
      <x:c r="G54" s="28" t="str">
        <x:v>Acquisition month flag</x:v>
      </x:c>
      <x:c r="H54" s="31" t="n">
        <x:v>0</x:v>
      </x:c>
      <x:c r="I54" s="28" t="str"/>
      <x:c r="J54" s="28" t="str">
        <x:v>boolean</x:v>
      </x:c>
      <x:c r="K54" s="28" t="str">
        <x:v>Earlier management working export</x:v>
      </x:c>
      <x:c r="L54" s="34" t="str">
        <x:v>2026-06-24</x:v>
      </x:c>
      <x:c r="M54" s="28" t="str"/>
    </x:row>
    <x:row r="55">
      <x:c r="A55" s="37" t="str">
        <x:v>PLN-00563</x:v>
      </x:c>
      <x:c r="B55" s="28" t="str">
        <x:v>Forecast accuracy and bias backtest</x:v>
      </x:c>
      <x:c r="C55" s="28" t="str">
        <x:v>Monthly locked forecast</x:v>
      </x:c>
      <x:c r="D55" s="28" t="str">
        <x:v>Service</x:v>
      </x:c>
      <x:c r="E55" s="28" t="str">
        <x:v>2026-05 working copy</x:v>
      </x:c>
      <x:c r="F55" s="28" t="str">
        <x:v>Approved case</x:v>
      </x:c>
      <x:c r="G55" s="28" t="str">
        <x:v>Forecast error rate versus posted actual</x:v>
      </x:c>
      <x:c r="H55" s="31" t="n">
        <x:v>-0.0231</x:v>
      </x:c>
      <x:c r="I55" s="28" t="str"/>
      <x:c r="J55" s="28" t="str">
        <x:v>decimal ratio</x:v>
      </x:c>
      <x:c r="K55" s="28" t="str">
        <x:v>Earlier management working export</x:v>
      </x:c>
      <x:c r="L55" s="34" t="str">
        <x:v>2026-06-24</x:v>
      </x:c>
      <x:c r="M55" s="28" t="str"/>
    </x:row>
    <x:row r="56">
      <x:c r="A56" s="37" t="str">
        <x:v>PLN-01298</x:v>
      </x:c>
      <x:c r="B56" s="28" t="str">
        <x:v>Scenario-weighted earnings and liquidity at risk</x:v>
      </x:c>
      <x:c r="C56" s="28" t="str">
        <x:v>Scenario baseline</x:v>
      </x:c>
      <x:c r="D56" s="28" t="str">
        <x:v>Alder Ridge</x:v>
      </x:c>
      <x:c r="E56" s="28" t="str">
        <x:v>2026-05 working copy</x:v>
      </x:c>
      <x:c r="F56" s="28" t="str">
        <x:v>Approved case</x:v>
      </x:c>
      <x:c r="G56" s="28" t="str">
        <x:v>Revenue</x:v>
      </x:c>
      <x:c r="H56" s="31" t="n">
        <x:v>55568500</x:v>
      </x:c>
      <x:c r="I56" s="28" t="str"/>
      <x:c r="J56" s="28" t="str">
        <x:v>USD</x:v>
      </x:c>
      <x:c r="K56" s="28" t="str">
        <x:v>Earlier management working export</x:v>
      </x:c>
      <x:c r="L56" s="34" t="str">
        <x:v>2026-06-24</x:v>
      </x:c>
      <x:c r="M56" s="28" t="str"/>
    </x:row>
    <x:row r="57">
      <x:c r="A57" s="37" t="str">
        <x:v>PLN-01299</x:v>
      </x:c>
      <x:c r="B57" s="28" t="str">
        <x:v>Scenario-weighted earnings and liquidity at risk</x:v>
      </x:c>
      <x:c r="C57" s="28" t="str">
        <x:v>Integrated risk scenarios</x:v>
      </x:c>
      <x:c r="D57" s="28" t="str">
        <x:v>Alder Ridge</x:v>
      </x:c>
      <x:c r="E57" s="28" t="str">
        <x:v>Upside</x:v>
      </x:c>
      <x:c r="F57" s="28" t="str">
        <x:v>Management stretch</x:v>
      </x:c>
      <x:c r="G57" s="28" t="str">
        <x:v>Capex deferral</x:v>
      </x:c>
      <x:c r="H57" s="31" t="n">
        <x:v>156000</x:v>
      </x:c>
      <x:c r="I57" s="28" t="str"/>
      <x:c r="J57" s="28" t="str">
        <x:v>USD</x:v>
      </x:c>
      <x:c r="K57" s="28" t="str">
        <x:v>Earlier management working export</x:v>
      </x:c>
      <x:c r="L57" s="34" t="str">
        <x:v>2026-06-24</x:v>
      </x:c>
      <x:c r="M57" s="28" t="str"/>
    </x:row>
    <x:row r="58">
      <x:c r="A58" s="37" t="str">
        <x:v>PLN-01300</x:v>
      </x:c>
      <x:c r="B58" s="28" t="str">
        <x:v>Scenario-weighted earnings and liquidity at risk</x:v>
      </x:c>
      <x:c r="C58" s="28" t="str">
        <x:v>Integrated risk scenarios</x:v>
      </x:c>
      <x:c r="D58" s="28" t="str">
        <x:v>Alder Ridge</x:v>
      </x:c>
      <x:c r="E58" s="28" t="str">
        <x:v>2026-05 working copy</x:v>
      </x:c>
      <x:c r="F58" s="28" t="str">
        <x:v>Approved case</x:v>
      </x:c>
      <x:c r="G58" s="28" t="str">
        <x:v>One-time mitigation cost</x:v>
      </x:c>
      <x:c r="H58" s="31" t="n">
        <x:v>0</x:v>
      </x:c>
      <x:c r="I58" s="28" t="str"/>
      <x:c r="J58" s="28" t="str">
        <x:v>USD</x:v>
      </x:c>
      <x:c r="K58" s="28" t="str">
        <x:v>Earlier management working export</x:v>
      </x:c>
      <x:c r="L58" s="34" t="str">
        <x:v>2026-06-24</x:v>
      </x:c>
      <x:c r="M58" s="28" t="str"/>
    </x:row>
    <x:row r="59">
      <x:c r="A59" s="37" t="str">
        <x:v>PLN-01301</x:v>
      </x:c>
      <x:c r="B59" s="28" t="str">
        <x:v>Scenario-weighted earnings and liquidity at risk</x:v>
      </x:c>
      <x:c r="C59" s="28" t="str">
        <x:v>Integrated risk scenarios</x:v>
      </x:c>
      <x:c r="D59" s="28" t="str">
        <x:v>Alder Ridge</x:v>
      </x:c>
      <x:c r="E59" s="28" t="str">
        <x:v>Severe</x:v>
      </x:c>
      <x:c r="F59" s="28" t="str">
        <x:v>Management stretch</x:v>
      </x:c>
      <x:c r="G59" s="28" t="str">
        <x:v>Probability</x:v>
      </x:c>
      <x:c r="H59" s="31" t="n">
        <x:v>0.1545</x:v>
      </x:c>
      <x:c r="I59" s="28" t="str"/>
      <x:c r="J59" s="28" t="str">
        <x:v>decimal ratio</x:v>
      </x:c>
      <x:c r="K59" s="28" t="str">
        <x:v>Earlier management working export</x:v>
      </x:c>
      <x:c r="L59" s="34" t="str">
        <x:v>2026-06-24</x:v>
      </x:c>
      <x:c r="M59" s="28" t="str"/>
    </x:row>
    <x:row r="60">
      <x:c r="A60" s="37" t="str">
        <x:v>PLN-01302</x:v>
      </x:c>
      <x:c r="B60" s="28" t="str">
        <x:v>Scenario-weighted earnings and liquidity at risk</x:v>
      </x:c>
      <x:c r="C60" s="28" t="str">
        <x:v>Scenario cash assumptions</x:v>
      </x:c>
      <x:c r="D60" s="28" t="str">
        <x:v>Alder Ridge</x:v>
      </x:c>
      <x:c r="E60" s="28" t="str">
        <x:v>2026-05 working copy</x:v>
      </x:c>
      <x:c r="F60" s="28" t="str">
        <x:v>Approved case</x:v>
      </x:c>
      <x:c r="G60" s="28" t="str">
        <x:v>Base capex</x:v>
      </x:c>
      <x:c r="H60" s="31" t="n">
        <x:v>2990000</x:v>
      </x:c>
      <x:c r="I60" s="28" t="str"/>
      <x:c r="J60" s="28" t="str">
        <x:v>USD</x:v>
      </x:c>
      <x:c r="K60" s="28" t="str">
        <x:v>Earlier management working export</x:v>
      </x:c>
      <x:c r="L60" s="34" t="str">
        <x:v>2026-06-24</x:v>
      </x:c>
      <x:c r="M60" s="28" t="str"/>
    </x:row>
    <x:row r="61">
      <x:c r="A61" s="37" t="str">
        <x:v>PLN-01303</x:v>
      </x:c>
      <x:c r="B61" s="28" t="str">
        <x:v>Scenario-weighted earnings and liquidity at risk</x:v>
      </x:c>
      <x:c r="C61" s="28" t="str">
        <x:v>Integrated risk scenarios</x:v>
      </x:c>
      <x:c r="D61" s="28" t="str">
        <x:v>Alder Ridge</x:v>
      </x:c>
      <x:c r="E61" s="28" t="str">
        <x:v>Upside</x:v>
      </x:c>
      <x:c r="F61" s="28" t="str">
        <x:v>Management stretch</x:v>
      </x:c>
      <x:c r="G61" s="28" t="str">
        <x:v>Probability</x:v>
      </x:c>
      <x:c r="H61" s="31" t="n">
        <x:v>0.1575</x:v>
      </x:c>
      <x:c r="I61" s="28" t="str"/>
      <x:c r="J61" s="28" t="str">
        <x:v>decimal ratio</x:v>
      </x:c>
      <x:c r="K61" s="28" t="str">
        <x:v>Earlier management working export</x:v>
      </x:c>
      <x:c r="L61" s="34" t="str">
        <x:v>2026-06-24</x:v>
      </x:c>
      <x:c r="M61" s="28" t="str"/>
    </x:row>
    <x:row r="62">
      <x:c r="A62" s="37" t="str">
        <x:v>PLN-01304</x:v>
      </x:c>
      <x:c r="B62" s="28" t="str">
        <x:v>Scenario-weighted earnings and liquidity at risk</x:v>
      </x:c>
      <x:c r="C62" s="28" t="str">
        <x:v>Integrated risk scenarios</x:v>
      </x:c>
      <x:c r="D62" s="28" t="str">
        <x:v>Alder Ridge</x:v>
      </x:c>
      <x:c r="E62" s="28" t="str">
        <x:v>2026-05 working copy</x:v>
      </x:c>
      <x:c r="F62" s="28" t="str">
        <x:v>Approved case</x:v>
      </x:c>
      <x:c r="G62" s="28" t="str">
        <x:v>Revenue change</x:v>
      </x:c>
      <x:c r="H62" s="31" t="n">
        <x:v>0</x:v>
      </x:c>
      <x:c r="I62" s="28" t="str"/>
      <x:c r="J62" s="28" t="str">
        <x:v>decimal ratio</x:v>
      </x:c>
      <x:c r="K62" s="28" t="str">
        <x:v>Earlier management working export</x:v>
      </x:c>
      <x:c r="L62" s="34" t="str">
        <x:v>2026-06-24</x:v>
      </x:c>
      <x:c r="M62" s="28" t="str"/>
    </x:row>
    <x:row r="63">
      <x:c r="A63" s="37" t="str">
        <x:v>PLN-01305</x:v>
      </x:c>
      <x:c r="B63" s="28" t="str">
        <x:v>Scenario-weighted earnings and liquidity at risk</x:v>
      </x:c>
      <x:c r="C63" s="28" t="str">
        <x:v>Integrated risk scenarios</x:v>
      </x:c>
      <x:c r="D63" s="28" t="str">
        <x:v>Alder Ridge</x:v>
      </x:c>
      <x:c r="E63" s="28" t="str">
        <x:v>Soft landing</x:v>
      </x:c>
      <x:c r="F63" s="28" t="str">
        <x:v>Management stretch</x:v>
      </x:c>
      <x:c r="G63" s="28" t="str">
        <x:v>Gross margin change</x:v>
      </x:c>
      <x:c r="H63" s="31" t="n">
        <x:v>-0.013000000000000001</x:v>
      </x:c>
      <x:c r="I63" s="28" t="str"/>
      <x:c r="J63" s="28" t="str">
        <x:v>decimal ratio</x:v>
      </x:c>
      <x:c r="K63" s="28" t="str">
        <x:v>Earlier management working export</x:v>
      </x:c>
      <x:c r="L63" s="34" t="str">
        <x:v>2026-06-24</x:v>
      </x:c>
      <x:c r="M63" s="28" t="str"/>
    </x:row>
    <x:row r="64">
      <x:c r="A64" s="37" t="str">
        <x:v>PLN-01306</x:v>
      </x:c>
      <x:c r="B64" s="28" t="str">
        <x:v>Scenario-weighted earnings and liquidity at risk</x:v>
      </x:c>
      <x:c r="C64" s="28" t="str">
        <x:v>Integrated risk scenarios</x:v>
      </x:c>
      <x:c r="D64" s="28" t="str">
        <x:v>Alder Ridge</x:v>
      </x:c>
      <x:c r="E64" s="28" t="str">
        <x:v>2026-05 working copy</x:v>
      </x:c>
      <x:c r="F64" s="28" t="str">
        <x:v>Approved case</x:v>
      </x:c>
      <x:c r="G64" s="28" t="str">
        <x:v>DSO change</x:v>
      </x:c>
      <x:c r="H64" s="31" t="n">
        <x:v>18.900000000000002</x:v>
      </x:c>
      <x:c r="I64" s="28" t="str"/>
      <x:c r="J64" s="28" t="str">
        <x:v>days</x:v>
      </x:c>
      <x:c r="K64" s="28" t="str">
        <x:v>Earlier management working export</x:v>
      </x:c>
      <x:c r="L64" s="34" t="str">
        <x:v>2026-06-24</x:v>
      </x:c>
      <x:c r="M64" s="28" t="str"/>
    </x:row>
    <x:row r="65">
      <x:c r="A65" s="37" t="str">
        <x:v>PLN-01307</x:v>
      </x:c>
      <x:c r="B65" s="28" t="str">
        <x:v>Scenario-weighted earnings and liquidity at risk</x:v>
      </x:c>
      <x:c r="C65" s="28" t="str">
        <x:v>Scenario cash assumptions</x:v>
      </x:c>
      <x:c r="D65" s="28" t="str">
        <x:v>Alder Ridge</x:v>
      </x:c>
      <x:c r="E65" s="28" t="str">
        <x:v>FY27</x:v>
      </x:c>
      <x:c r="F65" s="28" t="str">
        <x:v>Management stretch</x:v>
      </x:c>
      <x:c r="G65" s="28" t="str">
        <x:v>Revolver capacity</x:v>
      </x:c>
      <x:c r="H65" s="31" t="n">
        <x:v>8240000</x:v>
      </x:c>
      <x:c r="I65" s="28" t="str"/>
      <x:c r="J65" s="28" t="str">
        <x:v>USD</x:v>
      </x:c>
      <x:c r="K65" s="28" t="str">
        <x:v>Earlier management working export</x:v>
      </x:c>
      <x:c r="L65" s="34" t="str">
        <x:v>2026-06-24</x:v>
      </x:c>
      <x:c r="M65" s="28" t="str"/>
    </x:row>
    <x:row r="66">
      <x:c r="A66" s="37" t="str">
        <x:v>PLN-01308</x:v>
      </x:c>
      <x:c r="B66" s="28" t="str">
        <x:v>Scenario-weighted earnings and liquidity at risk</x:v>
      </x:c>
      <x:c r="C66" s="28" t="str">
        <x:v>Integrated risk scenarios</x:v>
      </x:c>
      <x:c r="D66" s="28" t="str">
        <x:v>Alder Ridge</x:v>
      </x:c>
      <x:c r="E66" s="28" t="str">
        <x:v>2026-05 working copy</x:v>
      </x:c>
      <x:c r="F66" s="28" t="str">
        <x:v>Approved case</x:v>
      </x:c>
      <x:c r="G66" s="28" t="str">
        <x:v>DSO change</x:v>
      </x:c>
      <x:c r="H66" s="31" t="n">
        <x:v>-3.12</x:v>
      </x:c>
      <x:c r="I66" s="28" t="str"/>
      <x:c r="J66" s="28" t="str">
        <x:v>days</x:v>
      </x:c>
      <x:c r="K66" s="28" t="str">
        <x:v>Earlier management working export</x:v>
      </x:c>
      <x:c r="L66" s="34" t="str">
        <x:v>2026-06-24</x:v>
      </x:c>
      <x:c r="M66" s="28" t="str"/>
    </x:row>
    <x:row r="67">
      <x:c r="A67" s="37" t="str">
        <x:v>PLN-01309</x:v>
      </x:c>
      <x:c r="B67" s="28" t="str">
        <x:v>Scenario-weighted earnings and liquidity at risk</x:v>
      </x:c>
      <x:c r="C67" s="28" t="str">
        <x:v>Integrated risk scenarios</x:v>
      </x:c>
      <x:c r="D67" s="28" t="str">
        <x:v>Alder Ridge</x:v>
      </x:c>
      <x:c r="E67" s="28" t="str">
        <x:v>Base</x:v>
      </x:c>
      <x:c r="F67" s="28" t="str">
        <x:v>Management stretch</x:v>
      </x:c>
      <x:c r="G67" s="28" t="str">
        <x:v>Capex deferral</x:v>
      </x:c>
      <x:c r="H67" s="31" t="n">
        <x:v>0</x:v>
      </x:c>
      <x:c r="I67" s="28" t="str"/>
      <x:c r="J67" s="28" t="str">
        <x:v>USD</x:v>
      </x:c>
      <x:c r="K67" s="28" t="str">
        <x:v>Earlier management working export</x:v>
      </x:c>
      <x:c r="L67" s="34" t="str">
        <x:v>2026-06-24</x:v>
      </x:c>
      <x:c r="M67" s="28" t="str"/>
    </x:row>
    <x:row r="68">
      <x:c r="A68" s="37" t="str">
        <x:v>PLN-01310</x:v>
      </x:c>
      <x:c r="B68" s="28" t="str">
        <x:v>Scenario-weighted earnings and liquidity at risk</x:v>
      </x:c>
      <x:c r="C68" s="28" t="str">
        <x:v>Integrated risk scenarios</x:v>
      </x:c>
      <x:c r="D68" s="28" t="str">
        <x:v>Alder Ridge</x:v>
      </x:c>
      <x:c r="E68" s="28" t="str">
        <x:v>2026-05 working copy</x:v>
      </x:c>
      <x:c r="F68" s="28" t="str">
        <x:v>Approved case</x:v>
      </x:c>
      <x:c r="G68" s="28" t="str">
        <x:v>One-time mitigation cost</x:v>
      </x:c>
      <x:c r="H68" s="31" t="n">
        <x:v>226600</x:v>
      </x:c>
      <x:c r="I68" s="28" t="str"/>
      <x:c r="J68" s="28" t="str">
        <x:v>USD</x:v>
      </x:c>
      <x:c r="K68" s="28" t="str">
        <x:v>Earlier management working export</x:v>
      </x:c>
      <x:c r="L68" s="34" t="str">
        <x:v>2026-06-24</x:v>
      </x:c>
      <x:c r="M68" s="28" t="str"/>
    </x:row>
    <x:row r="69">
      <x:c r="A69" s="37" t="str">
        <x:v>PLN-01311</x:v>
      </x:c>
      <x:c r="B69" s="28" t="str">
        <x:v>Scenario-weighted earnings and liquidity at risk</x:v>
      </x:c>
      <x:c r="C69" s="28" t="str">
        <x:v>Scenario cash assumptions</x:v>
      </x:c>
      <x:c r="D69" s="28" t="str">
        <x:v>Alder Ridge</x:v>
      </x:c>
      <x:c r="E69" s="28" t="str">
        <x:v>FY27</x:v>
      </x:c>
      <x:c r="F69" s="28" t="str">
        <x:v>Management stretch</x:v>
      </x:c>
      <x:c r="G69" s="28" t="str">
        <x:v>Cash taxes</x:v>
      </x:c>
      <x:c r="H69" s="31" t="n">
        <x:v>535600</x:v>
      </x:c>
      <x:c r="I69" s="28" t="str"/>
      <x:c r="J69" s="28" t="str">
        <x:v>USD</x:v>
      </x:c>
      <x:c r="K69" s="28" t="str">
        <x:v>Earlier management working export</x:v>
      </x:c>
      <x:c r="L69" s="34" t="str">
        <x:v>2026-06-24</x:v>
      </x:c>
      <x:c r="M69" s="28" t="str"/>
    </x:row>
    <x:row r="70">
      <x:c r="A70" s="37" t="str">
        <x:v>PLN-01346</x:v>
      </x:c>
      <x:c r="B70" s="28" t="str">
        <x:v>Scenario-weighted earnings and liquidity at risk</x:v>
      </x:c>
      <x:c r="C70" s="28" t="str">
        <x:v>Scenario mitigation actions</x:v>
      </x:c>
      <x:c r="D70" s="28" t="str">
        <x:v>Procurement lock</x:v>
      </x:c>
      <x:c r="E70" s="28" t="str">
        <x:v>2026-05 working copy</x:v>
      </x:c>
      <x:c r="F70" s="28" t="str">
        <x:v>Approved case</x:v>
      </x:c>
      <x:c r="G70" s="28" t="str">
        <x:v>Full EBITDA benefit</x:v>
      </x:c>
      <x:c r="H70" s="31" t="n">
        <x:v>762200</x:v>
      </x:c>
      <x:c r="I70" s="28" t="str"/>
      <x:c r="J70" s="28" t="str">
        <x:v>USD</x:v>
      </x:c>
      <x:c r="K70" s="28" t="str">
        <x:v>Earlier management working export</x:v>
      </x:c>
      <x:c r="L70" s="34" t="str">
        <x:v>2026-06-24</x:v>
      </x:c>
      <x:c r="M70" s="28" t="str"/>
    </x:row>
    <x:row r="71">
      <x:c r="A71" s="37" t="str">
        <x:v>PLN-01347</x:v>
      </x:c>
      <x:c r="B71" s="28" t="str">
        <x:v>Scenario-weighted earnings and liquidity at risk</x:v>
      </x:c>
      <x:c r="C71" s="28" t="str">
        <x:v>Scenario mitigation actions</x:v>
      </x:c>
      <x:c r="D71" s="28" t="str">
        <x:v>Overtime freeze</x:v>
      </x:c>
      <x:c r="E71" s="28" t="str">
        <x:v>FY27</x:v>
      </x:c>
      <x:c r="F71" s="28" t="str">
        <x:v>Management stretch</x:v>
      </x:c>
      <x:c r="G71" s="28" t="str">
        <x:v>Full cash release</x:v>
      </x:c>
      <x:c r="H71" s="31" t="n">
        <x:v>0</x:v>
      </x:c>
      <x:c r="I71" s="28" t="str"/>
      <x:c r="J71" s="28" t="str">
        <x:v>USD</x:v>
      </x:c>
      <x:c r="K71" s="28" t="str">
        <x:v>Earlier management working export</x:v>
      </x:c>
      <x:c r="L71" s="34" t="str">
        <x:v>2026-06-24</x:v>
      </x:c>
      <x:c r="M71" s="28" t="str"/>
    </x:row>
    <x:row r="72">
      <x:c r="A72" s="37" t="str">
        <x:v>PLN-01348</x:v>
      </x:c>
      <x:c r="B72" s="28" t="str">
        <x:v>Scenario-weighted earnings and liquidity at risk</x:v>
      </x:c>
      <x:c r="C72" s="28" t="str">
        <x:v>Scenario mitigation actions</x:v>
      </x:c>
      <x:c r="D72" s="28" t="str">
        <x:v>Working capital war room</x:v>
      </x:c>
      <x:c r="E72" s="28" t="str">
        <x:v>2026-05 working copy</x:v>
      </x:c>
      <x:c r="F72" s="28" t="str">
        <x:v>Approved case</x:v>
      </x:c>
      <x:c r="G72" s="28" t="str">
        <x:v>Cash implementation cost</x:v>
      </x:c>
      <x:c r="H72" s="31" t="n">
        <x:v>152250</x:v>
      </x:c>
      <x:c r="I72" s="28" t="str"/>
      <x:c r="J72" s="28" t="str">
        <x:v>USD</x:v>
      </x:c>
      <x:c r="K72" s="28" t="str">
        <x:v>Earlier management working export</x:v>
      </x:c>
      <x:c r="L72" s="34" t="str">
        <x:v>2026-06-24</x:v>
      </x:c>
      <x:c r="M72" s="28" t="str"/>
    </x:row>
    <x:row r="73">
      <x:c r="A73" s="37" t="str">
        <x:v>PLN-01349</x:v>
      </x:c>
      <x:c r="B73" s="28" t="str">
        <x:v>Scenario-weighted earnings and liquidity at risk</x:v>
      </x:c>
      <x:c r="C73" s="28" t="str">
        <x:v>Scenario mitigation actions</x:v>
      </x:c>
      <x:c r="D73" s="28" t="str">
        <x:v>Capex gate</x:v>
      </x:c>
      <x:c r="E73" s="28" t="str">
        <x:v>FY27</x:v>
      </x:c>
      <x:c r="F73" s="28" t="str">
        <x:v>Management stretch</x:v>
      </x:c>
      <x:c r="G73" s="28" t="str">
        <x:v>Soft landing factor</x:v>
      </x:c>
      <x:c r="H73" s="31" t="n">
        <x:v>0.515</x:v>
      </x:c>
      <x:c r="I73" s="28" t="str"/>
      <x:c r="J73" s="28" t="str">
        <x:v>decimal ratio</x:v>
      </x:c>
      <x:c r="K73" s="28" t="str">
        <x:v>Earlier management working export</x:v>
      </x:c>
      <x:c r="L73" s="34" t="str">
        <x:v>2026-06-24</x:v>
      </x:c>
      <x:c r="M73" s="28" t="str"/>
    </x:row>
    <x:row r="74">
      <x:c r="A74" s="37" t="str">
        <x:v>PLN-01350</x:v>
      </x:c>
      <x:c r="B74" s="28" t="str">
        <x:v>Scenario-weighted earnings and liquidity at risk</x:v>
      </x:c>
      <x:c r="C74" s="28" t="str">
        <x:v>Scenario mitigation actions</x:v>
      </x:c>
      <x:c r="D74" s="28" t="str">
        <x:v>Vendor term extension</x:v>
      </x:c>
      <x:c r="E74" s="28" t="str">
        <x:v>2026-05 working copy</x:v>
      </x:c>
      <x:c r="F74" s="28" t="str">
        <x:v>Approved case</x:v>
      </x:c>
      <x:c r="G74" s="28" t="str">
        <x:v>Severe factor</x:v>
      </x:c>
      <x:c r="H74" s="31" t="n">
        <x:v>0.936</x:v>
      </x:c>
      <x:c r="I74" s="28" t="str"/>
      <x:c r="J74" s="28" t="str">
        <x:v>decimal ratio</x:v>
      </x:c>
      <x:c r="K74" s="28" t="str">
        <x:v>Earlier management working export</x:v>
      </x:c>
      <x:c r="L74" s="34" t="str">
        <x:v>2026-06-24</x:v>
      </x:c>
      <x:c r="M74" s="28" t="str"/>
    </x:row>
    <x:row r="75">
      <x:c r="A75" s="38" t="str">
        <x:v>PLN-01351</x:v>
      </x:c>
      <x:c r="B75" s="29" t="str">
        <x:v>Scenario-weighted earnings and liquidity at risk</x:v>
      </x:c>
      <x:c r="C75" s="29" t="str">
        <x:v>Scenario mitigation actions</x:v>
      </x:c>
      <x:c r="D75" s="29" t="str">
        <x:v>Procurement lock</x:v>
      </x:c>
      <x:c r="E75" s="29" t="str">
        <x:v>FY27</x:v>
      </x:c>
      <x:c r="F75" s="29" t="str">
        <x:v>Management stretch</x:v>
      </x:c>
      <x:c r="G75" s="29" t="str">
        <x:v>Full cash release</x:v>
      </x:c>
      <x:c r="H75" s="32" t="n">
        <x:v>0</x:v>
      </x:c>
      <x:c r="I75" s="29" t="str"/>
      <x:c r="J75" s="29" t="str">
        <x:v>USD</x:v>
      </x:c>
      <x:c r="K75" s="29" t="str">
        <x:v>Earlier management working export</x:v>
      </x:c>
      <x:c r="L75" s="35" t="str">
        <x:v>2026-06-24</x:v>
      </x:c>
      <x:c r="M75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Opex and Workforce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PLN-00126</x:v>
      </x:c>
      <x:c r="B5" s="27" t="str">
        <x:v>Complete the FY27 EBITDA scenario model</x:v>
      </x:c>
      <x:c r="C5" s="27" t="str">
        <x:v>Driver Inputs</x:v>
      </x:c>
      <x:c r="D5" s="27" t="str">
        <x:v>Construction</x:v>
      </x:c>
      <x:c r="E5" s="27" t="str">
        <x:v>2026-05 working copy</x:v>
      </x:c>
      <x:c r="F5" s="27" t="str">
        <x:v>Base</x:v>
      </x:c>
      <x:c r="G5" s="27" t="str">
        <x:v>Revenue growth</x:v>
      </x:c>
      <x:c r="H5" s="30" t="n">
        <x:v>0.05665</x:v>
      </x:c>
      <x:c r="I5" s="27" t="str"/>
      <x:c r="J5" s="27" t="str">
        <x:v>decimal ratio</x:v>
      </x:c>
      <x:c r="K5" s="27" t="str">
        <x:v>Earlier management working export</x:v>
      </x:c>
      <x:c r="L5" s="33" t="str">
        <x:v>2026-06-24</x:v>
      </x:c>
      <x:c r="M5" s="27" t="str"/>
    </x:row>
    <x:row r="6">
      <x:c r="A6" s="37" t="str">
        <x:v>PLN-00127</x:v>
      </x:c>
      <x:c r="B6" s="28" t="str">
        <x:v>Complete the FY27 EBITDA scenario model</x:v>
      </x:c>
      <x:c r="C6" s="28" t="str">
        <x:v>Driver Inputs</x:v>
      </x:c>
      <x:c r="D6" s="28" t="str">
        <x:v>Consolidated</x:v>
      </x:c>
      <x:c r="E6" s="28" t="str">
        <x:v>FY27</x:v>
      </x:c>
      <x:c r="F6" s="28" t="str">
        <x:v>Management stretch</x:v>
      </x:c>
      <x:c r="G6" s="28" t="str">
        <x:v>Variable Opex Rate</x:v>
      </x:c>
      <x:c r="H6" s="31" t="n">
        <x:v>0.03224</x:v>
      </x:c>
      <x:c r="I6" s="28" t="str"/>
      <x:c r="J6" s="28" t="str">
        <x:v>decimal ratio</x:v>
      </x:c>
      <x:c r="K6" s="28" t="str">
        <x:v>Earlier management working export</x:v>
      </x:c>
      <x:c r="L6" s="34" t="str">
        <x:v>2026-06-24</x:v>
      </x:c>
      <x:c r="M6" s="28" t="str"/>
    </x:row>
    <x:row r="7">
      <x:c r="A7" s="37" t="str">
        <x:v>PLN-00128</x:v>
      </x:c>
      <x:c r="B7" s="28" t="str">
        <x:v>Complete the FY27 EBITDA scenario model</x:v>
      </x:c>
      <x:c r="C7" s="28" t="str">
        <x:v>Driver Inputs</x:v>
      </x:c>
      <x:c r="D7" s="28" t="str">
        <x:v>Service</x:v>
      </x:c>
      <x:c r="E7" s="28" t="str">
        <x:v>2026-05 working copy</x:v>
      </x:c>
      <x:c r="F7" s="28" t="str">
        <x:v>Downside</x:v>
      </x:c>
      <x:c r="G7" s="28" t="str">
        <x:v>Gross margin</x:v>
      </x:c>
      <x:c r="H7" s="31" t="n">
        <x:v>0.38325</x:v>
      </x:c>
      <x:c r="I7" s="28" t="str"/>
      <x:c r="J7" s="28" t="str">
        <x:v>decimal ratio</x:v>
      </x:c>
      <x:c r="K7" s="28" t="str">
        <x:v>Earlier management working export</x:v>
      </x:c>
      <x:c r="L7" s="34" t="str">
        <x:v>2026-06-24</x:v>
      </x:c>
      <x:c r="M7" s="28" t="str"/>
    </x:row>
    <x:row r="8">
      <x:c r="A8" s="37" t="str">
        <x:v>PLN-00129</x:v>
      </x:c>
      <x:c r="B8" s="28" t="str">
        <x:v>Complete the FY27 EBITDA scenario model</x:v>
      </x:c>
      <x:c r="C8" s="28" t="str">
        <x:v>Driver Inputs</x:v>
      </x:c>
      <x:c r="D8" s="28" t="str">
        <x:v>Consolidated</x:v>
      </x:c>
      <x:c r="E8" s="28" t="str">
        <x:v>FY27</x:v>
      </x:c>
      <x:c r="F8" s="28" t="str">
        <x:v>Management stretch</x:v>
      </x:c>
      <x:c r="G8" s="28" t="str">
        <x:v>Nwc Rate</x:v>
      </x:c>
      <x:c r="H8" s="31" t="n">
        <x:v>0.0103</x:v>
      </x:c>
      <x:c r="I8" s="28" t="str"/>
      <x:c r="J8" s="28" t="str">
        <x:v>decimal ratio</x:v>
      </x:c>
      <x:c r="K8" s="28" t="str">
        <x:v>Earlier management working export</x:v>
      </x:c>
      <x:c r="L8" s="34" t="str">
        <x:v>2026-06-24</x:v>
      </x:c>
      <x:c r="M8" s="28" t="str"/>
    </x:row>
    <x:row r="9">
      <x:c r="A9" s="37" t="str">
        <x:v>PLN-00130</x:v>
      </x:c>
      <x:c r="B9" s="28" t="str">
        <x:v>Complete the FY27 EBITDA scenario model</x:v>
      </x:c>
      <x:c r="C9" s="28" t="str">
        <x:v>Driver Inputs</x:v>
      </x:c>
      <x:c r="D9" s="28" t="str">
        <x:v>Consolidated</x:v>
      </x:c>
      <x:c r="E9" s="28" t="str">
        <x:v>2026-05 working copy</x:v>
      </x:c>
      <x:c r="F9" s="28" t="str">
        <x:v>Upside</x:v>
      </x:c>
      <x:c r="G9" s="28" t="str">
        <x:v>Fixed Opex Growth</x:v>
      </x:c>
      <x:c r="H9" s="31" t="n">
        <x:v>0.078</x:v>
      </x:c>
      <x:c r="I9" s="28" t="str"/>
      <x:c r="J9" s="28" t="str">
        <x:v>decimal ratio</x:v>
      </x:c>
      <x:c r="K9" s="28" t="str">
        <x:v>Earlier management working export</x:v>
      </x:c>
      <x:c r="L9" s="34" t="str">
        <x:v>2026-06-24</x:v>
      </x:c>
      <x:c r="M9" s="28" t="str"/>
    </x:row>
    <x:row r="10">
      <x:c r="A10" s="37" t="str">
        <x:v>PLN-00131</x:v>
      </x:c>
      <x:c r="B10" s="28" t="str">
        <x:v>Complete the FY27 EBITDA scenario model</x:v>
      </x:c>
      <x:c r="C10" s="28" t="str">
        <x:v>Liquidity Inputs</x:v>
      </x:c>
      <x:c r="D10" s="28" t="str">
        <x:v>Consolidated</x:v>
      </x:c>
      <x:c r="E10" s="28" t="str">
        <x:v>FY27</x:v>
      </x:c>
      <x:c r="F10" s="28" t="str">
        <x:v>Management stretch</x:v>
      </x:c>
      <x:c r="G10" s="28" t="str">
        <x:v>Revolver commitment</x:v>
      </x:c>
      <x:c r="H10" s="31" t="n">
        <x:v>8400000</x:v>
      </x:c>
      <x:c r="I10" s="28" t="str"/>
      <x:c r="J10" s="28" t="str">
        <x:v>USD</x:v>
      </x:c>
      <x:c r="K10" s="28" t="str">
        <x:v>Earlier management working export</x:v>
      </x:c>
      <x:c r="L10" s="34" t="str">
        <x:v>2026-06-24</x:v>
      </x:c>
      <x:c r="M10" s="28" t="str"/>
    </x:row>
    <x:row r="11">
      <x:c r="A11" s="37" t="str">
        <x:v>PLN-00132</x:v>
      </x:c>
      <x:c r="B11" s="28" t="str">
        <x:v>Complete the FY27 EBITDA scenario model</x:v>
      </x:c>
      <x:c r="C11" s="28" t="str">
        <x:v>Liquidity Inputs</x:v>
      </x:c>
      <x:c r="D11" s="28" t="str">
        <x:v>Consolidated</x:v>
      </x:c>
      <x:c r="E11" s="28" t="str">
        <x:v>2026-05 working copy</x:v>
      </x:c>
      <x:c r="F11" s="28" t="str">
        <x:v>Approved case</x:v>
      </x:c>
      <x:c r="G11" s="28" t="str">
        <x:v>Annual free cash flow share</x:v>
      </x:c>
      <x:c r="H11" s="31" t="n">
        <x:v>0.20600000000000002</x:v>
      </x:c>
      <x:c r="I11" s="28" t="str"/>
      <x:c r="J11" s="28" t="str">
        <x:v>decimal ratio</x:v>
      </x:c>
      <x:c r="K11" s="28" t="str">
        <x:v>Earlier management working export</x:v>
      </x:c>
      <x:c r="L11" s="34" t="str">
        <x:v>2026-06-24</x:v>
      </x:c>
      <x:c r="M11" s="28" t="str"/>
    </x:row>
    <x:row r="12">
      <x:c r="A12" s="37" t="str">
        <x:v>PLN-00133</x:v>
      </x:c>
      <x:c r="B12" s="28" t="str">
        <x:v>Complete the FY27 EBITDA scenario model</x:v>
      </x:c>
      <x:c r="C12" s="28" t="str">
        <x:v>Liquidity Inputs</x:v>
      </x:c>
      <x:c r="D12" s="28" t="str">
        <x:v>Consolidated</x:v>
      </x:c>
      <x:c r="E12" s="28" t="str">
        <x:v>Q3</x:v>
      </x:c>
      <x:c r="F12" s="28" t="str">
        <x:v>Management stretch</x:v>
      </x:c>
      <x:c r="G12" s="28" t="str">
        <x:v>Seasonal cash adjustment</x:v>
      </x:c>
      <x:c r="H12" s="31" t="n">
        <x:v>520000</x:v>
      </x:c>
      <x:c r="I12" s="28" t="str"/>
      <x:c r="J12" s="28" t="str">
        <x:v>USD</x:v>
      </x:c>
      <x:c r="K12" s="28" t="str">
        <x:v>Earlier management working export</x:v>
      </x:c>
      <x:c r="L12" s="34" t="str">
        <x:v>2026-06-24</x:v>
      </x:c>
      <x:c r="M12" s="28" t="str"/>
    </x:row>
    <x:row r="13">
      <x:c r="A13" s="37" t="str">
        <x:v>PLN-00134</x:v>
      </x:c>
      <x:c r="B13" s="28" t="str">
        <x:v>Complete the FY27 EBITDA scenario model</x:v>
      </x:c>
      <x:c r="C13" s="28" t="str">
        <x:v>Downside contingency</x:v>
      </x:c>
      <x:c r="D13" s="28" t="str">
        <x:v>Construction pricing</x:v>
      </x:c>
      <x:c r="E13" s="28" t="str">
        <x:v>2026-05 working copy</x:v>
      </x:c>
      <x:c r="F13" s="28" t="str">
        <x:v>Approved case</x:v>
      </x:c>
      <x:c r="G13" s="28" t="str">
        <x:v>Implementation cash cost</x:v>
      </x:c>
      <x:c r="H13" s="31" t="n">
        <x:v>52.5</x:v>
      </x:c>
      <x:c r="I13" s="28" t="str"/>
      <x:c r="J13" s="28" t="str">
        <x:v>USD thousands</x:v>
      </x:c>
      <x:c r="K13" s="28" t="str">
        <x:v>Earlier management working export</x:v>
      </x:c>
      <x:c r="L13" s="34" t="str">
        <x:v>2026-06-24</x:v>
      </x:c>
      <x:c r="M13" s="28" t="str"/>
    </x:row>
    <x:row r="14">
      <x:c r="A14" s="37" t="str">
        <x:v>PLN-00135</x:v>
      </x:c>
      <x:c r="B14" s="28" t="str">
        <x:v>Complete the FY27 EBITDA scenario model</x:v>
      </x:c>
      <x:c r="C14" s="28" t="str">
        <x:v>Downside contingency</x:v>
      </x:c>
      <x:c r="D14" s="28" t="str">
        <x:v>Controls mix</x:v>
      </x:c>
      <x:c r="E14" s="28" t="str">
        <x:v>FY27</x:v>
      </x:c>
      <x:c r="F14" s="28" t="str">
        <x:v>Management stretch</x:v>
      </x:c>
      <x:c r="G14" s="28" t="str">
        <x:v>Annual operating cash benefit</x:v>
      </x:c>
      <x:c r="H14" s="31" t="n">
        <x:v>288400</x:v>
      </x:c>
      <x:c r="I14" s="28" t="str"/>
      <x:c r="J14" s="28" t="str">
        <x:v>USD</x:v>
      </x:c>
      <x:c r="K14" s="28" t="str">
        <x:v>Earlier management working export</x:v>
      </x:c>
      <x:c r="L14" s="34" t="str">
        <x:v>2026-06-24</x:v>
      </x:c>
      <x:c r="M14" s="28" t="str"/>
    </x:row>
    <x:row r="15">
      <x:c r="A15" s="37" t="str">
        <x:v>PLN-00136</x:v>
      </x:c>
      <x:c r="B15" s="28" t="str">
        <x:v>Complete the FY27 EBITDA scenario model</x:v>
      </x:c>
      <x:c r="C15" s="28" t="str">
        <x:v>Downside contingency</x:v>
      </x:c>
      <x:c r="D15" s="28" t="str">
        <x:v>Collections acceleration</x:v>
      </x:c>
      <x:c r="E15" s="28" t="str">
        <x:v>2026-05 working copy</x:v>
      </x:c>
      <x:c r="F15" s="28" t="str">
        <x:v>Approved case</x:v>
      </x:c>
      <x:c r="G15" s="28" t="str">
        <x:v>Annual EBITDA benefit</x:v>
      </x:c>
      <x:c r="H15" s="31" t="n">
        <x:v>0</x:v>
      </x:c>
      <x:c r="I15" s="28" t="str"/>
      <x:c r="J15" s="28" t="str">
        <x:v>USD</x:v>
      </x:c>
      <x:c r="K15" s="28" t="str">
        <x:v>Earlier management working export</x:v>
      </x:c>
      <x:c r="L15" s="34" t="str">
        <x:v>2026-06-24</x:v>
      </x:c>
      <x:c r="M15" s="28" t="str"/>
    </x:row>
    <x:row r="16">
      <x:c r="A16" s="37" t="str">
        <x:v>PLN-00137</x:v>
      </x:c>
      <x:c r="B16" s="28" t="str">
        <x:v>Complete the FY27 EBITDA scenario model</x:v>
      </x:c>
      <x:c r="C16" s="28" t="str">
        <x:v>Downside contingency</x:v>
      </x:c>
      <x:c r="D16" s="28" t="str">
        <x:v>Capex deferral</x:v>
      </x:c>
      <x:c r="E16" s="28" t="str">
        <x:v>FY27 Q1</x:v>
      </x:c>
      <x:c r="F16" s="28" t="str">
        <x:v>Management stretch</x:v>
      </x:c>
      <x:c r="G16" s="28" t="str">
        <x:v>Earliest activation week</x:v>
      </x:c>
      <x:c r="H16" s="31" t="n">
        <x:v>1.05</x:v>
      </x:c>
      <x:c r="I16" s="28" t="str"/>
      <x:c r="J16" s="28" t="str">
        <x:v>week number</x:v>
      </x:c>
      <x:c r="K16" s="28" t="str">
        <x:v>Earlier management working export</x:v>
      </x:c>
      <x:c r="L16" s="34" t="str">
        <x:v>2026-06-24</x:v>
      </x:c>
      <x:c r="M16" s="28" t="str"/>
    </x:row>
    <x:row r="17">
      <x:c r="A17" s="37" t="str">
        <x:v>PLN-00284</x:v>
      </x:c>
      <x:c r="B17" s="28" t="str">
        <x:v>Twelve-month operating-expense reforecast</x:v>
      </x:c>
      <x:c r="C17" s="28" t="str">
        <x:v>Approved reforecast events</x:v>
      </x:c>
      <x:c r="D17" s="28" t="str">
        <x:v>Operations</x:v>
      </x:c>
      <x:c r="E17" s="28" t="str">
        <x:v>2026-05 working copy</x:v>
      </x:c>
      <x:c r="F17" s="28" t="str">
        <x:v>Approved case</x:v>
      </x:c>
      <x:c r="G17" s="28" t="str">
        <x:v>Net approved run-rate and timing adjustment</x:v>
      </x:c>
      <x:c r="H17" s="31" t="n">
        <x:v>6866.666666666666</x:v>
      </x:c>
      <x:c r="I17" s="28" t="str"/>
      <x:c r="J17" s="28" t="str">
        <x:v>USD</x:v>
      </x:c>
      <x:c r="K17" s="28" t="str">
        <x:v>Earlier management working export</x:v>
      </x:c>
      <x:c r="L17" s="34" t="str">
        <x:v>2026-06-24</x:v>
      </x:c>
      <x:c r="M17" s="28" t="str"/>
    </x:row>
    <x:row r="18">
      <x:c r="A18" s="37" t="str">
        <x:v>PLN-00285</x:v>
      </x:c>
      <x:c r="B18" s="28" t="str">
        <x:v>Twelve-month operating-expense reforecast</x:v>
      </x:c>
      <x:c r="C18" s="28" t="str">
        <x:v>Approved reforecast events</x:v>
      </x:c>
      <x:c r="D18" s="28" t="str">
        <x:v>Operations</x:v>
      </x:c>
      <x:c r="E18" s="28" t="str">
        <x:v>2027-02</x:v>
      </x:c>
      <x:c r="F18" s="28" t="str">
        <x:v>Management stretch</x:v>
      </x:c>
      <x:c r="G18" s="28" t="str">
        <x:v>Net approved run-rate and timing adjustment</x:v>
      </x:c>
      <x:c r="H18" s="31" t="n">
        <x:v>55.46666666666666</x:v>
      </x:c>
      <x:c r="I18" s="28" t="str"/>
      <x:c r="J18" s="28" t="str">
        <x:v>USD thousands</x:v>
      </x:c>
      <x:c r="K18" s="28" t="str">
        <x:v>Earlier management working export</x:v>
      </x:c>
      <x:c r="L18" s="34" t="str">
        <x:v>2026-06-24</x:v>
      </x:c>
      <x:c r="M18" s="28" t="str"/>
    </x:row>
    <x:row r="19">
      <x:c r="A19" s="37" t="str">
        <x:v>PLN-00286</x:v>
      </x:c>
      <x:c r="B19" s="28" t="str">
        <x:v>Twelve-month operating-expense reforecast</x:v>
      </x:c>
      <x:c r="C19" s="28" t="str">
        <x:v>Approved reforecast events</x:v>
      </x:c>
      <x:c r="D19" s="28" t="str">
        <x:v>Information Technology</x:v>
      </x:c>
      <x:c r="E19" s="28" t="str">
        <x:v>2026-05 working copy</x:v>
      </x:c>
      <x:c r="F19" s="28" t="str">
        <x:v>Approved case</x:v>
      </x:c>
      <x:c r="G19" s="28" t="str">
        <x:v>Net approved run-rate and timing adjustment</x:v>
      </x:c>
      <x:c r="H19" s="31" t="n">
        <x:v>11509.615384615387</x:v>
      </x:c>
      <x:c r="I19" s="28" t="str"/>
      <x:c r="J19" s="28" t="str">
        <x:v>USD</x:v>
      </x:c>
      <x:c r="K19" s="28" t="str">
        <x:v>Earlier management working export</x:v>
      </x:c>
      <x:c r="L19" s="34" t="str">
        <x:v>2026-06-24</x:v>
      </x:c>
      <x:c r="M19" s="28" t="str"/>
    </x:row>
    <x:row r="20">
      <x:c r="A20" s="37" t="str">
        <x:v>PLN-00287</x:v>
      </x:c>
      <x:c r="B20" s="28" t="str">
        <x:v>Twelve-month operating-expense reforecast</x:v>
      </x:c>
      <x:c r="C20" s="28" t="str">
        <x:v>Approved reforecast events</x:v>
      </x:c>
      <x:c r="D20" s="28" t="str">
        <x:v>Information Technology</x:v>
      </x:c>
      <x:c r="E20" s="28" t="str">
        <x:v>2027-04</x:v>
      </x:c>
      <x:c r="F20" s="28" t="str">
        <x:v>Management stretch</x:v>
      </x:c>
      <x:c r="G20" s="28" t="str">
        <x:v>Net approved run-rate and timing adjustment</x:v>
      </x:c>
      <x:c r="H20" s="31" t="n">
        <x:v>37634.615384615376</x:v>
      </x:c>
      <x:c r="I20" s="28" t="str"/>
      <x:c r="J20" s="28" t="str">
        <x:v>USD</x:v>
      </x:c>
      <x:c r="K20" s="28" t="str">
        <x:v>Earlier management working export</x:v>
      </x:c>
      <x:c r="L20" s="34" t="str">
        <x:v>2026-06-24</x:v>
      </x:c>
      <x:c r="M20" s="28" t="str"/>
    </x:row>
    <x:row r="21">
      <x:c r="A21" s="37" t="str">
        <x:v>PLN-00288</x:v>
      </x:c>
      <x:c r="B21" s="28" t="str">
        <x:v>Twelve-month operating-expense reforecast</x:v>
      </x:c>
      <x:c r="C21" s="28" t="str">
        <x:v>Approved reforecast events</x:v>
      </x:c>
      <x:c r="D21" s="28" t="str">
        <x:v>Sales</x:v>
      </x:c>
      <x:c r="E21" s="28" t="str">
        <x:v>2026-05 working copy</x:v>
      </x:c>
      <x:c r="F21" s="28" t="str">
        <x:v>Approved case</x:v>
      </x:c>
      <x:c r="G21" s="28" t="str">
        <x:v>Net approved run-rate and timing adjustment</x:v>
      </x:c>
      <x:c r="H21" s="31" t="n">
        <x:v>11000</x:v>
      </x:c>
      <x:c r="I21" s="28" t="str"/>
      <x:c r="J21" s="28" t="str">
        <x:v>USD</x:v>
      </x:c>
      <x:c r="K21" s="28" t="str">
        <x:v>Earlier management working export</x:v>
      </x:c>
      <x:c r="L21" s="34" t="str">
        <x:v>2026-06-24</x:v>
      </x:c>
      <x:c r="M21" s="28" t="str"/>
    </x:row>
    <x:row r="22">
      <x:c r="A22" s="37" t="str">
        <x:v>PLN-00289</x:v>
      </x:c>
      <x:c r="B22" s="28" t="str">
        <x:v>Twelve-month operating-expense reforecast</x:v>
      </x:c>
      <x:c r="C22" s="28" t="str">
        <x:v>Approved reforecast events</x:v>
      </x:c>
      <x:c r="D22" s="28" t="str">
        <x:v>Sales</x:v>
      </x:c>
      <x:c r="E22" s="28" t="str">
        <x:v>2027-06</x:v>
      </x:c>
      <x:c r="F22" s="28" t="str">
        <x:v>Management stretch</x:v>
      </x:c>
      <x:c r="G22" s="28" t="str">
        <x:v>Net approved run-rate and timing adjustment</x:v>
      </x:c>
      <x:c r="H22" s="31" t="n">
        <x:v>26.653846153846157</x:v>
      </x:c>
      <x:c r="I22" s="28" t="str"/>
      <x:c r="J22" s="28" t="str">
        <x:v>USD thousands</x:v>
      </x:c>
      <x:c r="K22" s="28" t="str">
        <x:v>Earlier management working export</x:v>
      </x:c>
      <x:c r="L22" s="34" t="str">
        <x:v>2026-06-24</x:v>
      </x:c>
      <x:c r="M22" s="28" t="str"/>
    </x:row>
    <x:row r="23">
      <x:c r="A23" s="37" t="str">
        <x:v>PLN-00290</x:v>
      </x:c>
      <x:c r="B23" s="28" t="str">
        <x:v>Twelve-month operating-expense reforecast</x:v>
      </x:c>
      <x:c r="C23" s="28" t="str">
        <x:v>Approved reforecast events</x:v>
      </x:c>
      <x:c r="D23" s="28" t="str">
        <x:v>Finance</x:v>
      </x:c>
      <x:c r="E23" s="28" t="str">
        <x:v>2026-05 working copy</x:v>
      </x:c>
      <x:c r="F23" s="28" t="str">
        <x:v>Approved case</x:v>
      </x:c>
      <x:c r="G23" s="28" t="str">
        <x:v>Net approved run-rate and timing adjustment</x:v>
      </x:c>
      <x:c r="H23" s="31" t="n">
        <x:v>-6655.384615384616</x:v>
      </x:c>
      <x:c r="I23" s="28" t="str"/>
      <x:c r="J23" s="28" t="str">
        <x:v>USD</x:v>
      </x:c>
      <x:c r="K23" s="28" t="str">
        <x:v>Earlier management working export</x:v>
      </x:c>
      <x:c r="L23" s="34" t="str">
        <x:v>2026-06-24</x:v>
      </x:c>
      <x:c r="M23" s="28" t="str"/>
    </x:row>
    <x:row r="24">
      <x:c r="A24" s="37" t="str">
        <x:v>PLN-00291</x:v>
      </x:c>
      <x:c r="B24" s="28" t="str">
        <x:v>Twelve-month operating-expense reforecast</x:v>
      </x:c>
      <x:c r="C24" s="28" t="str">
        <x:v>Approved reforecast events</x:v>
      </x:c>
      <x:c r="D24" s="28" t="str">
        <x:v>People</x:v>
      </x:c>
      <x:c r="E24" s="28" t="str">
        <x:v>2026-08</x:v>
      </x:c>
      <x:c r="F24" s="28" t="str">
        <x:v>Management stretch</x:v>
      </x:c>
      <x:c r="G24" s="28" t="str">
        <x:v>Net approved run-rate and timing adjustment</x:v>
      </x:c>
      <x:c r="H24" s="31" t="n">
        <x:v>-1546.6666666666665</x:v>
      </x:c>
      <x:c r="I24" s="28" t="str"/>
      <x:c r="J24" s="28" t="str">
        <x:v>USD</x:v>
      </x:c>
      <x:c r="K24" s="28" t="str">
        <x:v>Earlier management working export</x:v>
      </x:c>
      <x:c r="L24" s="34" t="str">
        <x:v>2026-06-24</x:v>
      </x:c>
      <x:c r="M24" s="28" t="str"/>
    </x:row>
    <x:row r="25">
      <x:c r="A25" s="37" t="str">
        <x:v>PLN-00292</x:v>
      </x:c>
      <x:c r="B25" s="28" t="str">
        <x:v>Twelve-month operating-expense reforecast</x:v>
      </x:c>
      <x:c r="C25" s="28" t="str">
        <x:v>Approved reforecast events</x:v>
      </x:c>
      <x:c r="D25" s="28" t="str">
        <x:v>People</x:v>
      </x:c>
      <x:c r="E25" s="28" t="str">
        <x:v>2026-05 working copy</x:v>
      </x:c>
      <x:c r="F25" s="28" t="str">
        <x:v>Approved case</x:v>
      </x:c>
      <x:c r="G25" s="28" t="str">
        <x:v>Net approved run-rate and timing adjustment</x:v>
      </x:c>
      <x:c r="H25" s="31" t="n">
        <x:v>-7026.923076923077</x:v>
      </x:c>
      <x:c r="I25" s="28" t="str"/>
      <x:c r="J25" s="28" t="str">
        <x:v>USD</x:v>
      </x:c>
      <x:c r="K25" s="28" t="str">
        <x:v>Earlier management working export</x:v>
      </x:c>
      <x:c r="L25" s="34" t="str">
        <x:v>2026-06-24</x:v>
      </x:c>
      <x:c r="M25" s="28" t="str"/>
    </x:row>
    <x:row r="26">
      <x:c r="A26" s="37" t="str">
        <x:v>PLN-00293</x:v>
      </x:c>
      <x:c r="B26" s="28" t="str">
        <x:v>Twelve-month operating-expense reforecast</x:v>
      </x:c>
      <x:c r="C26" s="28" t="str">
        <x:v>Approved reforecast events</x:v>
      </x:c>
      <x:c r="D26" s="28" t="str">
        <x:v>Executive</x:v>
      </x:c>
      <x:c r="E26" s="28" t="str">
        <x:v>2026-10</x:v>
      </x:c>
      <x:c r="F26" s="28" t="str">
        <x:v>Management stretch</x:v>
      </x:c>
      <x:c r="G26" s="28" t="str">
        <x:v>Net approved run-rate and timing adjustment</x:v>
      </x:c>
      <x:c r="H26" s="31" t="n">
        <x:v>2112.8205128205127</x:v>
      </x:c>
      <x:c r="I26" s="28" t="str"/>
      <x:c r="J26" s="28" t="str">
        <x:v>USD</x:v>
      </x:c>
      <x:c r="K26" s="28" t="str">
        <x:v>Earlier management working export</x:v>
      </x:c>
      <x:c r="L26" s="34" t="str">
        <x:v>2026-06-24</x:v>
      </x:c>
      <x:c r="M26" s="28" t="str"/>
    </x:row>
    <x:row r="27">
      <x:c r="A27" s="37" t="str">
        <x:v>PLN-00294</x:v>
      </x:c>
      <x:c r="B27" s="28" t="str">
        <x:v>Twelve-month operating-expense reforecast</x:v>
      </x:c>
      <x:c r="C27" s="28" t="str">
        <x:v>Approved reforecast events</x:v>
      </x:c>
      <x:c r="D27" s="28" t="str">
        <x:v>Executive</x:v>
      </x:c>
      <x:c r="E27" s="28" t="str">
        <x:v>2026-05 working copy</x:v>
      </x:c>
      <x:c r="F27" s="28" t="str">
        <x:v>Approved case</x:v>
      </x:c>
      <x:c r="G27" s="28" t="str">
        <x:v>Net approved run-rate and timing adjustment</x:v>
      </x:c>
      <x:c r="H27" s="31" t="n">
        <x:v>5866.666666666666</x:v>
      </x:c>
      <x:c r="I27" s="28" t="str"/>
      <x:c r="J27" s="28" t="str">
        <x:v>USD</x:v>
      </x:c>
      <x:c r="K27" s="28" t="str">
        <x:v>Earlier management working export</x:v>
      </x:c>
      <x:c r="L27" s="34" t="str">
        <x:v>2026-06-24</x:v>
      </x:c>
      <x:c r="M27" s="28" t="str"/>
    </x:row>
    <x:row r="28">
      <x:c r="A28" s="37" t="str">
        <x:v>PLN-00295</x:v>
      </x:c>
      <x:c r="B28" s="28" t="str">
        <x:v>Twelve-month operating-expense reforecast</x:v>
      </x:c>
      <x:c r="C28" s="28" t="str">
        <x:v>Approved reforecast events</x:v>
      </x:c>
      <x:c r="D28" s="28" t="str">
        <x:v>Operations</x:v>
      </x:c>
      <x:c r="E28" s="28" t="str">
        <x:v>2026-10</x:v>
      </x:c>
      <x:c r="F28" s="28" t="str">
        <x:v>Management stretch</x:v>
      </x:c>
      <x:c r="G28" s="28" t="str">
        <x:v>Net approved run-rate and timing adjustment</x:v>
      </x:c>
      <x:c r="H28" s="31" t="n">
        <x:v>28000</x:v>
      </x:c>
      <x:c r="I28" s="28" t="str"/>
      <x:c r="J28" s="28" t="str">
        <x:v>USD</x:v>
      </x:c>
      <x:c r="K28" s="28" t="str">
        <x:v>Earlier management working export</x:v>
      </x:c>
      <x:c r="L28" s="34" t="str">
        <x:v>2026-06-24</x:v>
      </x:c>
      <x:c r="M28" s="28" t="str"/>
    </x:row>
    <x:row r="29">
      <x:c r="A29" s="37" t="str">
        <x:v>PLN-00296</x:v>
      </x:c>
      <x:c r="B29" s="28" t="str">
        <x:v>Twelve-month operating-expense reforecast</x:v>
      </x:c>
      <x:c r="C29" s="28" t="str">
        <x:v>Approved reforecast events</x:v>
      </x:c>
      <x:c r="D29" s="28" t="str">
        <x:v>Operations</x:v>
      </x:c>
      <x:c r="E29" s="28" t="str">
        <x:v>2026-05 working copy</x:v>
      </x:c>
      <x:c r="F29" s="28" t="str">
        <x:v>Approved case</x:v>
      </x:c>
      <x:c r="G29" s="28" t="str">
        <x:v>Net approved run-rate and timing adjustment</x:v>
      </x:c>
      <x:c r="H29" s="31" t="n">
        <x:v>75533.33333333333</x:v>
      </x:c>
      <x:c r="I29" s="28" t="str"/>
      <x:c r="J29" s="28" t="str">
        <x:v>USD</x:v>
      </x:c>
      <x:c r="K29" s="28" t="str">
        <x:v>Earlier management working export</x:v>
      </x:c>
      <x:c r="L29" s="34" t="str">
        <x:v>2026-06-24</x:v>
      </x:c>
      <x:c r="M29" s="28" t="str"/>
    </x:row>
    <x:row r="30">
      <x:c r="A30" s="37" t="str">
        <x:v>PLN-00297</x:v>
      </x:c>
      <x:c r="B30" s="28" t="str">
        <x:v>Twelve-month operating-expense reforecast</x:v>
      </x:c>
      <x:c r="C30" s="28" t="str">
        <x:v>Approved reforecast events</x:v>
      </x:c>
      <x:c r="D30" s="28" t="str">
        <x:v>Information Technology</x:v>
      </x:c>
      <x:c r="E30" s="28" t="str">
        <x:v>2026-12</x:v>
      </x:c>
      <x:c r="F30" s="28" t="str">
        <x:v>Management stretch</x:v>
      </x:c>
      <x:c r="G30" s="28" t="str">
        <x:v>Net approved run-rate and timing adjustment</x:v>
      </x:c>
      <x:c r="H30" s="31" t="n">
        <x:v>22.800000000000004</x:v>
      </x:c>
      <x:c r="I30" s="28" t="str"/>
      <x:c r="J30" s="28" t="str">
        <x:v>USD thousands</x:v>
      </x:c>
      <x:c r="K30" s="28" t="str">
        <x:v>Earlier management working export</x:v>
      </x:c>
      <x:c r="L30" s="34" t="str">
        <x:v>2026-06-24</x:v>
      </x:c>
      <x:c r="M30" s="28" t="str"/>
    </x:row>
    <x:row r="31">
      <x:c r="A31" s="37" t="str">
        <x:v>PLN-00427</x:v>
      </x:c>
      <x:c r="B31" s="28" t="str">
        <x:v>Complete the FY27 field workforce plan</x:v>
      </x:c>
      <x:c r="C31" s="28" t="str">
        <x:v>Employee roster summary</x:v>
      </x:c>
      <x:c r="D31" s="28" t="str">
        <x:v>Journey</x:v>
      </x:c>
      <x:c r="E31" s="28" t="str">
        <x:v>2026-05 working copy</x:v>
      </x:c>
      <x:c r="F31" s="28" t="str">
        <x:v>Approved case</x:v>
      </x:c>
      <x:c r="G31" s="28" t="str">
        <x:v>Monthly paid hours per FTE</x:v>
      </x:c>
      <x:c r="H31" s="31" t="n">
        <x:v>164.8</x:v>
      </x:c>
      <x:c r="I31" s="28" t="str"/>
      <x:c r="J31" s="28" t="str">
        <x:v>hours</x:v>
      </x:c>
      <x:c r="K31" s="28" t="str">
        <x:v>Earlier management working export</x:v>
      </x:c>
      <x:c r="L31" s="34" t="str">
        <x:v>2026-06-24</x:v>
      </x:c>
      <x:c r="M31" s="28" t="str"/>
    </x:row>
    <x:row r="32">
      <x:c r="A32" s="37" t="str">
        <x:v>PLN-00428</x:v>
      </x:c>
      <x:c r="B32" s="28" t="str">
        <x:v>Complete the FY27 field workforce plan</x:v>
      </x:c>
      <x:c r="C32" s="28" t="str">
        <x:v>Monthly productive-hour demand</x:v>
      </x:c>
      <x:c r="D32" s="28" t="str">
        <x:v>Journey</x:v>
      </x:c>
      <x:c r="E32" s="28" t="str">
        <x:v>2026-10</x:v>
      </x:c>
      <x:c r="F32" s="28" t="str">
        <x:v>Management stretch</x:v>
      </x:c>
      <x:c r="G32" s="28" t="str">
        <x:v>Required productive hours</x:v>
      </x:c>
      <x:c r="H32" s="31" t="n">
        <x:v>10983.518208000001</x:v>
      </x:c>
      <x:c r="I32" s="28" t="str"/>
      <x:c r="J32" s="28" t="str">
        <x:v>hours</x:v>
      </x:c>
      <x:c r="K32" s="28" t="str">
        <x:v>Earlier management working export</x:v>
      </x:c>
      <x:c r="L32" s="34" t="str">
        <x:v>2026-06-24</x:v>
      </x:c>
      <x:c r="M32" s="28" t="str"/>
    </x:row>
    <x:row r="33">
      <x:c r="A33" s="37" t="str">
        <x:v>PLN-00429</x:v>
      </x:c>
      <x:c r="B33" s="28" t="str">
        <x:v>Complete the FY27 field workforce plan</x:v>
      </x:c>
      <x:c r="C33" s="28" t="str">
        <x:v>Monthly productive-hour demand</x:v>
      </x:c>
      <x:c r="D33" s="28" t="str">
        <x:v>Journey</x:v>
      </x:c>
      <x:c r="E33" s="28" t="str">
        <x:v>2026-05 working copy</x:v>
      </x:c>
      <x:c r="F33" s="28" t="str">
        <x:v>Approved case</x:v>
      </x:c>
      <x:c r="G33" s="28" t="str">
        <x:v>Required productive hours</x:v>
      </x:c>
      <x:c r="H33" s="31" t="n">
        <x:v>11962.944000000001</x:v>
      </x:c>
      <x:c r="I33" s="28" t="str"/>
      <x:c r="J33" s="28" t="str">
        <x:v>hours</x:v>
      </x:c>
      <x:c r="K33" s="28" t="str">
        <x:v>Earlier management working export</x:v>
      </x:c>
      <x:c r="L33" s="34" t="str">
        <x:v>2026-06-24</x:v>
      </x:c>
      <x:c r="M33" s="28" t="str"/>
    </x:row>
    <x:row r="34">
      <x:c r="A34" s="37" t="str">
        <x:v>PLN-00430</x:v>
      </x:c>
      <x:c r="B34" s="28" t="str">
        <x:v>Complete the FY27 field workforce plan</x:v>
      </x:c>
      <x:c r="C34" s="28" t="str">
        <x:v>Monthly productive-hour demand</x:v>
      </x:c>
      <x:c r="D34" s="28" t="str">
        <x:v>Apprentice</x:v>
      </x:c>
      <x:c r="E34" s="28" t="str">
        <x:v>2026-08</x:v>
      </x:c>
      <x:c r="F34" s="28" t="str">
        <x:v>Management stretch</x:v>
      </x:c>
      <x:c r="G34" s="28" t="str">
        <x:v>Required productive hours</x:v>
      </x:c>
      <x:c r="H34" s="31" t="n">
        <x:v>3273.4258278400002</x:v>
      </x:c>
      <x:c r="I34" s="28" t="str"/>
      <x:c r="J34" s="28" t="str">
        <x:v>hours</x:v>
      </x:c>
      <x:c r="K34" s="28" t="str">
        <x:v>Earlier management working export</x:v>
      </x:c>
      <x:c r="L34" s="34" t="str">
        <x:v>2026-06-24</x:v>
      </x:c>
      <x:c r="M34" s="28" t="str"/>
    </x:row>
    <x:row r="35">
      <x:c r="A35" s="37" t="str">
        <x:v>PLN-00431</x:v>
      </x:c>
      <x:c r="B35" s="28" t="str">
        <x:v>Complete the FY27 field workforce plan</x:v>
      </x:c>
      <x:c r="C35" s="28" t="str">
        <x:v>Monthly productive-hour demand</x:v>
      </x:c>
      <x:c r="D35" s="28" t="str">
        <x:v>Apprentice</x:v>
      </x:c>
      <x:c r="E35" s="28" t="str">
        <x:v>2026-05 working copy</x:v>
      </x:c>
      <x:c r="F35" s="28" t="str">
        <x:v>Approved case</x:v>
      </x:c>
      <x:c r="G35" s="28" t="str">
        <x:v>Required productive hours</x:v>
      </x:c>
      <x:c r="H35" s="31" t="n">
        <x:v>3888.8515993600004</x:v>
      </x:c>
      <x:c r="I35" s="28" t="str"/>
      <x:c r="J35" s="28" t="str">
        <x:v>hours</x:v>
      </x:c>
      <x:c r="K35" s="28" t="str">
        <x:v>Earlier management working export</x:v>
      </x:c>
      <x:c r="L35" s="34" t="str">
        <x:v>2026-06-24</x:v>
      </x:c>
      <x:c r="M35" s="28" t="str"/>
    </x:row>
    <x:row r="36">
      <x:c r="A36" s="37" t="str">
        <x:v>PLN-00432</x:v>
      </x:c>
      <x:c r="B36" s="28" t="str">
        <x:v>Complete the FY27 field workforce plan</x:v>
      </x:c>
      <x:c r="C36" s="28" t="str">
        <x:v>Employee roster summary</x:v>
      </x:c>
      <x:c r="D36" s="28" t="str">
        <x:v>Controls technician</x:v>
      </x:c>
      <x:c r="E36" s="28" t="str">
        <x:v>FY27</x:v>
      </x:c>
      <x:c r="F36" s="28" t="str">
        <x:v>Management stretch</x:v>
      </x:c>
      <x:c r="G36" s="28" t="str">
        <x:v>Benefits and burden</x:v>
      </x:c>
      <x:c r="H36" s="31" t="n">
        <x:v>0.315</x:v>
      </x:c>
      <x:c r="I36" s="28" t="str"/>
      <x:c r="J36" s="28" t="str">
        <x:v>decimal ratio</x:v>
      </x:c>
      <x:c r="K36" s="28" t="str">
        <x:v>Earlier management working export</x:v>
      </x:c>
      <x:c r="L36" s="34" t="str">
        <x:v>2026-06-24</x:v>
      </x:c>
      <x:c r="M36" s="28" t="str"/>
    </x:row>
    <x:row r="37">
      <x:c r="A37" s="37" t="str">
        <x:v>PLN-00433</x:v>
      </x:c>
      <x:c r="B37" s="28" t="str">
        <x:v>Complete the FY27 field workforce plan</x:v>
      </x:c>
      <x:c r="C37" s="28" t="str">
        <x:v>Monthly productive-hour demand</x:v>
      </x:c>
      <x:c r="D37" s="28" t="str">
        <x:v>Controls technician</x:v>
      </x:c>
      <x:c r="E37" s="28" t="str">
        <x:v>2026-05 working copy</x:v>
      </x:c>
      <x:c r="F37" s="28" t="str">
        <x:v>Approved case</x:v>
      </x:c>
      <x:c r="G37" s="28" t="str">
        <x:v>Required productive hours</x:v>
      </x:c>
      <x:c r="H37" s="31" t="n">
        <x:v>1787.0384640000002</x:v>
      </x:c>
      <x:c r="I37" s="28" t="str"/>
      <x:c r="J37" s="28" t="str">
        <x:v>hours</x:v>
      </x:c>
      <x:c r="K37" s="28" t="str">
        <x:v>Earlier management working export</x:v>
      </x:c>
      <x:c r="L37" s="34" t="str">
        <x:v>2026-06-24</x:v>
      </x:c>
      <x:c r="M37" s="28" t="str"/>
    </x:row>
    <x:row r="38">
      <x:c r="A38" s="37" t="str">
        <x:v>PLN-00434</x:v>
      </x:c>
      <x:c r="B38" s="28" t="str">
        <x:v>Complete the FY27 field workforce plan</x:v>
      </x:c>
      <x:c r="C38" s="28" t="str">
        <x:v>Workforce policy</x:v>
      </x:c>
      <x:c r="D38" s="28" t="str">
        <x:v>New hires</x:v>
      </x:c>
      <x:c r="E38" s="28" t="str">
        <x:v>FY27</x:v>
      </x:c>
      <x:c r="F38" s="28" t="str">
        <x:v>Management stretch</x:v>
      </x:c>
      <x:c r="G38" s="28" t="str">
        <x:v>Training ramp productive factor</x:v>
      </x:c>
      <x:c r="H38" s="31" t="n">
        <x:v>0.676</x:v>
      </x:c>
      <x:c r="I38" s="28" t="str"/>
      <x:c r="J38" s="28" t="str">
        <x:v>decimal ratio</x:v>
      </x:c>
      <x:c r="K38" s="28" t="str">
        <x:v>Earlier management working export</x:v>
      </x:c>
      <x:c r="L38" s="34" t="str">
        <x:v>2026-06-24</x:v>
      </x:c>
      <x:c r="M38" s="28" t="str"/>
    </x:row>
    <x:row r="39">
      <x:c r="A39" s="37" t="str">
        <x:v>PLN-00435</x:v>
      </x:c>
      <x:c r="B39" s="28" t="str">
        <x:v>Complete the FY27 field workforce plan</x:v>
      </x:c>
      <x:c r="C39" s="28" t="str">
        <x:v>Monthly productive-hour demand</x:v>
      </x:c>
      <x:c r="D39" s="28" t="str">
        <x:v>Journey</x:v>
      </x:c>
      <x:c r="E39" s="28" t="str">
        <x:v>2026-05 working copy</x:v>
      </x:c>
      <x:c r="F39" s="28" t="str">
        <x:v>Approved case</x:v>
      </x:c>
      <x:c r="G39" s="28" t="str">
        <x:v>Required productive hours</x:v>
      </x:c>
      <x:c r="H39" s="31" t="n">
        <x:v>10839.46752</x:v>
      </x:c>
      <x:c r="I39" s="28" t="str"/>
      <x:c r="J39" s="28" t="str">
        <x:v>hours</x:v>
      </x:c>
      <x:c r="K39" s="28" t="str">
        <x:v>Earlier management working export</x:v>
      </x:c>
      <x:c r="L39" s="34" t="str">
        <x:v>2026-06-24</x:v>
      </x:c>
      <x:c r="M39" s="28" t="str"/>
    </x:row>
    <x:row r="40">
      <x:c r="A40" s="37" t="str">
        <x:v>PLN-00436</x:v>
      </x:c>
      <x:c r="B40" s="28" t="str">
        <x:v>Complete the FY27 field workforce plan</x:v>
      </x:c>
      <x:c r="C40" s="28" t="str">
        <x:v>Monthly productive-hour demand</x:v>
      </x:c>
      <x:c r="D40" s="28" t="str">
        <x:v>Journey</x:v>
      </x:c>
      <x:c r="E40" s="28" t="str">
        <x:v>2027-03</x:v>
      </x:c>
      <x:c r="F40" s="28" t="str">
        <x:v>Management stretch</x:v>
      </x:c>
      <x:c r="G40" s="28" t="str">
        <x:v>Required productive hours</x:v>
      </x:c>
      <x:c r="H40" s="31" t="n">
        <x:v>12510.614016000001</x:v>
      </x:c>
      <x:c r="I40" s="28" t="str"/>
      <x:c r="J40" s="28" t="str">
        <x:v>hours</x:v>
      </x:c>
      <x:c r="K40" s="28" t="str">
        <x:v>Earlier management working export</x:v>
      </x:c>
      <x:c r="L40" s="34" t="str">
        <x:v>2026-06-24</x:v>
      </x:c>
      <x:c r="M40" s="28" t="str"/>
    </x:row>
    <x:row r="41">
      <x:c r="A41" s="37" t="str">
        <x:v>PLN-00437</x:v>
      </x:c>
      <x:c r="B41" s="28" t="str">
        <x:v>Complete the FY27 field workforce plan</x:v>
      </x:c>
      <x:c r="C41" s="28" t="str">
        <x:v>Employee roster summary</x:v>
      </x:c>
      <x:c r="D41" s="28" t="str">
        <x:v>Apprentice</x:v>
      </x:c>
      <x:c r="E41" s="28" t="str">
        <x:v>2026-05 working copy</x:v>
      </x:c>
      <x:c r="F41" s="28" t="str">
        <x:v>Approved case</x:v>
      </x:c>
      <x:c r="G41" s="28" t="str">
        <x:v>Benefits and burden</x:v>
      </x:c>
      <x:c r="H41" s="31" t="n">
        <x:v>0.3536</x:v>
      </x:c>
      <x:c r="I41" s="28" t="str"/>
      <x:c r="J41" s="28" t="str">
        <x:v>decimal ratio</x:v>
      </x:c>
      <x:c r="K41" s="28" t="str">
        <x:v>Earlier management working export</x:v>
      </x:c>
      <x:c r="L41" s="34" t="str">
        <x:v>2026-06-24</x:v>
      </x:c>
      <x:c r="M41" s="28" t="str"/>
    </x:row>
    <x:row r="42">
      <x:c r="A42" s="37" t="str">
        <x:v>PLN-00438</x:v>
      </x:c>
      <x:c r="B42" s="28" t="str">
        <x:v>Complete the FY27 field workforce plan</x:v>
      </x:c>
      <x:c r="C42" s="28" t="str">
        <x:v>Monthly productive-hour demand</x:v>
      </x:c>
      <x:c r="D42" s="28" t="str">
        <x:v>Apprentice</x:v>
      </x:c>
      <x:c r="E42" s="28" t="str">
        <x:v>2027-01</x:v>
      </x:c>
      <x:c r="F42" s="28" t="str">
        <x:v>Management stretch</x:v>
      </x:c>
      <x:c r="G42" s="28" t="str">
        <x:v>Required productive hours</x:v>
      </x:c>
      <x:c r="H42" s="31" t="n">
        <x:v>3529.1364864000006</x:v>
      </x:c>
      <x:c r="I42" s="28" t="str"/>
      <x:c r="J42" s="28" t="str">
        <x:v>hours</x:v>
      </x:c>
      <x:c r="K42" s="28" t="str">
        <x:v>Earlier management working export</x:v>
      </x:c>
      <x:c r="L42" s="34" t="str">
        <x:v>2026-06-24</x:v>
      </x:c>
      <x:c r="M42" s="28" t="str"/>
    </x:row>
    <x:row r="43">
      <x:c r="A43" s="37" t="str">
        <x:v>PLN-00439</x:v>
      </x:c>
      <x:c r="B43" s="28" t="str">
        <x:v>Complete the FY27 field workforce plan</x:v>
      </x:c>
      <x:c r="C43" s="28" t="str">
        <x:v>Employee roster summary</x:v>
      </x:c>
      <x:c r="D43" s="28" t="str">
        <x:v>Controls technician</x:v>
      </x:c>
      <x:c r="E43" s="28" t="str">
        <x:v>2026-05 working copy</x:v>
      </x:c>
      <x:c r="F43" s="28" t="str">
        <x:v>Approved case</x:v>
      </x:c>
      <x:c r="G43" s="28" t="str">
        <x:v>Productive utilization</x:v>
      </x:c>
      <x:c r="H43" s="31" t="n">
        <x:v>0.8446</x:v>
      </x:c>
      <x:c r="I43" s="28" t="str"/>
      <x:c r="J43" s="28" t="str">
        <x:v>decimal ratio</x:v>
      </x:c>
      <x:c r="K43" s="28" t="str">
        <x:v>Earlier management working export</x:v>
      </x:c>
      <x:c r="L43" s="34" t="str">
        <x:v>2026-06-24</x:v>
      </x:c>
      <x:c r="M43" s="28" t="str"/>
    </x:row>
    <x:row r="44">
      <x:c r="A44" s="37" t="str">
        <x:v>PLN-00440</x:v>
      </x:c>
      <x:c r="B44" s="28" t="str">
        <x:v>Complete the FY27 field workforce plan</x:v>
      </x:c>
      <x:c r="C44" s="28" t="str">
        <x:v>Monthly productive-hour demand</x:v>
      </x:c>
      <x:c r="D44" s="28" t="str">
        <x:v>Controls technician</x:v>
      </x:c>
      <x:c r="E44" s="28" t="str">
        <x:v>2026-11</x:v>
      </x:c>
      <x:c r="F44" s="28" t="str">
        <x:v>Management stretch</x:v>
      </x:c>
      <x:c r="G44" s="28" t="str">
        <x:v>Required productive hours</x:v>
      </x:c>
      <x:c r="H44" s="31" t="n">
        <x:v>1765.091328</x:v>
      </x:c>
      <x:c r="I44" s="28" t="str"/>
      <x:c r="J44" s="28" t="str">
        <x:v>hours</x:v>
      </x:c>
      <x:c r="K44" s="28" t="str">
        <x:v>Earlier management working export</x:v>
      </x:c>
      <x:c r="L44" s="34" t="str">
        <x:v>2026-06-24</x:v>
      </x:c>
      <x:c r="M44" s="28" t="str"/>
    </x:row>
    <x:row r="45">
      <x:c r="A45" s="37" t="str">
        <x:v>PLN-01403</x:v>
      </x:c>
      <x:c r="B45" s="28" t="str">
        <x:v>Create the FY27 budget-reallocation optimizer</x:v>
      </x:c>
      <x:c r="C45" s="28" t="str">
        <x:v>Budget reallocation initiatives</x:v>
      </x:c>
      <x:c r="D45" s="28" t="str">
        <x:v>Field scheduling</x:v>
      </x:c>
      <x:c r="E45" s="28" t="str">
        <x:v>2026-05 working copy</x:v>
      </x:c>
      <x:c r="F45" s="28" t="str">
        <x:v>Approved case</x:v>
      </x:c>
      <x:c r="G45" s="28" t="str">
        <x:v>FY27 cash spend</x:v>
      </x:c>
      <x:c r="H45" s="31" t="n">
        <x:v>638.6</x:v>
      </x:c>
      <x:c r="I45" s="28" t="str"/>
      <x:c r="J45" s="28" t="str">
        <x:v>USD thousands</x:v>
      </x:c>
      <x:c r="K45" s="28" t="str">
        <x:v>Earlier management working export</x:v>
      </x:c>
      <x:c r="L45" s="34" t="str">
        <x:v>2026-06-24</x:v>
      </x:c>
      <x:c r="M45" s="28" t="str"/>
    </x:row>
    <x:row r="46">
      <x:c r="A46" s="37" t="str">
        <x:v>PLN-01404</x:v>
      </x:c>
      <x:c r="B46" s="28" t="str">
        <x:v>Create the FY27 budget-reallocation optimizer</x:v>
      </x:c>
      <x:c r="C46" s="28" t="str">
        <x:v>Budget reallocation initiatives</x:v>
      </x:c>
      <x:c r="D46" s="28" t="str">
        <x:v>Service routing AI</x:v>
      </x:c>
      <x:c r="E46" s="28" t="str">
        <x:v>FY27</x:v>
      </x:c>
      <x:c r="F46" s="28" t="str">
        <x:v>Management stretch</x:v>
      </x:c>
      <x:c r="G46" s="28" t="str">
        <x:v>Three-year risk-adjusted NPV</x:v>
      </x:c>
      <x:c r="H46" s="31" t="n">
        <x:v>1123200</x:v>
      </x:c>
      <x:c r="I46" s="28" t="str"/>
      <x:c r="J46" s="28" t="str">
        <x:v>USD</x:v>
      </x:c>
      <x:c r="K46" s="28" t="str">
        <x:v>Earlier management working export</x:v>
      </x:c>
      <x:c r="L46" s="34" t="str">
        <x:v>2026-06-24</x:v>
      </x:c>
      <x:c r="M46" s="28" t="str"/>
    </x:row>
    <x:row r="47">
      <x:c r="A47" s="37" t="str">
        <x:v>PLN-01405</x:v>
      </x:c>
      <x:c r="B47" s="28" t="str">
        <x:v>Create the FY27 budget-reallocation optimizer</x:v>
      </x:c>
      <x:c r="C47" s="28" t="str">
        <x:v>Budget reallocation initiatives</x:v>
      </x:c>
      <x:c r="D47" s="28" t="str">
        <x:v>Procurement analytics</x:v>
      </x:c>
      <x:c r="E47" s="28" t="str">
        <x:v>2026-05 working copy</x:v>
      </x:c>
      <x:c r="F47" s="28" t="str">
        <x:v>Approved case</x:v>
      </x:c>
      <x:c r="G47" s="28" t="str">
        <x:v>Realization probability</x:v>
      </x:c>
      <x:c r="H47" s="31" t="n">
        <x:v>0.756</x:v>
      </x:c>
      <x:c r="I47" s="28" t="str"/>
      <x:c r="J47" s="28" t="str">
        <x:v>decimal ratio</x:v>
      </x:c>
      <x:c r="K47" s="28" t="str">
        <x:v>Earlier management working export</x:v>
      </x:c>
      <x:c r="L47" s="34" t="str">
        <x:v>2026-06-24</x:v>
      </x:c>
      <x:c r="M47" s="28" t="str"/>
    </x:row>
    <x:row r="48">
      <x:c r="A48" s="37" t="str">
        <x:v>PLN-01406</x:v>
      </x:c>
      <x:c r="B48" s="28" t="str">
        <x:v>Create the FY27 budget-reallocation optimizer</x:v>
      </x:c>
      <x:c r="C48" s="28" t="str">
        <x:v>Budget reallocation initiatives</x:v>
      </x:c>
      <x:c r="D48" s="28" t="str">
        <x:v>Branch sales hires</x:v>
      </x:c>
      <x:c r="E48" s="28" t="str">
        <x:v>FY27</x:v>
      </x:c>
      <x:c r="F48" s="28" t="str">
        <x:v>Management stretch</x:v>
      </x:c>
      <x:c r="G48" s="28" t="str">
        <x:v>Annual EBITDA benefit</x:v>
      </x:c>
      <x:c r="H48" s="31" t="n">
        <x:v>1483200</x:v>
      </x:c>
      <x:c r="I48" s="28" t="str"/>
      <x:c r="J48" s="28" t="str">
        <x:v>USD</x:v>
      </x:c>
      <x:c r="K48" s="28" t="str">
        <x:v>Earlier management working export</x:v>
      </x:c>
      <x:c r="L48" s="34" t="str">
        <x:v>2026-06-24</x:v>
      </x:c>
      <x:c r="M48" s="28" t="str"/>
    </x:row>
    <x:row r="49">
      <x:c r="A49" s="37" t="str">
        <x:v>PLN-01407</x:v>
      </x:c>
      <x:c r="B49" s="28" t="str">
        <x:v>Create the FY27 budget-reallocation optimizer</x:v>
      </x:c>
      <x:c r="C49" s="28" t="str">
        <x:v>Budget reallocation initiatives</x:v>
      </x:c>
      <x:c r="D49" s="28" t="str">
        <x:v>Fleet telematics</x:v>
      </x:c>
      <x:c r="E49" s="28" t="str">
        <x:v>2026-05 working copy</x:v>
      </x:c>
      <x:c r="F49" s="28" t="str">
        <x:v>Approved case</x:v>
      </x:c>
      <x:c r="G49" s="28" t="str">
        <x:v>FY27 cash spend</x:v>
      </x:c>
      <x:c r="H49" s="31" t="n">
        <x:v>301.6</x:v>
      </x:c>
      <x:c r="I49" s="28" t="str"/>
      <x:c r="J49" s="28" t="str">
        <x:v>USD thousands</x:v>
      </x:c>
      <x:c r="K49" s="28" t="str">
        <x:v>Earlier management working export</x:v>
      </x:c>
      <x:c r="L49" s="34" t="str">
        <x:v>2026-06-24</x:v>
      </x:c>
      <x:c r="M49" s="28" t="str"/>
    </x:row>
    <x:row r="50">
      <x:c r="A50" s="37" t="str">
        <x:v>PLN-01408</x:v>
      </x:c>
      <x:c r="B50" s="28" t="str">
        <x:v>Create the FY27 budget-reallocation optimizer</x:v>
      </x:c>
      <x:c r="C50" s="28" t="str">
        <x:v>Budget reallocation initiatives</x:v>
      </x:c>
      <x:c r="D50" s="28" t="str">
        <x:v>Field scheduling</x:v>
      </x:c>
      <x:c r="E50" s="28" t="str">
        <x:v>FY27</x:v>
      </x:c>
      <x:c r="F50" s="28" t="str">
        <x:v>Management stretch</x:v>
      </x:c>
      <x:c r="G50" s="28" t="str">
        <x:v>FY27 cash spend</x:v>
      </x:c>
      <x:c r="H50" s="31" t="n">
        <x:v>651000</x:v>
      </x:c>
      <x:c r="I50" s="28" t="str"/>
      <x:c r="J50" s="28" t="str">
        <x:v>USD</x:v>
      </x:c>
      <x:c r="K50" s="28" t="str">
        <x:v>Earlier management working export</x:v>
      </x:c>
      <x:c r="L50" s="34" t="str">
        <x:v>2026-06-24</x:v>
      </x:c>
      <x:c r="M50" s="28" t="str"/>
    </x:row>
    <x:row r="51">
      <x:c r="A51" s="37" t="str">
        <x:v>PLN-01409</x:v>
      </x:c>
      <x:c r="B51" s="28" t="str">
        <x:v>Create the FY27 budget-reallocation optimizer</x:v>
      </x:c>
      <x:c r="C51" s="28" t="str">
        <x:v>Budget reallocation initiatives</x:v>
      </x:c>
      <x:c r="D51" s="28" t="str">
        <x:v>Service routing AI</x:v>
      </x:c>
      <x:c r="E51" s="28" t="str">
        <x:v>2026-05 working copy</x:v>
      </x:c>
      <x:c r="F51" s="28" t="str">
        <x:v>Approved case</x:v>
      </x:c>
      <x:c r="G51" s="28" t="str">
        <x:v>Three-year risk-adjusted NPV</x:v>
      </x:c>
      <x:c r="H51" s="31" t="n">
        <x:v>1112400</x:v>
      </x:c>
      <x:c r="I51" s="28" t="str"/>
      <x:c r="J51" s="28" t="str">
        <x:v>USD</x:v>
      </x:c>
      <x:c r="K51" s="28" t="str">
        <x:v>Earlier management working export</x:v>
      </x:c>
      <x:c r="L51" s="34" t="str">
        <x:v>2026-06-24</x:v>
      </x:c>
      <x:c r="M51" s="28" t="str"/>
    </x:row>
    <x:row r="52">
      <x:c r="A52" s="37" t="str">
        <x:v>PLN-01410</x:v>
      </x:c>
      <x:c r="B52" s="28" t="str">
        <x:v>Create the FY27 budget-reallocation optimizer</x:v>
      </x:c>
      <x:c r="C52" s="28" t="str">
        <x:v>Budget reallocation initiatives</x:v>
      </x:c>
      <x:c r="D52" s="28" t="str">
        <x:v>Procurement analytics</x:v>
      </x:c>
      <x:c r="E52" s="28" t="str">
        <x:v>FY27</x:v>
      </x:c>
      <x:c r="F52" s="28" t="str">
        <x:v>Management stretch</x:v>
      </x:c>
      <x:c r="G52" s="28" t="str">
        <x:v>Realization probability</x:v>
      </x:c>
      <x:c r="H52" s="31" t="n">
        <x:v>0.7488</x:v>
      </x:c>
      <x:c r="I52" s="28" t="str"/>
      <x:c r="J52" s="28" t="str">
        <x:v>decimal ratio</x:v>
      </x:c>
      <x:c r="K52" s="28" t="str">
        <x:v>Earlier management working export</x:v>
      </x:c>
      <x:c r="L52" s="34" t="str">
        <x:v>2026-06-24</x:v>
      </x:c>
      <x:c r="M52" s="28" t="str"/>
    </x:row>
    <x:row r="53">
      <x:c r="A53" s="37" t="str">
        <x:v>PLN-01411</x:v>
      </x:c>
      <x:c r="B53" s="28" t="str">
        <x:v>Create the FY27 budget-reallocation optimizer</x:v>
      </x:c>
      <x:c r="C53" s="28" t="str">
        <x:v>Budget reallocation initiatives</x:v>
      </x:c>
      <x:c r="D53" s="28" t="str">
        <x:v>Branch sales hires</x:v>
      </x:c>
      <x:c r="E53" s="28" t="str">
        <x:v>2026-05 working copy</x:v>
      </x:c>
      <x:c r="F53" s="28" t="str">
        <x:v>Approved case</x:v>
      </x:c>
      <x:c r="G53" s="28" t="str">
        <x:v>Annual EBITDA benefit</x:v>
      </x:c>
      <x:c r="H53" s="31" t="n">
        <x:v>1512</x:v>
      </x:c>
      <x:c r="I53" s="28" t="str"/>
      <x:c r="J53" s="28" t="str">
        <x:v>USD thousands</x:v>
      </x:c>
      <x:c r="K53" s="28" t="str">
        <x:v>Earlier management working export</x:v>
      </x:c>
      <x:c r="L53" s="34" t="str">
        <x:v>2026-06-24</x:v>
      </x:c>
      <x:c r="M53" s="28" t="str"/>
    </x:row>
    <x:row r="54">
      <x:c r="A54" s="37" t="str">
        <x:v>PLN-01412</x:v>
      </x:c>
      <x:c r="B54" s="28" t="str">
        <x:v>Create the FY27 budget-reallocation optimizer</x:v>
      </x:c>
      <x:c r="C54" s="28" t="str">
        <x:v>Budget reallocation initiatives</x:v>
      </x:c>
      <x:c r="D54" s="28" t="str">
        <x:v>Fleet telematics</x:v>
      </x:c>
      <x:c r="E54" s="28" t="str">
        <x:v>FY27</x:v>
      </x:c>
      <x:c r="F54" s="28" t="str">
        <x:v>Management stretch</x:v>
      </x:c>
      <x:c r="G54" s="28" t="str">
        <x:v>FY27 cash spend</x:v>
      </x:c>
      <x:c r="H54" s="31" t="n">
        <x:v>298700</x:v>
      </x:c>
      <x:c r="I54" s="28" t="str"/>
      <x:c r="J54" s="28" t="str">
        <x:v>USD</x:v>
      </x:c>
      <x:c r="K54" s="28" t="str">
        <x:v>Earlier management working export</x:v>
      </x:c>
      <x:c r="L54" s="34" t="str">
        <x:v>2026-06-24</x:v>
      </x:c>
      <x:c r="M54" s="28" t="str"/>
    </x:row>
    <x:row r="55">
      <x:c r="A55" s="37" t="str">
        <x:v>PLN-01413</x:v>
      </x:c>
      <x:c r="B55" s="28" t="str">
        <x:v>Create the FY27 budget-reallocation optimizer</x:v>
      </x:c>
      <x:c r="C55" s="28" t="str">
        <x:v>Budget reallocation initiatives</x:v>
      </x:c>
      <x:c r="D55" s="28" t="str">
        <x:v>Field scheduling</x:v>
      </x:c>
      <x:c r="E55" s="28" t="str">
        <x:v>2026-05 working copy</x:v>
      </x:c>
      <x:c r="F55" s="28" t="str">
        <x:v>Approved case</x:v>
      </x:c>
      <x:c r="G55" s="28" t="str">
        <x:v>FY27 cash spend</x:v>
      </x:c>
      <x:c r="H55" s="31" t="n">
        <x:v>644800</x:v>
      </x:c>
      <x:c r="I55" s="28" t="str"/>
      <x:c r="J55" s="28" t="str">
        <x:v>USD</x:v>
      </x:c>
      <x:c r="K55" s="28" t="str">
        <x:v>Earlier management working export</x:v>
      </x:c>
      <x:c r="L55" s="34" t="str">
        <x:v>2026-06-24</x:v>
      </x:c>
      <x:c r="M55" s="28" t="str"/>
    </x:row>
    <x:row r="56">
      <x:c r="A56" s="37" t="str">
        <x:v>PLN-01414</x:v>
      </x:c>
      <x:c r="B56" s="28" t="str">
        <x:v>Create the FY27 budget-reallocation optimizer</x:v>
      </x:c>
      <x:c r="C56" s="28" t="str">
        <x:v>Budget reallocation initiatives</x:v>
      </x:c>
      <x:c r="D56" s="28" t="str">
        <x:v>Service routing AI</x:v>
      </x:c>
      <x:c r="E56" s="28" t="str">
        <x:v>FY27</x:v>
      </x:c>
      <x:c r="F56" s="28" t="str">
        <x:v>Management stretch</x:v>
      </x:c>
      <x:c r="G56" s="28" t="str">
        <x:v>Three-year risk-adjusted NPV</x:v>
      </x:c>
      <x:c r="H56" s="31" t="n">
        <x:v>1134000</x:v>
      </x:c>
      <x:c r="I56" s="28" t="str"/>
      <x:c r="J56" s="28" t="str">
        <x:v>USD</x:v>
      </x:c>
      <x:c r="K56" s="28" t="str">
        <x:v>Earlier management working export</x:v>
      </x:c>
      <x:c r="L56" s="34" t="str">
        <x:v>2026-06-24</x:v>
      </x:c>
      <x:c r="M56" s="28" t="str"/>
    </x:row>
    <x:row r="57">
      <x:c r="A57" s="37" t="str">
        <x:v>PLN-01415</x:v>
      </x:c>
      <x:c r="B57" s="28" t="str">
        <x:v>Create the FY27 budget-reallocation optimizer</x:v>
      </x:c>
      <x:c r="C57" s="28" t="str">
        <x:v>Budget reallocation initiatives</x:v>
      </x:c>
      <x:c r="D57" s="28" t="str">
        <x:v>Procurement analytics</x:v>
      </x:c>
      <x:c r="E57" s="28" t="str">
        <x:v>2026-05 working copy</x:v>
      </x:c>
      <x:c r="F57" s="28" t="str">
        <x:v>Approved case</x:v>
      </x:c>
      <x:c r="G57" s="28" t="str">
        <x:v>Realization probability</x:v>
      </x:c>
      <x:c r="H57" s="31" t="n">
        <x:v>0.7416</x:v>
      </x:c>
      <x:c r="I57" s="28" t="str"/>
      <x:c r="J57" s="28" t="str">
        <x:v>decimal ratio</x:v>
      </x:c>
      <x:c r="K57" s="28" t="str">
        <x:v>Earlier management working export</x:v>
      </x:c>
      <x:c r="L57" s="34" t="str">
        <x:v>2026-06-24</x:v>
      </x:c>
      <x:c r="M57" s="28" t="str"/>
    </x:row>
    <x:row r="58">
      <x:c r="A58" s="37" t="str">
        <x:v>PLN-01416</x:v>
      </x:c>
      <x:c r="B58" s="28" t="str">
        <x:v>Create the FY27 budget-reallocation optimizer</x:v>
      </x:c>
      <x:c r="C58" s="28" t="str">
        <x:v>Budget reallocation initiatives</x:v>
      </x:c>
      <x:c r="D58" s="28" t="str">
        <x:v>Branch sales hires</x:v>
      </x:c>
      <x:c r="E58" s="28" t="str">
        <x:v>FY27</x:v>
      </x:c>
      <x:c r="F58" s="28" t="str">
        <x:v>Management stretch</x:v>
      </x:c>
      <x:c r="G58" s="28" t="str">
        <x:v>Annual EBITDA benefit</x:v>
      </x:c>
      <x:c r="H58" s="31" t="n">
        <x:v>1497600</x:v>
      </x:c>
      <x:c r="I58" s="28" t="str"/>
      <x:c r="J58" s="28" t="str">
        <x:v>USD</x:v>
      </x:c>
      <x:c r="K58" s="28" t="str">
        <x:v>Earlier management working export</x:v>
      </x:c>
      <x:c r="L58" s="34" t="str">
        <x:v>2026-06-24</x:v>
      </x:c>
      <x:c r="M58" s="28" t="str"/>
    </x:row>
    <x:row r="59">
      <x:c r="A59" s="37" t="str">
        <x:v>PLN-01463</x:v>
      </x:c>
      <x:c r="B59" s="28" t="str">
        <x:v>Create the FY27 budget-reallocation optimizer</x:v>
      </x:c>
      <x:c r="C59" s="28" t="str">
        <x:v>Hardened initiative constraints</x:v>
      </x:c>
      <x:c r="D59" s="28" t="str">
        <x:v>Field scheduling</x:v>
      </x:c>
      <x:c r="E59" s="28" t="str">
        <x:v>2026-05 working copy</x:v>
      </x:c>
      <x:c r="F59" s="28" t="str">
        <x:v>Approved case</x:v>
      </x:c>
      <x:c r="G59" s="28" t="str">
        <x:v>FY28 cash spend</x:v>
      </x:c>
      <x:c r="H59" s="31" t="n">
        <x:v>319300</x:v>
      </x:c>
      <x:c r="I59" s="28" t="str"/>
      <x:c r="J59" s="28" t="str">
        <x:v>USD</x:v>
      </x:c>
      <x:c r="K59" s="28" t="str">
        <x:v>Earlier management working export</x:v>
      </x:c>
      <x:c r="L59" s="34" t="str">
        <x:v>2026-06-24</x:v>
      </x:c>
      <x:c r="M59" s="28" t="str"/>
    </x:row>
    <x:row r="60">
      <x:c r="A60" s="37" t="str">
        <x:v>PLN-01464</x:v>
      </x:c>
      <x:c r="B60" s="28" t="str">
        <x:v>Create the FY27 budget-reallocation optimizer</x:v>
      </x:c>
      <x:c r="C60" s="28" t="str">
        <x:v>Hardened initiative constraints</x:v>
      </x:c>
      <x:c r="D60" s="28" t="str">
        <x:v>Estimator enablement</x:v>
      </x:c>
      <x:c r="E60" s="28" t="str">
        <x:v>Portfolio</x:v>
      </x:c>
      <x:c r="F60" s="28" t="str">
        <x:v>Management stretch</x:v>
      </x:c>
      <x:c r="G60" s="28" t="str">
        <x:v>Scarce technician hours</x:v>
      </x:c>
      <x:c r="H60" s="31" t="n">
        <x:v>249.60000000000002</x:v>
      </x:c>
      <x:c r="I60" s="28" t="str"/>
      <x:c r="J60" s="28" t="str">
        <x:v>hours</x:v>
      </x:c>
      <x:c r="K60" s="28" t="str">
        <x:v>Earlier management working export</x:v>
      </x:c>
      <x:c r="L60" s="34" t="str">
        <x:v>2026-06-24</x:v>
      </x:c>
      <x:c r="M60" s="28" t="str"/>
    </x:row>
    <x:row r="61">
      <x:c r="A61" s="37" t="str">
        <x:v>PLN-01465</x:v>
      </x:c>
      <x:c r="B61" s="28" t="str">
        <x:v>Create the FY27 budget-reallocation optimizer</x:v>
      </x:c>
      <x:c r="C61" s="28" t="str">
        <x:v>Hardened initiative constraints</x:v>
      </x:c>
      <x:c r="D61" s="28" t="str">
        <x:v>Controls lab</x:v>
      </x:c>
      <x:c r="E61" s="28" t="str">
        <x:v>2026-05 working copy</x:v>
      </x:c>
      <x:c r="F61" s="28" t="str">
        <x:v>Approved case</x:v>
      </x:c>
      <x:c r="G61" s="28" t="str">
        <x:v>Resilience initiative</x:v>
      </x:c>
      <x:c r="H61" s="31" t="n">
        <x:v>0</x:v>
      </x:c>
      <x:c r="I61" s="28" t="str"/>
      <x:c r="J61" s="28" t="str">
        <x:v>boolean</x:v>
      </x:c>
      <x:c r="K61" s="28" t="str">
        <x:v>Earlier management working export</x:v>
      </x:c>
      <x:c r="L61" s="34" t="str">
        <x:v>2026-06-24</x:v>
      </x:c>
      <x:c r="M61" s="28" t="str"/>
    </x:row>
    <x:row r="62">
      <x:c r="A62" s="37" t="str">
        <x:v>PLN-01466</x:v>
      </x:c>
      <x:c r="B62" s="28" t="str">
        <x:v>Create the FY27 budget-reallocation optimizer</x:v>
      </x:c>
      <x:c r="C62" s="28" t="str">
        <x:v>Hardened initiative constraints</x:v>
      </x:c>
      <x:c r="D62" s="28" t="str">
        <x:v>Fleet telematics</x:v>
      </x:c>
      <x:c r="E62" s="28" t="str">
        <x:v>Portfolio</x:v>
      </x:c>
      <x:c r="F62" s="28" t="str">
        <x:v>Management stretch</x:v>
      </x:c>
      <x:c r="G62" s="28" t="str">
        <x:v>FY28 cash spend</x:v>
      </x:c>
      <x:c r="H62" s="31" t="n">
        <x:v>149350</x:v>
      </x:c>
      <x:c r="I62" s="28" t="str"/>
      <x:c r="J62" s="28" t="str">
        <x:v>USD</x:v>
      </x:c>
      <x:c r="K62" s="28" t="str">
        <x:v>Earlier management working export</x:v>
      </x:c>
      <x:c r="L62" s="34" t="str">
        <x:v>2026-06-24</x:v>
      </x:c>
      <x:c r="M62" s="28" t="str"/>
    </x:row>
    <x:row r="63">
      <x:c r="A63" s="37" t="str">
        <x:v>PLN-01467</x:v>
      </x:c>
      <x:c r="B63" s="28" t="str">
        <x:v>Create the FY27 budget-reallocation optimizer</x:v>
      </x:c>
      <x:c r="C63" s="28" t="str">
        <x:v>Budget optimization stress policy</x:v>
      </x:c>
      <x:c r="D63" s="28" t="str">
        <x:v>Portfolio</x:v>
      </x:c>
      <x:c r="E63" s="28" t="str">
        <x:v>2026-05 working copy</x:v>
      </x:c>
      <x:c r="F63" s="28" t="str">
        <x:v>Approved case</x:v>
      </x:c>
      <x:c r="G63" s="28" t="str">
        <x:v>FY28 budget stress factor</x:v>
      </x:c>
      <x:c r="H63" s="31" t="n">
        <x:v>0.936</x:v>
      </x:c>
      <x:c r="I63" s="28" t="str"/>
      <x:c r="J63" s="28" t="str">
        <x:v>decimal ratio</x:v>
      </x:c>
      <x:c r="K63" s="28" t="str">
        <x:v>Earlier management working export</x:v>
      </x:c>
      <x:c r="L63" s="34" t="str">
        <x:v>2026-06-24</x:v>
      </x:c>
      <x:c r="M63" s="28" t="str"/>
    </x:row>
    <x:row r="64">
      <x:c r="A64" s="37" t="str">
        <x:v>PLN-01468</x:v>
      </x:c>
      <x:c r="B64" s="28" t="str">
        <x:v>Create the FY27 budget-reallocation optimizer</x:v>
      </x:c>
      <x:c r="C64" s="28" t="str">
        <x:v>Hardened initiative constraints</x:v>
      </x:c>
      <x:c r="D64" s="28" t="str">
        <x:v>Service routing AI</x:v>
      </x:c>
      <x:c r="E64" s="28" t="str">
        <x:v>Portfolio</x:v>
      </x:c>
      <x:c r="F64" s="28" t="str">
        <x:v>Management stretch</x:v>
      </x:c>
      <x:c r="G64" s="28" t="str">
        <x:v>Resilience initiative</x:v>
      </x:c>
      <x:c r="H64" s="31" t="n">
        <x:v>0</x:v>
      </x:c>
      <x:c r="I64" s="28" t="str"/>
      <x:c r="J64" s="28" t="str">
        <x:v>boolean</x:v>
      </x:c>
      <x:c r="K64" s="28" t="str">
        <x:v>Earlier management working export</x:v>
      </x:c>
      <x:c r="L64" s="34" t="str">
        <x:v>2026-06-24</x:v>
      </x:c>
      <x:c r="M64" s="28" t="str"/>
    </x:row>
    <x:row r="65">
      <x:c r="A65" s="37" t="str">
        <x:v>PLN-01469</x:v>
      </x:c>
      <x:c r="B65" s="28" t="str">
        <x:v>Create the FY27 budget-reallocation optimizer</x:v>
      </x:c>
      <x:c r="C65" s="28" t="str">
        <x:v>Hardened initiative constraints</x:v>
      </x:c>
      <x:c r="D65" s="28" t="str">
        <x:v>Controls lab</x:v>
      </x:c>
      <x:c r="E65" s="28" t="str">
        <x:v>2026-05 working copy</x:v>
      </x:c>
      <x:c r="F65" s="28" t="str">
        <x:v>Approved case</x:v>
      </x:c>
      <x:c r="G65" s="28" t="str">
        <x:v>FY28 cash spend</x:v>
      </x:c>
      <x:c r="H65" s="31" t="n">
        <x:v>659200</x:v>
      </x:c>
      <x:c r="I65" s="28" t="str"/>
      <x:c r="J65" s="28" t="str">
        <x:v>USD</x:v>
      </x:c>
      <x:c r="K65" s="28" t="str">
        <x:v>Earlier management working export</x:v>
      </x:c>
      <x:c r="L65" s="34" t="str">
        <x:v>2026-06-24</x:v>
      </x:c>
      <x:c r="M65" s="28" t="str"/>
    </x:row>
    <x:row r="66">
      <x:c r="A66" s="37" t="str">
        <x:v>PLN-01470</x:v>
      </x:c>
      <x:c r="B66" s="28" t="str">
        <x:v>Create the FY27 budget-reallocation optimizer</x:v>
      </x:c>
      <x:c r="C66" s="28" t="str">
        <x:v>Hardened initiative constraints</x:v>
      </x:c>
      <x:c r="D66" s="28" t="str">
        <x:v>Cyber remediation</x:v>
      </x:c>
      <x:c r="E66" s="28" t="str">
        <x:v>Portfolio</x:v>
      </x:c>
      <x:c r="F66" s="28" t="str">
        <x:v>Management stretch</x:v>
      </x:c>
      <x:c r="G66" s="28" t="str">
        <x:v>Scarce technician hours</x:v>
      </x:c>
      <x:c r="H66" s="31" t="n">
        <x:v>83.2</x:v>
      </x:c>
      <x:c r="I66" s="28" t="str"/>
      <x:c r="J66" s="28" t="str">
        <x:v>hours</x:v>
      </x:c>
      <x:c r="K66" s="28" t="str">
        <x:v>Earlier management working export</x:v>
      </x:c>
      <x:c r="L66" s="34" t="str">
        <x:v>2026-06-24</x:v>
      </x:c>
      <x:c r="M66" s="28" t="str"/>
    </x:row>
    <x:row r="67">
      <x:c r="A67" s="38" t="str">
        <x:v>PLN-01471</x:v>
      </x:c>
      <x:c r="B67" s="29" t="str">
        <x:v>Create the FY27 budget-reallocation optimizer</x:v>
      </x:c>
      <x:c r="C67" s="29" t="str">
        <x:v>Budget optimization policy</x:v>
      </x:c>
      <x:c r="D67" s="29" t="str">
        <x:v>Portfolio</x:v>
      </x:c>
      <x:c r="E67" s="29" t="str">
        <x:v>2026-05 working copy</x:v>
      </x:c>
      <x:c r="F67" s="29" t="str">
        <x:v>Approved case</x:v>
      </x:c>
      <x:c r="G67" s="29" t="str">
        <x:v>Minimum resilience initiatives</x:v>
      </x:c>
      <x:c r="H67" s="32" t="n">
        <x:v>1.05</x:v>
      </x:c>
      <x:c r="I67" s="29" t="str"/>
      <x:c r="J67" s="29" t="str">
        <x:v>count</x:v>
      </x:c>
      <x:c r="K67" s="29" t="str">
        <x:v>Earlier management working export</x:v>
      </x:c>
      <x:c r="L67" s="35" t="str">
        <x:v>2026-06-24</x:v>
      </x:c>
      <x:c r="M67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Branches and Backlog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PLN-00597</x:v>
      </x:c>
      <x:c r="B5" s="27" t="str">
        <x:v>Branch contribution and economic-profit ranking</x:v>
      </x:c>
      <x:c r="C5" s="27" t="str">
        <x:v>Branch economics</x:v>
      </x:c>
      <x:c r="D5" s="27" t="str">
        <x:v>Portland Construction</x:v>
      </x:c>
      <x:c r="E5" s="27" t="str">
        <x:v>2026-05 working copy</x:v>
      </x:c>
      <x:c r="F5" s="27" t="str">
        <x:v>Approved case</x:v>
      </x:c>
      <x:c r="G5" s="27" t="str">
        <x:v>Contribution margin</x:v>
      </x:c>
      <x:c r="H5" s="30" t="n">
        <x:v>0.24205</x:v>
      </x:c>
      <x:c r="I5" s="27" t="str"/>
      <x:c r="J5" s="27" t="str">
        <x:v>decimal ratio</x:v>
      </x:c>
      <x:c r="K5" s="27" t="str">
        <x:v>Earlier management working export</x:v>
      </x:c>
      <x:c r="L5" s="33" t="str">
        <x:v>2026-06-24</x:v>
      </x:c>
      <x:c r="M5" s="27" t="str"/>
    </x:row>
    <x:row r="6">
      <x:c r="A6" s="37" t="str">
        <x:v>PLN-00598</x:v>
      </x:c>
      <x:c r="B6" s="28" t="str">
        <x:v>Branch contribution and economic-profit ranking</x:v>
      </x:c>
      <x:c r="C6" s="28" t="str">
        <x:v>Capital base</x:v>
      </x:c>
      <x:c r="D6" s="28" t="str">
        <x:v>Seattle Construction</x:v>
      </x:c>
      <x:c r="E6" s="28" t="str">
        <x:v>LTM 2026-06-30</x:v>
      </x:c>
      <x:c r="F6" s="28" t="str">
        <x:v>Management stretch</x:v>
      </x:c>
      <x:c r="G6" s="28" t="str">
        <x:v>Average invested capital</x:v>
      </x:c>
      <x:c r="H6" s="31" t="n">
        <x:v>7488000</x:v>
      </x:c>
      <x:c r="I6" s="28" t="str"/>
      <x:c r="J6" s="28" t="str">
        <x:v>USD</x:v>
      </x:c>
      <x:c r="K6" s="28" t="str">
        <x:v>Earlier management working export</x:v>
      </x:c>
      <x:c r="L6" s="34" t="str">
        <x:v>2026-06-24</x:v>
      </x:c>
      <x:c r="M6" s="28" t="str"/>
    </x:row>
    <x:row r="7">
      <x:c r="A7" s="37" t="str">
        <x:v>PLN-00599</x:v>
      </x:c>
      <x:c r="B7" s="28" t="str">
        <x:v>Branch contribution and economic-profit ranking</x:v>
      </x:c>
      <x:c r="C7" s="28" t="str">
        <x:v>Activity drivers</x:v>
      </x:c>
      <x:c r="D7" s="28" t="str">
        <x:v>Portland Service</x:v>
      </x:c>
      <x:c r="E7" s="28" t="str">
        <x:v>2026-05 working copy</x:v>
      </x:c>
      <x:c r="F7" s="28" t="str">
        <x:v>Approved case</x:v>
      </x:c>
      <x:c r="G7" s="28" t="str">
        <x:v>Active employee count</x:v>
      </x:c>
      <x:c r="H7" s="31" t="n">
        <x:v>15.75</x:v>
      </x:c>
      <x:c r="I7" s="28" t="str"/>
      <x:c r="J7" s="28" t="str">
        <x:v>count</x:v>
      </x:c>
      <x:c r="K7" s="28" t="str">
        <x:v>Earlier management working export</x:v>
      </x:c>
      <x:c r="L7" s="34" t="str">
        <x:v>2026-06-24</x:v>
      </x:c>
      <x:c r="M7" s="28" t="str"/>
    </x:row>
    <x:row r="8">
      <x:c r="A8" s="37" t="str">
        <x:v>PLN-00600</x:v>
      </x:c>
      <x:c r="B8" s="28" t="str">
        <x:v>Branch contribution and economic-profit ranking</x:v>
      </x:c>
      <x:c r="C8" s="28" t="str">
        <x:v>Activity drivers</x:v>
      </x:c>
      <x:c r="D8" s="28" t="str">
        <x:v>Bend Construction</x:v>
      </x:c>
      <x:c r="E8" s="28" t="str">
        <x:v>LTM 2026-06-30</x:v>
      </x:c>
      <x:c r="F8" s="28" t="str">
        <x:v>Management stretch</x:v>
      </x:c>
      <x:c r="G8" s="28" t="str">
        <x:v>Customer invoice count in hundreds</x:v>
      </x:c>
      <x:c r="H8" s="31" t="n">
        <x:v>2.06</x:v>
      </x:c>
      <x:c r="I8" s="28" t="str"/>
      <x:c r="J8" s="28" t="str">
        <x:v>count</x:v>
      </x:c>
      <x:c r="K8" s="28" t="str">
        <x:v>Earlier management working export</x:v>
      </x:c>
      <x:c r="L8" s="34" t="str">
        <x:v>2026-06-24</x:v>
      </x:c>
      <x:c r="M8" s="28" t="str"/>
    </x:row>
    <x:row r="9">
      <x:c r="A9" s="37" t="str">
        <x:v>PLN-00601</x:v>
      </x:c>
      <x:c r="B9" s="28" t="str">
        <x:v>Branch contribution and economic-profit ranking</x:v>
      </x:c>
      <x:c r="C9" s="28" t="str">
        <x:v>Activity drivers</x:v>
      </x:c>
      <x:c r="D9" s="28" t="str">
        <x:v>Portland Construction</x:v>
      </x:c>
      <x:c r="E9" s="28" t="str">
        <x:v>2026-05 working copy</x:v>
      </x:c>
      <x:c r="F9" s="28" t="str">
        <x:v>Approved case</x:v>
      </x:c>
      <x:c r="G9" s="28" t="str">
        <x:v>Customer invoice count in hundreds</x:v>
      </x:c>
      <x:c r="H9" s="31" t="n">
        <x:v>32.24</x:v>
      </x:c>
      <x:c r="I9" s="28" t="str"/>
      <x:c r="J9" s="28" t="str">
        <x:v>count</x:v>
      </x:c>
      <x:c r="K9" s="28" t="str">
        <x:v>Earlier management working export</x:v>
      </x:c>
      <x:c r="L9" s="34" t="str">
        <x:v>2026-06-24</x:v>
      </x:c>
      <x:c r="M9" s="28" t="str"/>
    </x:row>
    <x:row r="10">
      <x:c r="A10" s="37" t="str">
        <x:v>PLN-00602</x:v>
      </x:c>
      <x:c r="B10" s="28" t="str">
        <x:v>Branch contribution and economic-profit ranking</x:v>
      </x:c>
      <x:c r="C10" s="28" t="str">
        <x:v>Branch economics</x:v>
      </x:c>
      <x:c r="D10" s="28" t="str">
        <x:v>Boise Service</x:v>
      </x:c>
      <x:c r="E10" s="28" t="str">
        <x:v>LTM 2026-06-30</x:v>
      </x:c>
      <x:c r="F10" s="28" t="str">
        <x:v>Management stretch</x:v>
      </x:c>
      <x:c r="G10" s="28" t="str">
        <x:v>Contribution margin</x:v>
      </x:c>
      <x:c r="H10" s="31" t="n">
        <x:v>0.38325</x:v>
      </x:c>
      <x:c r="I10" s="28" t="str"/>
      <x:c r="J10" s="28" t="str">
        <x:v>decimal ratio</x:v>
      </x:c>
      <x:c r="K10" s="28" t="str">
        <x:v>Earlier management working export</x:v>
      </x:c>
      <x:c r="L10" s="34" t="str">
        <x:v>2026-06-24</x:v>
      </x:c>
      <x:c r="M10" s="28" t="str"/>
    </x:row>
    <x:row r="11">
      <x:c r="A11" s="37" t="str">
        <x:v>PLN-00603</x:v>
      </x:c>
      <x:c r="B11" s="28" t="str">
        <x:v>Branch contribution and economic-profit ranking</x:v>
      </x:c>
      <x:c r="C11" s="28" t="str">
        <x:v>Capital base</x:v>
      </x:c>
      <x:c r="D11" s="28" t="str">
        <x:v>Portland Service</x:v>
      </x:c>
      <x:c r="E11" s="28" t="str">
        <x:v>2026-05 working copy</x:v>
      </x:c>
      <x:c r="F11" s="28" t="str">
        <x:v>Approved case</x:v>
      </x:c>
      <x:c r="G11" s="28" t="str">
        <x:v>Average invested capital</x:v>
      </x:c>
      <x:c r="H11" s="31" t="n">
        <x:v>3914</x:v>
      </x:c>
      <x:c r="I11" s="28" t="str"/>
      <x:c r="J11" s="28" t="str">
        <x:v>USD thousands</x:v>
      </x:c>
      <x:c r="K11" s="28" t="str">
        <x:v>Earlier management working export</x:v>
      </x:c>
      <x:c r="L11" s="34" t="str">
        <x:v>2026-06-24</x:v>
      </x:c>
      <x:c r="M11" s="28" t="str"/>
    </x:row>
    <x:row r="12">
      <x:c r="A12" s="37" t="str">
        <x:v>PLN-00604</x:v>
      </x:c>
      <x:c r="B12" s="28" t="str">
        <x:v>Branch contribution and economic-profit ranking</x:v>
      </x:c>
      <x:c r="C12" s="28" t="str">
        <x:v>Activity drivers</x:v>
      </x:c>
      <x:c r="D12" s="28" t="str">
        <x:v>Bend Construction</x:v>
      </x:c>
      <x:c r="E12" s="28" t="str">
        <x:v>2026-06-30</x:v>
      </x:c>
      <x:c r="F12" s="28" t="str">
        <x:v>Management stretch</x:v>
      </x:c>
      <x:c r="G12" s="28" t="str">
        <x:v>Active employee count</x:v>
      </x:c>
      <x:c r="H12" s="31" t="n">
        <x:v>10.4</x:v>
      </x:c>
      <x:c r="I12" s="28" t="str"/>
      <x:c r="J12" s="28" t="str">
        <x:v>count</x:v>
      </x:c>
      <x:c r="K12" s="28" t="str">
        <x:v>Earlier management working export</x:v>
      </x:c>
      <x:c r="L12" s="34" t="str">
        <x:v>2026-06-24</x:v>
      </x:c>
      <x:c r="M12" s="28" t="str"/>
    </x:row>
    <x:row r="13">
      <x:c r="A13" s="37" t="str">
        <x:v>PLN-00605</x:v>
      </x:c>
      <x:c r="B13" s="28" t="str">
        <x:v>Branch contribution and economic-profit ranking</x:v>
      </x:c>
      <x:c r="C13" s="28" t="str">
        <x:v>Activity drivers</x:v>
      </x:c>
      <x:c r="D13" s="28" t="str">
        <x:v>Portland Construction</x:v>
      </x:c>
      <x:c r="E13" s="28" t="str">
        <x:v>2026-05 working copy</x:v>
      </x:c>
      <x:c r="F13" s="28" t="str">
        <x:v>Approved case</x:v>
      </x:c>
      <x:c r="G13" s="28" t="str">
        <x:v>Active employee count</x:v>
      </x:c>
      <x:c r="H13" s="31" t="n">
        <x:v>44.1</x:v>
      </x:c>
      <x:c r="I13" s="28" t="str"/>
      <x:c r="J13" s="28" t="str">
        <x:v>count</x:v>
      </x:c>
      <x:c r="K13" s="28" t="str">
        <x:v>Earlier management working export</x:v>
      </x:c>
      <x:c r="L13" s="34" t="str">
        <x:v>2026-06-24</x:v>
      </x:c>
      <x:c r="M13" s="28" t="str"/>
    </x:row>
    <x:row r="14">
      <x:c r="A14" s="37" t="str">
        <x:v>PLN-00606</x:v>
      </x:c>
      <x:c r="B14" s="28" t="str">
        <x:v>Branch contribution and economic-profit ranking</x:v>
      </x:c>
      <x:c r="C14" s="28" t="str">
        <x:v>Activity drivers</x:v>
      </x:c>
      <x:c r="D14" s="28" t="str">
        <x:v>Boise Service</x:v>
      </x:c>
      <x:c r="E14" s="28" t="str">
        <x:v>LTM 2026-06-30</x:v>
      </x:c>
      <x:c r="F14" s="28" t="str">
        <x:v>Management stretch</x:v>
      </x:c>
      <x:c r="G14" s="28" t="str">
        <x:v>Customer invoice count in hundreds</x:v>
      </x:c>
      <x:c r="H14" s="31" t="n">
        <x:v>16.48</x:v>
      </x:c>
      <x:c r="I14" s="28" t="str"/>
      <x:c r="J14" s="28" t="str">
        <x:v>count</x:v>
      </x:c>
      <x:c r="K14" s="28" t="str">
        <x:v>Earlier management working export</x:v>
      </x:c>
      <x:c r="L14" s="34" t="str">
        <x:v>2026-06-24</x:v>
      </x:c>
      <x:c r="M14" s="28" t="str"/>
    </x:row>
    <x:row r="15">
      <x:c r="A15" s="37" t="str">
        <x:v>PLN-00607</x:v>
      </x:c>
      <x:c r="B15" s="28" t="str">
        <x:v>Branch contribution and economic-profit ranking</x:v>
      </x:c>
      <x:c r="C15" s="28" t="str">
        <x:v>Branch economics</x:v>
      </x:c>
      <x:c r="D15" s="28" t="str">
        <x:v>Controls West</x:v>
      </x:c>
      <x:c r="E15" s="28" t="str">
        <x:v>2026-05 working copy</x:v>
      </x:c>
      <x:c r="F15" s="28" t="str">
        <x:v>Approved case</x:v>
      </x:c>
      <x:c r="G15" s="28" t="str">
        <x:v>Contribution margin</x:v>
      </x:c>
      <x:c r="H15" s="31" t="n">
        <x:v>0.33488</x:v>
      </x:c>
      <x:c r="I15" s="28" t="str"/>
      <x:c r="J15" s="28" t="str">
        <x:v>decimal ratio</x:v>
      </x:c>
      <x:c r="K15" s="28" t="str">
        <x:v>Earlier management working export</x:v>
      </x:c>
      <x:c r="L15" s="34" t="str">
        <x:v>2026-06-24</x:v>
      </x:c>
      <x:c r="M15" s="28" t="str"/>
    </x:row>
    <x:row r="16">
      <x:c r="A16" s="37" t="str">
        <x:v>PLN-00608</x:v>
      </x:c>
      <x:c r="B16" s="28" t="str">
        <x:v>Branch contribution and economic-profit ranking</x:v>
      </x:c>
      <x:c r="C16" s="28" t="str">
        <x:v>Capital base</x:v>
      </x:c>
      <x:c r="D16" s="28" t="str">
        <x:v>Bend Construction</x:v>
      </x:c>
      <x:c r="E16" s="28" t="str">
        <x:v>LTM 2026-06-30</x:v>
      </x:c>
      <x:c r="F16" s="28" t="str">
        <x:v>Management stretch</x:v>
      </x:c>
      <x:c r="G16" s="28" t="str">
        <x:v>Average invested capital</x:v>
      </x:c>
      <x:c r="H16" s="31" t="n">
        <x:v>5670000</x:v>
      </x:c>
      <x:c r="I16" s="28" t="str"/>
      <x:c r="J16" s="28" t="str">
        <x:v>USD</x:v>
      </x:c>
      <x:c r="K16" s="28" t="str">
        <x:v>Earlier management working export</x:v>
      </x:c>
      <x:c r="L16" s="34" t="str">
        <x:v>2026-06-24</x:v>
      </x:c>
      <x:c r="M16" s="28" t="str"/>
    </x:row>
    <x:row r="17">
      <x:c r="A17" s="37" t="str">
        <x:v>PLN-00867</x:v>
      </x:c>
      <x:c r="B17" s="28" t="str">
        <x:v>FY27 backlog delivery plan</x:v>
      </x:c>
      <x:c r="C17" s="28" t="str">
        <x:v>Signed contract backlog</x:v>
      </x:c>
      <x:c r="D17" s="28" t="str">
        <x:v>P-3101</x:v>
      </x:c>
      <x:c r="E17" s="28" t="str">
        <x:v>2026-05 working copy</x:v>
      </x:c>
      <x:c r="F17" s="28" t="str">
        <x:v>Approved case</x:v>
      </x:c>
      <x:c r="G17" s="28" t="str">
        <x:v>Remaining transaction price</x:v>
      </x:c>
      <x:c r="H17" s="31" t="n">
        <x:v>8652000</x:v>
      </x:c>
      <x:c r="I17" s="28" t="str"/>
      <x:c r="J17" s="28" t="str">
        <x:v>USD</x:v>
      </x:c>
      <x:c r="K17" s="28" t="str">
        <x:v>FY27 planning assumptions - v4 branch draft.xlsx</x:v>
      </x:c>
      <x:c r="L17" s="34" t="str">
        <x:v>2026-06-24</x:v>
      </x:c>
      <x:c r="M17" s="28" t="str"/>
    </x:row>
    <x:row r="18">
      <x:c r="A18" s="37" t="str">
        <x:v>PLN-00868</x:v>
      </x:c>
      <x:c r="B18" s="28" t="str">
        <x:v>FY27 backlog delivery plan</x:v>
      </x:c>
      <x:c r="C18" s="28" t="str">
        <x:v>Project burn curve</x:v>
      </x:c>
      <x:c r="D18" s="28" t="str">
        <x:v>P-3101</x:v>
      </x:c>
      <x:c r="E18" s="28" t="str">
        <x:v>2026-08</x:v>
      </x:c>
      <x:c r="F18" s="28" t="str">
        <x:v>Management stretch</x:v>
      </x:c>
      <x:c r="G18" s="28" t="str">
        <x:v>Monthly burn share</x:v>
      </x:c>
      <x:c r="H18" s="31" t="n">
        <x:v>0.02666666666666667</x:v>
      </x:c>
      <x:c r="I18" s="28" t="str"/>
      <x:c r="J18" s="28" t="str">
        <x:v>decimal ratio</x:v>
      </x:c>
      <x:c r="K18" s="28" t="str">
        <x:v>FY27 planning assumptions - v4 branch draft.xlsx</x:v>
      </x:c>
      <x:c r="L18" s="34" t="str">
        <x:v>2026-06-24</x:v>
      </x:c>
      <x:c r="M18" s="28" t="str"/>
    </x:row>
    <x:row r="19">
      <x:c r="A19" s="37" t="str">
        <x:v>PLN-00869</x:v>
      </x:c>
      <x:c r="B19" s="28" t="str">
        <x:v>FY27 backlog delivery plan</x:v>
      </x:c>
      <x:c r="C19" s="28" t="str">
        <x:v>Project burn curve</x:v>
      </x:c>
      <x:c r="D19" s="28" t="str">
        <x:v>P-3101</x:v>
      </x:c>
      <x:c r="E19" s="28" t="str">
        <x:v>2026-05 working copy</x:v>
      </x:c>
      <x:c r="F19" s="28" t="str">
        <x:v>Approved case</x:v>
      </x:c>
      <x:c r="G19" s="28" t="str">
        <x:v>Monthly burn share</x:v>
      </x:c>
      <x:c r="H19" s="31" t="n">
        <x:v>0.12115384615384617</x:v>
      </x:c>
      <x:c r="I19" s="28" t="str"/>
      <x:c r="J19" s="28" t="str">
        <x:v>decimal ratio</x:v>
      </x:c>
      <x:c r="K19" s="28" t="str">
        <x:v>FY27 planning assumptions - v4 branch draft.xlsx</x:v>
      </x:c>
      <x:c r="L19" s="34" t="str">
        <x:v>2026-06-24</x:v>
      </x:c>
      <x:c r="M19" s="28" t="str"/>
    </x:row>
    <x:row r="20">
      <x:c r="A20" s="37" t="str">
        <x:v>PLN-00870</x:v>
      </x:c>
      <x:c r="B20" s="28" t="str">
        <x:v>FY27 backlog delivery plan</x:v>
      </x:c>
      <x:c r="C20" s="28" t="str">
        <x:v>Execution authority</x:v>
      </x:c>
      <x:c r="D20" s="28" t="str">
        <x:v>P-3107</x:v>
      </x:c>
      <x:c r="E20" s="28" t="str">
        <x:v>FY27</x:v>
      </x:c>
      <x:c r="F20" s="28" t="str">
        <x:v>Management stretch</x:v>
      </x:c>
      <x:c r="G20" s="28" t="str">
        <x:v>Customer delivery priority</x:v>
      </x:c>
      <x:c r="H20" s="31" t="n">
        <x:v>4.12</x:v>
      </x:c>
      <x:c r="I20" s="28" t="str"/>
      <x:c r="J20" s="28" t="str">
        <x:v>priority rank</x:v>
      </x:c>
      <x:c r="K20" s="28" t="str">
        <x:v>FY27 planning assumptions - v4 branch draft.xlsx</x:v>
      </x:c>
      <x:c r="L20" s="34" t="str">
        <x:v>2026-06-24</x:v>
      </x:c>
      <x:c r="M20" s="28" t="str"/>
    </x:row>
    <x:row r="21">
      <x:c r="A21" s="37" t="str">
        <x:v>PLN-00871</x:v>
      </x:c>
      <x:c r="B21" s="28" t="str">
        <x:v>FY27 backlog delivery plan</x:v>
      </x:c>
      <x:c r="C21" s="28" t="str">
        <x:v>Project burn curve</x:v>
      </x:c>
      <x:c r="D21" s="28" t="str">
        <x:v>P-3107</x:v>
      </x:c>
      <x:c r="E21" s="28" t="str">
        <x:v>2026-05 working copy</x:v>
      </x:c>
      <x:c r="F21" s="28" t="str">
        <x:v>Approved case</x:v>
      </x:c>
      <x:c r="G21" s="28" t="str">
        <x:v>Monthly burn share</x:v>
      </x:c>
      <x:c r="H21" s="31" t="n">
        <x:v>0.0787878787878788</x:v>
      </x:c>
      <x:c r="I21" s="28" t="str"/>
      <x:c r="J21" s="28" t="str">
        <x:v>decimal ratio</x:v>
      </x:c>
      <x:c r="K21" s="28" t="str">
        <x:v>FY27 planning assumptions - v4 branch draft.xlsx</x:v>
      </x:c>
      <x:c r="L21" s="34" t="str">
        <x:v>2026-06-24</x:v>
      </x:c>
      <x:c r="M21" s="28" t="str"/>
    </x:row>
    <x:row r="22">
      <x:c r="A22" s="37" t="str">
        <x:v>PLN-00872</x:v>
      </x:c>
      <x:c r="B22" s="28" t="str">
        <x:v>FY27 backlog delivery plan</x:v>
      </x:c>
      <x:c r="C22" s="28" t="str">
        <x:v>Signed contract backlog</x:v>
      </x:c>
      <x:c r="D22" s="28" t="str">
        <x:v>P-3114</x:v>
      </x:c>
      <x:c r="E22" s="28" t="str">
        <x:v>2026-06-30</x:v>
      </x:c>
      <x:c r="F22" s="28" t="str">
        <x:v>Management stretch</x:v>
      </x:c>
      <x:c r="G22" s="28" t="str">
        <x:v>Remaining transaction price</x:v>
      </x:c>
      <x:c r="H22" s="31" t="n">
        <x:v>5880000</x:v>
      </x:c>
      <x:c r="I22" s="28" t="str"/>
      <x:c r="J22" s="28" t="str">
        <x:v>USD</x:v>
      </x:c>
      <x:c r="K22" s="28" t="str">
        <x:v>FY27 planning assumptions - v4 branch draft.xlsx</x:v>
      </x:c>
      <x:c r="L22" s="34" t="str">
        <x:v>2026-06-24</x:v>
      </x:c>
      <x:c r="M22" s="28" t="str"/>
    </x:row>
    <x:row r="23">
      <x:c r="A23" s="37" t="str">
        <x:v>PLN-00873</x:v>
      </x:c>
      <x:c r="B23" s="28" t="str">
        <x:v>FY27 backlog delivery plan</x:v>
      </x:c>
      <x:c r="C23" s="28" t="str">
        <x:v>Project burn curve</x:v>
      </x:c>
      <x:c r="D23" s="28" t="str">
        <x:v>P-3114</x:v>
      </x:c>
      <x:c r="E23" s="28" t="str">
        <x:v>2026-05 working copy</x:v>
      </x:c>
      <x:c r="F23" s="28" t="str">
        <x:v>Approved case</x:v>
      </x:c>
      <x:c r="G23" s="28" t="str">
        <x:v>Monthly burn share</x:v>
      </x:c>
      <x:c r="H23" s="31" t="n">
        <x:v>0.04577777777777778</x:v>
      </x:c>
      <x:c r="I23" s="28" t="str"/>
      <x:c r="J23" s="28" t="str">
        <x:v>decimal ratio</x:v>
      </x:c>
      <x:c r="K23" s="28" t="str">
        <x:v>FY27 planning assumptions - v4 branch draft.xlsx</x:v>
      </x:c>
      <x:c r="L23" s="34" t="str">
        <x:v>2026-06-24</x:v>
      </x:c>
      <x:c r="M23" s="28" t="str"/>
    </x:row>
    <x:row r="24">
      <x:c r="A24" s="37" t="str">
        <x:v>PLN-00874</x:v>
      </x:c>
      <x:c r="B24" s="28" t="str">
        <x:v>FY27 backlog delivery plan</x:v>
      </x:c>
      <x:c r="C24" s="28" t="str">
        <x:v>Project burn curve</x:v>
      </x:c>
      <x:c r="D24" s="28" t="str">
        <x:v>P-3114</x:v>
      </x:c>
      <x:c r="E24" s="28" t="str">
        <x:v>2027-06</x:v>
      </x:c>
      <x:c r="F24" s="28" t="str">
        <x:v>Management stretch</x:v>
      </x:c>
      <x:c r="G24" s="28" t="str">
        <x:v>Monthly burn share</x:v>
      </x:c>
      <x:c r="H24" s="31" t="n">
        <x:v>0.20800000000000002</x:v>
      </x:c>
      <x:c r="I24" s="28" t="str"/>
      <x:c r="J24" s="28" t="str">
        <x:v>decimal ratio</x:v>
      </x:c>
      <x:c r="K24" s="28" t="str">
        <x:v>FY27 planning assumptions - v4 branch draft.xlsx</x:v>
      </x:c>
      <x:c r="L24" s="34" t="str">
        <x:v>2026-06-24</x:v>
      </x:c>
      <x:c r="M24" s="28" t="str"/>
    </x:row>
    <x:row r="25">
      <x:c r="A25" s="37" t="str">
        <x:v>PLN-00875</x:v>
      </x:c>
      <x:c r="B25" s="28" t="str">
        <x:v>FY27 backlog delivery plan</x:v>
      </x:c>
      <x:c r="C25" s="28" t="str">
        <x:v>Project burn curve</x:v>
      </x:c>
      <x:c r="D25" s="28" t="str">
        <x:v>P-3122</x:v>
      </x:c>
      <x:c r="E25" s="28" t="str">
        <x:v>2026-05 working copy</x:v>
      </x:c>
      <x:c r="F25" s="28" t="str">
        <x:v>Approved case</x:v>
      </x:c>
      <x:c r="G25" s="28" t="str">
        <x:v>Monthly burn share</x:v>
      </x:c>
      <x:c r="H25" s="31" t="n">
        <x:v>0.0375</x:v>
      </x:c>
      <x:c r="I25" s="28" t="str"/>
      <x:c r="J25" s="28" t="str">
        <x:v>decimal ratio</x:v>
      </x:c>
      <x:c r="K25" s="28" t="str">
        <x:v>FY27 planning assumptions - v4 branch draft.xlsx</x:v>
      </x:c>
      <x:c r="L25" s="34" t="str">
        <x:v>2026-06-24</x:v>
      </x:c>
      <x:c r="M25" s="28" t="str"/>
    </x:row>
    <x:row r="26">
      <x:c r="A26" s="37" t="str">
        <x:v>PLN-00876</x:v>
      </x:c>
      <x:c r="B26" s="28" t="str">
        <x:v>FY27 backlog delivery plan</x:v>
      </x:c>
      <x:c r="C26" s="28" t="str">
        <x:v>Signed contract backlog</x:v>
      </x:c>
      <x:c r="D26" s="28" t="str">
        <x:v>P-3130</x:v>
      </x:c>
      <x:c r="E26" s="28" t="str">
        <x:v>2026-06-30</x:v>
      </x:c>
      <x:c r="F26" s="28" t="str">
        <x:v>Management stretch</x:v>
      </x:c>
      <x:c r="G26" s="28" t="str">
        <x:v>Remaining transaction price</x:v>
      </x:c>
      <x:c r="H26" s="31" t="n">
        <x:v>7416000</x:v>
      </x:c>
      <x:c r="I26" s="28" t="str"/>
      <x:c r="J26" s="28" t="str">
        <x:v>USD</x:v>
      </x:c>
      <x:c r="K26" s="28" t="str">
        <x:v>FY27 planning assumptions - v4 branch draft.xlsx</x:v>
      </x:c>
      <x:c r="L26" s="34" t="str">
        <x:v>2026-06-24</x:v>
      </x:c>
      <x:c r="M26" s="28" t="str"/>
    </x:row>
    <x:row r="27">
      <x:c r="A27" s="37" t="str">
        <x:v>PLN-00877</x:v>
      </x:c>
      <x:c r="B27" s="28" t="str">
        <x:v>FY27 backlog delivery plan</x:v>
      </x:c>
      <x:c r="C27" s="28" t="str">
        <x:v>Project burn curve</x:v>
      </x:c>
      <x:c r="D27" s="28" t="str">
        <x:v>P-3130</x:v>
      </x:c>
      <x:c r="E27" s="28" t="str">
        <x:v>2026-05 working copy</x:v>
      </x:c>
      <x:c r="F27" s="28" t="str">
        <x:v>Approved case</x:v>
      </x:c>
      <x:c r="G27" s="28" t="str">
        <x:v>Monthly burn share</x:v>
      </x:c>
      <x:c r="H27" s="31" t="n">
        <x:v>0.09904761904761905</x:v>
      </x:c>
      <x:c r="I27" s="28" t="str"/>
      <x:c r="J27" s="28" t="str">
        <x:v>decimal ratio</x:v>
      </x:c>
      <x:c r="K27" s="28" t="str">
        <x:v>FY27 planning assumptions - v4 branch draft.xlsx</x:v>
      </x:c>
      <x:c r="L27" s="34" t="str">
        <x:v>2026-06-24</x:v>
      </x:c>
      <x:c r="M27" s="28" t="str"/>
    </x:row>
    <x:row r="28">
      <x:c r="A28" s="37" t="str">
        <x:v>PLN-00878</x:v>
      </x:c>
      <x:c r="B28" s="28" t="str">
        <x:v>FY27 backlog delivery plan</x:v>
      </x:c>
      <x:c r="C28" s="28" t="str">
        <x:v>Signed contract backlog</x:v>
      </x:c>
      <x:c r="D28" s="28" t="str">
        <x:v>P-3138</x:v>
      </x:c>
      <x:c r="E28" s="28" t="str">
        <x:v>FY27</x:v>
      </x:c>
      <x:c r="F28" s="28" t="str">
        <x:v>Management stretch</x:v>
      </x:c>
      <x:c r="G28" s="28" t="str">
        <x:v>Revenue per productive hour</x:v>
      </x:c>
      <x:c r="H28" s="31" t="n">
        <x:v>131.25</x:v>
      </x:c>
      <x:c r="I28" s="28" t="str"/>
      <x:c r="J28" s="28" t="str">
        <x:v>USD</x:v>
      </x:c>
      <x:c r="K28" s="28" t="str">
        <x:v>FY27 planning assumptions - v4 branch draft.xlsx</x:v>
      </x:c>
      <x:c r="L28" s="34" t="str">
        <x:v>2026-06-24</x:v>
      </x:c>
      <x:c r="M28" s="28" t="str"/>
    </x:row>
    <x:row r="29">
      <x:c r="A29" s="37" t="str">
        <x:v>PLN-00879</x:v>
      </x:c>
      <x:c r="B29" s="28" t="str">
        <x:v>FY27 backlog delivery plan</x:v>
      </x:c>
      <x:c r="C29" s="28" t="str">
        <x:v>Project burn curve</x:v>
      </x:c>
      <x:c r="D29" s="28" t="str">
        <x:v>P-3138</x:v>
      </x:c>
      <x:c r="E29" s="28" t="str">
        <x:v>2026-05 working copy</x:v>
      </x:c>
      <x:c r="F29" s="28" t="str">
        <x:v>Approved case</x:v>
      </x:c>
      <x:c r="G29" s="28" t="str">
        <x:v>Monthly burn share</x:v>
      </x:c>
      <x:c r="H29" s="31" t="n">
        <x:v>0.27466666666666667</x:v>
      </x:c>
      <x:c r="I29" s="28" t="str"/>
      <x:c r="J29" s="28" t="str">
        <x:v>decimal ratio</x:v>
      </x:c>
      <x:c r="K29" s="28" t="str">
        <x:v>FY27 planning assumptions - v4 branch draft.xlsx</x:v>
      </x:c>
      <x:c r="L29" s="34" t="str">
        <x:v>2026-06-24</x:v>
      </x:c>
      <x:c r="M29" s="28" t="str"/>
    </x:row>
    <x:row r="30">
      <x:c r="A30" s="37" t="str">
        <x:v>PLN-00880</x:v>
      </x:c>
      <x:c r="B30" s="28" t="str">
        <x:v>FY27 backlog delivery plan</x:v>
      </x:c>
      <x:c r="C30" s="28" t="str">
        <x:v>Execution authority</x:v>
      </x:c>
      <x:c r="D30" s="28" t="str">
        <x:v>P-3145</x:v>
      </x:c>
      <x:c r="E30" s="28" t="str">
        <x:v>FY27</x:v>
      </x:c>
      <x:c r="F30" s="28" t="str">
        <x:v>Management stretch</x:v>
      </x:c>
      <x:c r="G30" s="28" t="str">
        <x:v>Monthly liquidated damages rate</x:v>
      </x:c>
      <x:c r="H30" s="31" t="n">
        <x:v>0.01144</x:v>
      </x:c>
      <x:c r="I30" s="28" t="str"/>
      <x:c r="J30" s="28" t="str">
        <x:v>decimal ratio</x:v>
      </x:c>
      <x:c r="K30" s="28" t="str">
        <x:v>FY27 planning assumptions - v4 branch draft.xlsx</x:v>
      </x:c>
      <x:c r="L30" s="34" t="str">
        <x:v>2026-06-24</x:v>
      </x:c>
      <x:c r="M30" s="28" t="str"/>
    </x:row>
    <x:row r="31">
      <x:c r="A31" s="37" t="str">
        <x:v>PLN-00881</x:v>
      </x:c>
      <x:c r="B31" s="28" t="str">
        <x:v>FY27 backlog delivery plan</x:v>
      </x:c>
      <x:c r="C31" s="28" t="str">
        <x:v>Signed contract backlog</x:v>
      </x:c>
      <x:c r="D31" s="28" t="str">
        <x:v>P-3152</x:v>
      </x:c>
      <x:c r="E31" s="28" t="str">
        <x:v>2026-05 working copy</x:v>
      </x:c>
      <x:c r="F31" s="28" t="str">
        <x:v>Approved case</x:v>
      </x:c>
      <x:c r="G31" s="28" t="str">
        <x:v>Revenue per productive hour</x:v>
      </x:c>
      <x:c r="H31" s="31" t="n">
        <x:v>136.5</x:v>
      </x:c>
      <x:c r="I31" s="28" t="str"/>
      <x:c r="J31" s="28" t="str">
        <x:v>USD</x:v>
      </x:c>
      <x:c r="K31" s="28" t="str">
        <x:v>FY27 planning assumptions - v4 branch draft.xlsx</x:v>
      </x:c>
      <x:c r="L31" s="34" t="str">
        <x:v>2026-06-24</x:v>
      </x:c>
      <x:c r="M31" s="28" t="str"/>
    </x:row>
    <x:row r="32">
      <x:c r="A32" s="37" t="str">
        <x:v>PLN-00882</x:v>
      </x:c>
      <x:c r="B32" s="28" t="str">
        <x:v>FY27 backlog delivery plan</x:v>
      </x:c>
      <x:c r="C32" s="28" t="str">
        <x:v>Monthly capacity</x:v>
      </x:c>
      <x:c r="D32" s="28" t="str">
        <x:v>All field labor</x:v>
      </x:c>
      <x:c r="E32" s="28" t="str">
        <x:v>2026-07</x:v>
      </x:c>
      <x:c r="F32" s="28" t="str">
        <x:v>Management stretch</x:v>
      </x:c>
      <x:c r="G32" s="28" t="str">
        <x:v>Productive internal hours</x:v>
      </x:c>
      <x:c r="H32" s="31" t="n">
        <x:v>32445</x:v>
      </x:c>
      <x:c r="I32" s="28" t="str"/>
      <x:c r="J32" s="28" t="str">
        <x:v>hours</x:v>
      </x:c>
      <x:c r="K32" s="28" t="str">
        <x:v>FY27 planning assumptions - v4 branch draft.xlsx</x:v>
      </x:c>
      <x:c r="L32" s="34" t="str">
        <x:v>2026-06-24</x:v>
      </x:c>
      <x:c r="M32" s="28" t="str"/>
    </x:row>
    <x:row r="33">
      <x:c r="A33" s="37" t="str">
        <x:v>PLN-01110</x:v>
      </x:c>
      <x:c r="B33" s="28" t="str">
        <x:v>Backlog, pipeline, and capacity conversion</x:v>
      </x:c>
      <x:c r="C33" s="28" t="str">
        <x:v>Signed backlog conversion</x:v>
      </x:c>
      <x:c r="D33" s="28" t="str">
        <x:v>Cedar Medical</x:v>
      </x:c>
      <x:c r="E33" s="28" t="str">
        <x:v>2026-05 working copy</x:v>
      </x:c>
      <x:c r="F33" s="28" t="str">
        <x:v>Approved case</x:v>
      </x:c>
      <x:c r="G33" s="28" t="str">
        <x:v>Signed backlog</x:v>
      </x:c>
      <x:c r="H33" s="31" t="n">
        <x:v>8652000</x:v>
      </x:c>
      <x:c r="I33" s="28" t="str"/>
      <x:c r="J33" s="28" t="str">
        <x:v>USD</x:v>
      </x:c>
      <x:c r="K33" s="28" t="str">
        <x:v>Earlier management working export</x:v>
      </x:c>
      <x:c r="L33" s="34" t="str">
        <x:v>2026-06-24</x:v>
      </x:c>
      <x:c r="M33" s="28" t="str"/>
    </x:row>
    <x:row r="34">
      <x:c r="A34" s="37" t="str">
        <x:v>PLN-01111</x:v>
      </x:c>
      <x:c r="B34" s="28" t="str">
        <x:v>Backlog, pipeline, and capacity conversion</x:v>
      </x:c>
      <x:c r="C34" s="28" t="str">
        <x:v>Signed backlog conversion</x:v>
      </x:c>
      <x:c r="D34" s="28" t="str">
        <x:v>Portland Schools</x:v>
      </x:c>
      <x:c r="E34" s="28" t="str">
        <x:v>2026-06-30</x:v>
      </x:c>
      <x:c r="F34" s="28" t="str">
        <x:v>Management stretch</x:v>
      </x:c>
      <x:c r="G34" s="28" t="str">
        <x:v>H2 burn percent</x:v>
      </x:c>
      <x:c r="H34" s="31" t="n">
        <x:v>0.5720000000000001</x:v>
      </x:c>
      <x:c r="I34" s="28" t="str"/>
      <x:c r="J34" s="28" t="str">
        <x:v>decimal ratio</x:v>
      </x:c>
      <x:c r="K34" s="28" t="str">
        <x:v>Earlier management working export</x:v>
      </x:c>
      <x:c r="L34" s="34" t="str">
        <x:v>2026-06-24</x:v>
      </x:c>
      <x:c r="M34" s="28" t="str"/>
    </x:row>
    <x:row r="35">
      <x:c r="A35" s="37" t="str">
        <x:v>PLN-01112</x:v>
      </x:c>
      <x:c r="B35" s="28" t="str">
        <x:v>Backlog, pipeline, and capacity conversion</x:v>
      </x:c>
      <x:c r="C35" s="28" t="str">
        <x:v>Signed backlog conversion</x:v>
      </x:c>
      <x:c r="D35" s="28" t="str">
        <x:v>Helix Data Center</x:v>
      </x:c>
      <x:c r="E35" s="28" t="str">
        <x:v>2026-05 working copy</x:v>
      </x:c>
      <x:c r="F35" s="28" t="str">
        <x:v>Approved case</x:v>
      </x:c>
      <x:c r="G35" s="28" t="str">
        <x:v>Gross margin</x:v>
      </x:c>
      <x:c r="H35" s="31" t="n">
        <x:v>0.28455</x:v>
      </x:c>
      <x:c r="I35" s="28" t="str"/>
      <x:c r="J35" s="28" t="str">
        <x:v>decimal ratio</x:v>
      </x:c>
      <x:c r="K35" s="28" t="str">
        <x:v>Earlier management working export</x:v>
      </x:c>
      <x:c r="L35" s="34" t="str">
        <x:v>2026-06-24</x:v>
      </x:c>
      <x:c r="M35" s="28" t="str"/>
    </x:row>
    <x:row r="36">
      <x:c r="A36" s="37" t="str">
        <x:v>PLN-01113</x:v>
      </x:c>
      <x:c r="B36" s="28" t="str">
        <x:v>Backlog, pipeline, and capacity conversion</x:v>
      </x:c>
      <x:c r="C36" s="28" t="str">
        <x:v>Signed backlog conversion</x:v>
      </x:c>
      <x:c r="D36" s="28" t="str">
        <x:v>Cascade Retail</x:v>
      </x:c>
      <x:c r="E36" s="28" t="str">
        <x:v>2026-06-30</x:v>
      </x:c>
      <x:c r="F36" s="28" t="str">
        <x:v>Management stretch</x:v>
      </x:c>
      <x:c r="G36" s="28" t="str">
        <x:v>Cancellation probability</x:v>
      </x:c>
      <x:c r="H36" s="31" t="n">
        <x:v>0.1854</x:v>
      </x:c>
      <x:c r="I36" s="28" t="str"/>
      <x:c r="J36" s="28" t="str">
        <x:v>decimal ratio</x:v>
      </x:c>
      <x:c r="K36" s="28" t="str">
        <x:v>Earlier management working export</x:v>
      </x:c>
      <x:c r="L36" s="34" t="str">
        <x:v>2026-06-24</x:v>
      </x:c>
      <x:c r="M36" s="28" t="str"/>
    </x:row>
    <x:row r="37">
      <x:c r="A37" s="37" t="str">
        <x:v>PLN-01114</x:v>
      </x:c>
      <x:c r="B37" s="28" t="str">
        <x:v>Backlog, pipeline, and capacity conversion</x:v>
      </x:c>
      <x:c r="C37" s="28" t="str">
        <x:v>Qualified award pipeline</x:v>
      </x:c>
      <x:c r="D37" s="28" t="str">
        <x:v>Riverfront Hospital</x:v>
      </x:c>
      <x:c r="E37" s="28" t="str">
        <x:v>2026-05 working copy</x:v>
      </x:c>
      <x:c r="F37" s="28" t="str">
        <x:v>Approved case</x:v>
      </x:c>
      <x:c r="G37" s="28" t="str">
        <x:v>Gross margin</x:v>
      </x:c>
      <x:c r="H37" s="31" t="n">
        <x:v>0.26208000000000004</x:v>
      </x:c>
      <x:c r="I37" s="28" t="str"/>
      <x:c r="J37" s="28" t="str">
        <x:v>decimal ratio</x:v>
      </x:c>
      <x:c r="K37" s="28" t="str">
        <x:v>Earlier management working export</x:v>
      </x:c>
      <x:c r="L37" s="34" t="str">
        <x:v>2026-06-24</x:v>
      </x:c>
      <x:c r="M37" s="28" t="str"/>
    </x:row>
    <x:row r="38">
      <x:c r="A38" s="37" t="str">
        <x:v>PLN-01115</x:v>
      </x:c>
      <x:c r="B38" s="28" t="str">
        <x:v>Backlog, pipeline, and capacity conversion</x:v>
      </x:c>
      <x:c r="C38" s="28" t="str">
        <x:v>Qualified award pipeline</x:v>
      </x:c>
      <x:c r="D38" s="28" t="str">
        <x:v>State Archive</x:v>
      </x:c>
      <x:c r="E38" s="28" t="str">
        <x:v>FY27</x:v>
      </x:c>
      <x:c r="F38" s="28" t="str">
        <x:v>Management stretch</x:v>
      </x:c>
      <x:c r="G38" s="28" t="str">
        <x:v>FY27 conversion percent</x:v>
      </x:c>
      <x:c r="H38" s="31" t="n">
        <x:v>0.47250000000000003</x:v>
      </x:c>
      <x:c r="I38" s="28" t="str"/>
      <x:c r="J38" s="28" t="str">
        <x:v>decimal ratio</x:v>
      </x:c>
      <x:c r="K38" s="28" t="str">
        <x:v>Earlier management working export</x:v>
      </x:c>
      <x:c r="L38" s="34" t="str">
        <x:v>2026-06-24</x:v>
      </x:c>
      <x:c r="M38" s="28" t="str"/>
    </x:row>
    <x:row r="39">
      <x:c r="A39" s="37" t="str">
        <x:v>PLN-01116</x:v>
      </x:c>
      <x:c r="B39" s="28" t="str">
        <x:v>Backlog, pipeline, and capacity conversion</x:v>
      </x:c>
      <x:c r="C39" s="28" t="str">
        <x:v>Backlog coverage policy</x:v>
      </x:c>
      <x:c r="D39" s="28" t="str">
        <x:v>Construction</x:v>
      </x:c>
      <x:c r="E39" s="28" t="str">
        <x:v>2026-05 working copy</x:v>
      </x:c>
      <x:c r="F39" s="28" t="str">
        <x:v>Approved case</x:v>
      </x:c>
      <x:c r="G39" s="28" t="str">
        <x:v>FY27 construction revenue plan</x:v>
      </x:c>
      <x:c r="H39" s="31" t="n">
        <x:v>32033000</x:v>
      </x:c>
      <x:c r="I39" s="28" t="str"/>
      <x:c r="J39" s="28" t="str">
        <x:v>USD</x:v>
      </x:c>
      <x:c r="K39" s="28" t="str">
        <x:v>Earlier management working export</x:v>
      </x:c>
      <x:c r="L39" s="34" t="str">
        <x:v>2026-06-24</x:v>
      </x:c>
      <x:c r="M39" s="28" t="str"/>
    </x:row>
    <x:row r="40">
      <x:c r="A40" s="37" t="str">
        <x:v>PLN-01117</x:v>
      </x:c>
      <x:c r="B40" s="28" t="str">
        <x:v>Backlog, pipeline, and capacity conversion</x:v>
      </x:c>
      <x:c r="C40" s="28" t="str">
        <x:v>Signed backlog conversion</x:v>
      </x:c>
      <x:c r="D40" s="28" t="str">
        <x:v>Portland Schools</x:v>
      </x:c>
      <x:c r="E40" s="28" t="str">
        <x:v>2026-06-30</x:v>
      </x:c>
      <x:c r="F40" s="28" t="str">
        <x:v>Management stretch</x:v>
      </x:c>
      <x:c r="G40" s="28" t="str">
        <x:v>Signed backlog</x:v>
      </x:c>
      <x:c r="H40" s="31" t="n">
        <x:v>7020</x:v>
      </x:c>
      <x:c r="I40" s="28" t="str"/>
      <x:c r="J40" s="28" t="str">
        <x:v>USD thousands</x:v>
      </x:c>
      <x:c r="K40" s="28" t="str">
        <x:v>Earlier management working export</x:v>
      </x:c>
      <x:c r="L40" s="34" t="str">
        <x:v>2026-06-24</x:v>
      </x:c>
      <x:c r="M40" s="28" t="str"/>
    </x:row>
    <x:row r="41">
      <x:c r="A41" s="37" t="str">
        <x:v>PLN-01118</x:v>
      </x:c>
      <x:c r="B41" s="28" t="str">
        <x:v>Backlog, pipeline, and capacity conversion</x:v>
      </x:c>
      <x:c r="C41" s="28" t="str">
        <x:v>Signed backlog conversion</x:v>
      </x:c>
      <x:c r="D41" s="28" t="str">
        <x:v>Helix Data Center</x:v>
      </x:c>
      <x:c r="E41" s="28" t="str">
        <x:v>2026-05 working copy</x:v>
      </x:c>
      <x:c r="F41" s="28" t="str">
        <x:v>Approved case</x:v>
      </x:c>
      <x:c r="G41" s="28" t="str">
        <x:v>H2 burn percent</x:v>
      </x:c>
      <x:c r="H41" s="31" t="n">
        <x:v>0.315</x:v>
      </x:c>
      <x:c r="I41" s="28" t="str"/>
      <x:c r="J41" s="28" t="str">
        <x:v>decimal ratio</x:v>
      </x:c>
      <x:c r="K41" s="28" t="str">
        <x:v>Earlier management working export</x:v>
      </x:c>
      <x:c r="L41" s="34" t="str">
        <x:v>2026-06-24</x:v>
      </x:c>
      <x:c r="M41" s="28" t="str"/>
    </x:row>
    <x:row r="42">
      <x:c r="A42" s="37" t="str">
        <x:v>PLN-01119</x:v>
      </x:c>
      <x:c r="B42" s="28" t="str">
        <x:v>Backlog, pipeline, and capacity conversion</x:v>
      </x:c>
      <x:c r="C42" s="28" t="str">
        <x:v>Signed backlog conversion</x:v>
      </x:c>
      <x:c r="D42" s="28" t="str">
        <x:v>Juniper Offices</x:v>
      </x:c>
      <x:c r="E42" s="28" t="str">
        <x:v>2026-06-30</x:v>
      </x:c>
      <x:c r="F42" s="28" t="str">
        <x:v>Management stretch</x:v>
      </x:c>
      <x:c r="G42" s="28" t="str">
        <x:v>Gross margin</x:v>
      </x:c>
      <x:c r="H42" s="31" t="n">
        <x:v>0.24308</x:v>
      </x:c>
      <x:c r="I42" s="28" t="str"/>
      <x:c r="J42" s="28" t="str">
        <x:v>decimal ratio</x:v>
      </x:c>
      <x:c r="K42" s="28" t="str">
        <x:v>Earlier management working export</x:v>
      </x:c>
      <x:c r="L42" s="34" t="str">
        <x:v>2026-06-24</x:v>
      </x:c>
      <x:c r="M42" s="28" t="str"/>
    </x:row>
    <x:row r="43">
      <x:c r="A43" s="37" t="str">
        <x:v>PLN-01120</x:v>
      </x:c>
      <x:c r="B43" s="28" t="str">
        <x:v>Backlog, pipeline, and capacity conversion</x:v>
      </x:c>
      <x:c r="C43" s="28" t="str">
        <x:v>Qualified award pipeline</x:v>
      </x:c>
      <x:c r="D43" s="28" t="str">
        <x:v>Riverfront Hospital</x:v>
      </x:c>
      <x:c r="E43" s="28" t="str">
        <x:v>2026-05 working copy</x:v>
      </x:c>
      <x:c r="F43" s="28" t="str">
        <x:v>Approved case</x:v>
      </x:c>
      <x:c r="G43" s="28" t="str">
        <x:v>Award probability</x:v>
      </x:c>
      <x:c r="H43" s="31" t="n">
        <x:v>0.728</x:v>
      </x:c>
      <x:c r="I43" s="28" t="str"/>
      <x:c r="J43" s="28" t="str">
        <x:v>decimal ratio</x:v>
      </x:c>
      <x:c r="K43" s="28" t="str">
        <x:v>Earlier management working export</x:v>
      </x:c>
      <x:c r="L43" s="34" t="str">
        <x:v>2026-06-24</x:v>
      </x:c>
      <x:c r="M43" s="28" t="str"/>
    </x:row>
    <x:row r="44">
      <x:c r="A44" s="37" t="str">
        <x:v>PLN-01121</x:v>
      </x:c>
      <x:c r="B44" s="28" t="str">
        <x:v>Backlog, pipeline, and capacity conversion</x:v>
      </x:c>
      <x:c r="C44" s="28" t="str">
        <x:v>Qualified award pipeline</x:v>
      </x:c>
      <x:c r="D44" s="28" t="str">
        <x:v>State Archive</x:v>
      </x:c>
      <x:c r="E44" s="28" t="str">
        <x:v>FY27</x:v>
      </x:c>
      <x:c r="F44" s="28" t="str">
        <x:v>Management stretch</x:v>
      </x:c>
      <x:c r="G44" s="28" t="str">
        <x:v>Potential award</x:v>
      </x:c>
      <x:c r="H44" s="31" t="n">
        <x:v>6510</x:v>
      </x:c>
      <x:c r="I44" s="28" t="str"/>
      <x:c r="J44" s="28" t="str">
        <x:v>USD thousands</x:v>
      </x:c>
      <x:c r="K44" s="28" t="str">
        <x:v>Earlier management working export</x:v>
      </x:c>
      <x:c r="L44" s="34" t="str">
        <x:v>2026-06-24</x:v>
      </x:c>
      <x:c r="M44" s="28" t="str"/>
    </x:row>
    <x:row r="45">
      <x:c r="A45" s="37" t="str">
        <x:v>PLN-01122</x:v>
      </x:c>
      <x:c r="B45" s="28" t="str">
        <x:v>Backlog, pipeline, and capacity conversion</x:v>
      </x:c>
      <x:c r="C45" s="28" t="str">
        <x:v>Qualified award pipeline</x:v>
      </x:c>
      <x:c r="D45" s="28" t="str">
        <x:v>Summit Hotel</x:v>
      </x:c>
      <x:c r="E45" s="28" t="str">
        <x:v>2026-05 working copy</x:v>
      </x:c>
      <x:c r="F45" s="28" t="str">
        <x:v>Approved case</x:v>
      </x:c>
      <x:c r="G45" s="28" t="str">
        <x:v>Gross margin</x:v>
      </x:c>
      <x:c r="H45" s="31" t="n">
        <x:v>0.27192</x:v>
      </x:c>
      <x:c r="I45" s="28" t="str"/>
      <x:c r="J45" s="28" t="str">
        <x:v>decimal ratio</x:v>
      </x:c>
      <x:c r="K45" s="28" t="str">
        <x:v>Earlier management working export</x:v>
      </x:c>
      <x:c r="L45" s="34" t="str">
        <x:v>2026-06-24</x:v>
      </x:c>
      <x:c r="M45" s="28" t="str"/>
    </x:row>
    <x:row r="46">
      <x:c r="A46" s="37" t="str">
        <x:v>PLN-01123</x:v>
      </x:c>
      <x:c r="B46" s="28" t="str">
        <x:v>Backlog, pipeline, and capacity conversion</x:v>
      </x:c>
      <x:c r="C46" s="28" t="str">
        <x:v>Signed backlog conversion</x:v>
      </x:c>
      <x:c r="D46" s="28" t="str">
        <x:v>Cedar Medical</x:v>
      </x:c>
      <x:c r="E46" s="28" t="str">
        <x:v>2026-06-30</x:v>
      </x:c>
      <x:c r="F46" s="28" t="str">
        <x:v>Management stretch</x:v>
      </x:c>
      <x:c r="G46" s="28" t="str">
        <x:v>FY27 burn percent</x:v>
      </x:c>
      <x:c r="H46" s="31" t="n">
        <x:v>0.468</x:v>
      </x:c>
      <x:c r="I46" s="28" t="str"/>
      <x:c r="J46" s="28" t="str">
        <x:v>decimal ratio</x:v>
      </x:c>
      <x:c r="K46" s="28" t="str">
        <x:v>Earlier management working export</x:v>
      </x:c>
      <x:c r="L46" s="34" t="str">
        <x:v>2026-06-24</x:v>
      </x:c>
      <x:c r="M46" s="28" t="str"/>
    </x:row>
    <x:row r="47">
      <x:c r="A47" s="37" t="str">
        <x:v>PLN-01173</x:v>
      </x:c>
      <x:c r="B47" s="28" t="str">
        <x:v>Backlog, pipeline, and capacity conversion</x:v>
      </x:c>
      <x:c r="C47" s="28" t="str">
        <x:v>FY27 delivery portfolio candidates</x:v>
      </x:c>
      <x:c r="D47" s="28" t="str">
        <x:v>Cedar Medical</x:v>
      </x:c>
      <x:c r="E47" s="28" t="str">
        <x:v>2026-05 working copy</x:v>
      </x:c>
      <x:c r="F47" s="28" t="str">
        <x:v>Approved case</x:v>
      </x:c>
      <x:c r="G47" s="28" t="str">
        <x:v>Risk-adjusted revenue</x:v>
      </x:c>
      <x:c r="H47" s="31" t="n">
        <x:v>3450500</x:v>
      </x:c>
      <x:c r="I47" s="28" t="str"/>
      <x:c r="J47" s="28" t="str">
        <x:v>USD</x:v>
      </x:c>
      <x:c r="K47" s="28" t="str">
        <x:v>Earlier management working export</x:v>
      </x:c>
      <x:c r="L47" s="34" t="str">
        <x:v>2026-06-24</x:v>
      </x:c>
      <x:c r="M47" s="28" t="str"/>
    </x:row>
    <x:row r="48">
      <x:c r="A48" s="37" t="str">
        <x:v>PLN-01174</x:v>
      </x:c>
      <x:c r="B48" s="28" t="str">
        <x:v>Backlog, pipeline, and capacity conversion</x:v>
      </x:c>
      <x:c r="C48" s="28" t="str">
        <x:v>FY27 delivery portfolio candidates</x:v>
      </x:c>
      <x:c r="D48" s="28" t="str">
        <x:v>Portland Schools</x:v>
      </x:c>
      <x:c r="E48" s="28" t="str">
        <x:v>FY27</x:v>
      </x:c>
      <x:c r="F48" s="28" t="str">
        <x:v>Management stretch</x:v>
      </x:c>
      <x:c r="G48" s="28" t="str">
        <x:v>Required labor hours</x:v>
      </x:c>
      <x:c r="H48" s="31" t="n">
        <x:v>16224</x:v>
      </x:c>
      <x:c r="I48" s="28" t="str"/>
      <x:c r="J48" s="28" t="str">
        <x:v>hours</x:v>
      </x:c>
      <x:c r="K48" s="28" t="str">
        <x:v>Earlier management working export</x:v>
      </x:c>
      <x:c r="L48" s="34" t="str">
        <x:v>2026-06-24</x:v>
      </x:c>
      <x:c r="M48" s="28" t="str"/>
    </x:row>
    <x:row r="49">
      <x:c r="A49" s="37" t="str">
        <x:v>PLN-01175</x:v>
      </x:c>
      <x:c r="B49" s="28" t="str">
        <x:v>Backlog, pipeline, and capacity conversion</x:v>
      </x:c>
      <x:c r="C49" s="28" t="str">
        <x:v>FY27 delivery portfolio candidates</x:v>
      </x:c>
      <x:c r="D49" s="28" t="str">
        <x:v>Helix Data Center</x:v>
      </x:c>
      <x:c r="E49" s="28" t="str">
        <x:v>2026-05 working copy</x:v>
      </x:c>
      <x:c r="F49" s="28" t="str">
        <x:v>Approved case</x:v>
      </x:c>
      <x:c r="G49" s="28" t="str">
        <x:v>Mandatory signed award</x:v>
      </x:c>
      <x:c r="H49" s="31" t="n">
        <x:v>1.05</x:v>
      </x:c>
      <x:c r="I49" s="28" t="str"/>
      <x:c r="J49" s="28" t="str">
        <x:v>boolean</x:v>
      </x:c>
      <x:c r="K49" s="28" t="str">
        <x:v>Earlier management working export</x:v>
      </x:c>
      <x:c r="L49" s="34" t="str">
        <x:v>2026-06-24</x:v>
      </x:c>
      <x:c r="M49" s="28" t="str"/>
    </x:row>
    <x:row r="50">
      <x:c r="A50" s="37" t="str">
        <x:v>PLN-01176</x:v>
      </x:c>
      <x:c r="B50" s="28" t="str">
        <x:v>Backlog, pipeline, and capacity conversion</x:v>
      </x:c>
      <x:c r="C50" s="28" t="str">
        <x:v>FY27 delivery portfolio candidates</x:v>
      </x:c>
      <x:c r="D50" s="28" t="str">
        <x:v>Cascade Retail</x:v>
      </x:c>
      <x:c r="E50" s="28" t="str">
        <x:v>FY27</x:v>
      </x:c>
      <x:c r="F50" s="28" t="str">
        <x:v>Management stretch</x:v>
      </x:c>
      <x:c r="G50" s="28" t="str">
        <x:v>Gross margin</x:v>
      </x:c>
      <x:c r="H50" s="31" t="n">
        <x:v>0.21115</x:v>
      </x:c>
      <x:c r="I50" s="28" t="str"/>
      <x:c r="J50" s="28" t="str">
        <x:v>decimal ratio</x:v>
      </x:c>
      <x:c r="K50" s="28" t="str">
        <x:v>Earlier management working export</x:v>
      </x:c>
      <x:c r="L50" s="34" t="str">
        <x:v>2026-06-24</x:v>
      </x:c>
      <x:c r="M50" s="28" t="str"/>
    </x:row>
    <x:row r="51">
      <x:c r="A51" s="37" t="str">
        <x:v>PLN-01177</x:v>
      </x:c>
      <x:c r="B51" s="28" t="str">
        <x:v>Backlog, pipeline, and capacity conversion</x:v>
      </x:c>
      <x:c r="C51" s="28" t="str">
        <x:v>FY27 delivery portfolio candidates</x:v>
      </x:c>
      <x:c r="D51" s="28" t="str">
        <x:v>Riverfront Hospital</x:v>
      </x:c>
      <x:c r="E51" s="28" t="str">
        <x:v>2026-05 working copy</x:v>
      </x:c>
      <x:c r="F51" s="28" t="str">
        <x:v>Approved case</x:v>
      </x:c>
      <x:c r="G51" s="28" t="str">
        <x:v>Bonded revenue</x:v>
      </x:c>
      <x:c r="H51" s="31" t="n">
        <x:v>2271360</x:v>
      </x:c>
      <x:c r="I51" s="28" t="str"/>
      <x:c r="J51" s="28" t="str">
        <x:v>USD</x:v>
      </x:c>
      <x:c r="K51" s="28" t="str">
        <x:v>Earlier management working export</x:v>
      </x:c>
      <x:c r="L51" s="34" t="str">
        <x:v>2026-06-24</x:v>
      </x:c>
      <x:c r="M51" s="28" t="str"/>
    </x:row>
    <x:row r="52">
      <x:c r="A52" s="37" t="str">
        <x:v>PLN-01178</x:v>
      </x:c>
      <x:c r="B52" s="28" t="str">
        <x:v>Backlog, pipeline, and capacity conversion</x:v>
      </x:c>
      <x:c r="C52" s="28" t="str">
        <x:v>FY27 delivery portfolio candidates</x:v>
      </x:c>
      <x:c r="D52" s="28" t="str">
        <x:v>State Archive</x:v>
      </x:c>
      <x:c r="E52" s="28" t="str">
        <x:v>FY27</x:v>
      </x:c>
      <x:c r="F52" s="28" t="str">
        <x:v>Management stretch</x:v>
      </x:c>
      <x:c r="G52" s="28" t="str">
        <x:v>Risk-adjusted revenue</x:v>
      </x:c>
      <x:c r="H52" s="31" t="n">
        <x:v>732375</x:v>
      </x:c>
      <x:c r="I52" s="28" t="str"/>
      <x:c r="J52" s="28" t="str">
        <x:v>USD</x:v>
      </x:c>
      <x:c r="K52" s="28" t="str">
        <x:v>Earlier management working export</x:v>
      </x:c>
      <x:c r="L52" s="34" t="str">
        <x:v>2026-06-24</x:v>
      </x:c>
      <x:c r="M52" s="28" t="str"/>
    </x:row>
    <x:row r="53">
      <x:c r="A53" s="37" t="str">
        <x:v>PLN-01179</x:v>
      </x:c>
      <x:c r="B53" s="28" t="str">
        <x:v>Backlog, pipeline, and capacity conversion</x:v>
      </x:c>
      <x:c r="C53" s="28" t="str">
        <x:v>FY27 delivery portfolio candidates</x:v>
      </x:c>
      <x:c r="D53" s="28" t="str">
        <x:v>Summit Hotel</x:v>
      </x:c>
      <x:c r="E53" s="28" t="str">
        <x:v>2026-05 working copy</x:v>
      </x:c>
      <x:c r="F53" s="28" t="str">
        <x:v>Approved case</x:v>
      </x:c>
      <x:c r="G53" s="28" t="str">
        <x:v>Required labor hours</x:v>
      </x:c>
      <x:c r="H53" s="31" t="n">
        <x:v>8240</x:v>
      </x:c>
      <x:c r="I53" s="28" t="str"/>
      <x:c r="J53" s="28" t="str">
        <x:v>hours</x:v>
      </x:c>
      <x:c r="K53" s="28" t="str">
        <x:v>Earlier management working export</x:v>
      </x:c>
      <x:c r="L53" s="34" t="str">
        <x:v>2026-06-24</x:v>
      </x:c>
      <x:c r="M53" s="28" t="str"/>
    </x:row>
    <x:row r="54">
      <x:c r="A54" s="37" t="str">
        <x:v>PLN-01180</x:v>
      </x:c>
      <x:c r="B54" s="28" t="str">
        <x:v>Backlog, pipeline, and capacity conversion</x:v>
      </x:c>
      <x:c r="C54" s="28" t="str">
        <x:v>FY27 delivery portfolio candidates</x:v>
      </x:c>
      <x:c r="D54" s="28" t="str">
        <x:v>Cedar Medical</x:v>
      </x:c>
      <x:c r="E54" s="28" t="str">
        <x:v>FY27</x:v>
      </x:c>
      <x:c r="F54" s="28" t="str">
        <x:v>Management stretch</x:v>
      </x:c>
      <x:c r="G54" s="28" t="str">
        <x:v>Risk-adjusted revenue</x:v>
      </x:c>
      <x:c r="H54" s="31" t="n">
        <x:v>3484000</x:v>
      </x:c>
      <x:c r="I54" s="28" t="str"/>
      <x:c r="J54" s="28" t="str">
        <x:v>USD</x:v>
      </x:c>
      <x:c r="K54" s="28" t="str">
        <x:v>Earlier management working export</x:v>
      </x:c>
      <x:c r="L54" s="34" t="str">
        <x:v>2026-06-24</x:v>
      </x:c>
      <x:c r="M54" s="28" t="str"/>
    </x:row>
    <x:row r="55">
      <x:c r="A55" s="37" t="str">
        <x:v>PLN-01181</x:v>
      </x:c>
      <x:c r="B55" s="28" t="str">
        <x:v>Backlog, pipeline, and capacity conversion</x:v>
      </x:c>
      <x:c r="C55" s="28" t="str">
        <x:v>FY27 delivery portfolio candidates</x:v>
      </x:c>
      <x:c r="D55" s="28" t="str">
        <x:v>Portland Schools</x:v>
      </x:c>
      <x:c r="E55" s="28" t="str">
        <x:v>2026-05 working copy</x:v>
      </x:c>
      <x:c r="F55" s="28" t="str">
        <x:v>Approved case</x:v>
      </x:c>
      <x:c r="G55" s="28" t="str">
        <x:v>Required labor hours</x:v>
      </x:c>
      <x:c r="H55" s="31" t="n">
        <x:v>16380</x:v>
      </x:c>
      <x:c r="I55" s="28" t="str"/>
      <x:c r="J55" s="28" t="str">
        <x:v>hours</x:v>
      </x:c>
      <x:c r="K55" s="28" t="str">
        <x:v>Earlier management working export</x:v>
      </x:c>
      <x:c r="L55" s="34" t="str">
        <x:v>2026-06-24</x:v>
      </x:c>
      <x:c r="M55" s="28" t="str"/>
    </x:row>
    <x:row r="56">
      <x:c r="A56" s="37" t="str">
        <x:v>PLN-01217</x:v>
      </x:c>
      <x:c r="B56" s="28" t="str">
        <x:v>Customer profitability and economic profit</x:v>
      </x:c>
      <x:c r="C56" s="28" t="str">
        <x:v>Customer profitability detail</x:v>
      </x:c>
      <x:c r="D56" s="28" t="str">
        <x:v>Cedar Medical</x:v>
      </x:c>
      <x:c r="E56" s="28" t="str">
        <x:v>2026-05 working copy</x:v>
      </x:c>
      <x:c r="F56" s="28" t="str">
        <x:v>Approved case</x:v>
      </x:c>
      <x:c r="G56" s="28" t="str">
        <x:v>Revenue</x:v>
      </x:c>
      <x:c r="H56" s="31" t="n">
        <x:v>8085.5</x:v>
      </x:c>
      <x:c r="I56" s="28" t="str"/>
      <x:c r="J56" s="28" t="str">
        <x:v>USD thousands</x:v>
      </x:c>
      <x:c r="K56" s="28" t="str">
        <x:v>Earlier management working export</x:v>
      </x:c>
      <x:c r="L56" s="34" t="str">
        <x:v>2026-06-24</x:v>
      </x:c>
      <x:c r="M56" s="28" t="str"/>
    </x:row>
    <x:row r="57">
      <x:c r="A57" s="37" t="str">
        <x:v>PLN-01218</x:v>
      </x:c>
      <x:c r="B57" s="28" t="str">
        <x:v>Customer profitability and economic profit</x:v>
      </x:c>
      <x:c r="C57" s="28" t="str">
        <x:v>Customer profitability detail</x:v>
      </x:c>
      <x:c r="D57" s="28" t="str">
        <x:v>Helix Data Center</x:v>
      </x:c>
      <x:c r="E57" s="28" t="str">
        <x:v>LTM 2026-06-30</x:v>
      </x:c>
      <x:c r="F57" s="28" t="str">
        <x:v>Management stretch</x:v>
      </x:c>
      <x:c r="G57" s="28" t="str">
        <x:v>Revenue</x:v>
      </x:c>
      <x:c r="H57" s="31" t="n">
        <x:v>9568000</x:v>
      </x:c>
      <x:c r="I57" s="28" t="str"/>
      <x:c r="J57" s="28" t="str">
        <x:v>USD</x:v>
      </x:c>
      <x:c r="K57" s="28" t="str">
        <x:v>Earlier management working export</x:v>
      </x:c>
      <x:c r="L57" s="34" t="str">
        <x:v>2026-06-24</x:v>
      </x:c>
      <x:c r="M57" s="28" t="str"/>
    </x:row>
    <x:row r="58">
      <x:c r="A58" s="37" t="str">
        <x:v>PLN-01219</x:v>
      </x:c>
      <x:c r="B58" s="28" t="str">
        <x:v>Customer profitability and economic profit</x:v>
      </x:c>
      <x:c r="C58" s="28" t="str">
        <x:v>Customer profitability detail</x:v>
      </x:c>
      <x:c r="D58" s="28" t="str">
        <x:v>Juniper Offices</x:v>
      </x:c>
      <x:c r="E58" s="28" t="str">
        <x:v>2026-05 working copy</x:v>
      </x:c>
      <x:c r="F58" s="28" t="str">
        <x:v>Approved case</x:v>
      </x:c>
      <x:c r="G58" s="28" t="str">
        <x:v>Revenue</x:v>
      </x:c>
      <x:c r="H58" s="31" t="n">
        <x:v>5932500</x:v>
      </x:c>
      <x:c r="I58" s="28" t="str"/>
      <x:c r="J58" s="28" t="str">
        <x:v>USD</x:v>
      </x:c>
      <x:c r="K58" s="28" t="str">
        <x:v>Earlier management working export</x:v>
      </x:c>
      <x:c r="L58" s="34" t="str">
        <x:v>2026-06-24</x:v>
      </x:c>
      <x:c r="M58" s="28" t="str"/>
    </x:row>
    <x:row r="59">
      <x:c r="A59" s="37" t="str">
        <x:v>PLN-01220</x:v>
      </x:c>
      <x:c r="B59" s="28" t="str">
        <x:v>Customer profitability and economic profit</x:v>
      </x:c>
      <x:c r="C59" s="28" t="str">
        <x:v>Customer profitability detail</x:v>
      </x:c>
      <x:c r="D59" s="28" t="str">
        <x:v>Portland Schools</x:v>
      </x:c>
      <x:c r="E59" s="28" t="str">
        <x:v>LTM 2026-06-30</x:v>
      </x:c>
      <x:c r="F59" s="28" t="str">
        <x:v>Management stretch</x:v>
      </x:c>
      <x:c r="G59" s="28" t="str">
        <x:v>Revenue</x:v>
      </x:c>
      <x:c r="H59" s="31" t="n">
        <x:v>7107000</x:v>
      </x:c>
      <x:c r="I59" s="28" t="str"/>
      <x:c r="J59" s="28" t="str">
        <x:v>USD</x:v>
      </x:c>
      <x:c r="K59" s="28" t="str">
        <x:v>Earlier management working export</x:v>
      </x:c>
      <x:c r="L59" s="34" t="str">
        <x:v>2026-06-24</x:v>
      </x:c>
      <x:c r="M59" s="28" t="str"/>
    </x:row>
    <x:row r="60">
      <x:c r="A60" s="37" t="str">
        <x:v>PLN-01221</x:v>
      </x:c>
      <x:c r="B60" s="28" t="str">
        <x:v>Customer profitability and economic profit</x:v>
      </x:c>
      <x:c r="C60" s="28" t="str">
        <x:v>Shared cost pools</x:v>
      </x:c>
      <x:c r="D60" s="28" t="str">
        <x:v>Project management</x:v>
      </x:c>
      <x:c r="E60" s="28" t="str">
        <x:v>2026-05 working copy</x:v>
      </x:c>
      <x:c r="F60" s="28" t="str">
        <x:v>Approved case</x:v>
      </x:c>
      <x:c r="G60" s="28" t="str">
        <x:v>Pool cost</x:v>
      </x:c>
      <x:c r="H60" s="31" t="n">
        <x:v>1300</x:v>
      </x:c>
      <x:c r="I60" s="28" t="str"/>
      <x:c r="J60" s="28" t="str">
        <x:v>USD thousands</x:v>
      </x:c>
      <x:c r="K60" s="28" t="str">
        <x:v>Earlier management working export</x:v>
      </x:c>
      <x:c r="L60" s="34" t="str">
        <x:v>2026-06-24</x:v>
      </x:c>
      <x:c r="M60" s="28" t="str"/>
    </x:row>
    <x:row r="61">
      <x:c r="A61" s="37" t="str">
        <x:v>PLN-01222</x:v>
      </x:c>
      <x:c r="B61" s="28" t="str">
        <x:v>Customer profitability and economic profit</x:v>
      </x:c>
      <x:c r="C61" s="28" t="str">
        <x:v>Customer profitability detail</x:v>
      </x:c>
      <x:c r="D61" s="28" t="str">
        <x:v>Cedar Medical</x:v>
      </x:c>
      <x:c r="E61" s="28" t="str">
        <x:v>LTM 2026-06-30</x:v>
      </x:c>
      <x:c r="F61" s="28" t="str">
        <x:v>Management stretch</x:v>
      </x:c>
      <x:c r="G61" s="28" t="str">
        <x:v>Subcontract</x:v>
      </x:c>
      <x:c r="H61" s="31" t="n">
        <x:v>1029000</x:v>
      </x:c>
      <x:c r="I61" s="28" t="str"/>
      <x:c r="J61" s="28" t="str">
        <x:v>USD</x:v>
      </x:c>
      <x:c r="K61" s="28" t="str">
        <x:v>Earlier management working export</x:v>
      </x:c>
      <x:c r="L61" s="34" t="str">
        <x:v>2026-06-24</x:v>
      </x:c>
      <x:c r="M61" s="28" t="str"/>
    </x:row>
    <x:row r="62">
      <x:c r="A62" s="37" t="str">
        <x:v>PLN-01223</x:v>
      </x:c>
      <x:c r="B62" s="28" t="str">
        <x:v>Customer profitability and economic profit</x:v>
      </x:c>
      <x:c r="C62" s="28" t="str">
        <x:v>Customer profitability detail</x:v>
      </x:c>
      <x:c r="D62" s="28" t="str">
        <x:v>Helix Data Center</x:v>
      </x:c>
      <x:c r="E62" s="28" t="str">
        <x:v>2026-05 working copy</x:v>
      </x:c>
      <x:c r="F62" s="28" t="str">
        <x:v>Approved case</x:v>
      </x:c>
      <x:c r="G62" s="28" t="str">
        <x:v>Subcontract</x:v>
      </x:c>
      <x:c r="H62" s="31" t="n">
        <x:v>1359600</x:v>
      </x:c>
      <x:c r="I62" s="28" t="str"/>
      <x:c r="J62" s="28" t="str">
        <x:v>USD</x:v>
      </x:c>
      <x:c r="K62" s="28" t="str">
        <x:v>Earlier management working export</x:v>
      </x:c>
      <x:c r="L62" s="34" t="str">
        <x:v>2026-06-24</x:v>
      </x:c>
      <x:c r="M62" s="28" t="str"/>
    </x:row>
    <x:row r="63">
      <x:c r="A63" s="37" t="str">
        <x:v>PLN-01224</x:v>
      </x:c>
      <x:c r="B63" s="28" t="str">
        <x:v>Customer profitability and economic profit</x:v>
      </x:c>
      <x:c r="C63" s="28" t="str">
        <x:v>Customer profitability detail</x:v>
      </x:c>
      <x:c r="D63" s="28" t="str">
        <x:v>Juniper Offices</x:v>
      </x:c>
      <x:c r="E63" s="28" t="str">
        <x:v>LTM 2026-06-30</x:v>
      </x:c>
      <x:c r="F63" s="28" t="str">
        <x:v>Management stretch</x:v>
      </x:c>
      <x:c r="G63" s="28" t="str">
        <x:v>Subcontract</x:v>
      </x:c>
      <x:c r="H63" s="31" t="n">
        <x:v>644800</x:v>
      </x:c>
      <x:c r="I63" s="28" t="str"/>
      <x:c r="J63" s="28" t="str">
        <x:v>USD</x:v>
      </x:c>
      <x:c r="K63" s="28" t="str">
        <x:v>Earlier management working export</x:v>
      </x:c>
      <x:c r="L63" s="34" t="str">
        <x:v>2026-06-24</x:v>
      </x:c>
      <x:c r="M63" s="28" t="str"/>
    </x:row>
    <x:row r="64">
      <x:c r="A64" s="37" t="str">
        <x:v>PLN-01225</x:v>
      </x:c>
      <x:c r="B64" s="28" t="str">
        <x:v>Customer profitability and economic profit</x:v>
      </x:c>
      <x:c r="C64" s="28" t="str">
        <x:v>Customer profitability detail</x:v>
      </x:c>
      <x:c r="D64" s="28" t="str">
        <x:v>Portland Schools</x:v>
      </x:c>
      <x:c r="E64" s="28" t="str">
        <x:v>2026-05 working copy</x:v>
      </x:c>
      <x:c r="F64" s="28" t="str">
        <x:v>Approved case</x:v>
      </x:c>
      <x:c r="G64" s="28" t="str">
        <x:v>Subcontract</x:v>
      </x:c>
      <x:c r="H64" s="31" t="n">
        <x:v>1102.5</x:v>
      </x:c>
      <x:c r="I64" s="28" t="str"/>
      <x:c r="J64" s="28" t="str">
        <x:v>USD thousands</x:v>
      </x:c>
      <x:c r="K64" s="28" t="str">
        <x:v>Earlier management working export</x:v>
      </x:c>
      <x:c r="L64" s="34" t="str">
        <x:v>2026-06-24</x:v>
      </x:c>
      <x:c r="M64" s="28" t="str"/>
    </x:row>
    <x:row r="65">
      <x:c r="A65" s="37" t="str">
        <x:v>PLN-01226</x:v>
      </x:c>
      <x:c r="B65" s="28" t="str">
        <x:v>Customer profitability and economic profit</x:v>
      </x:c>
      <x:c r="C65" s="28" t="str">
        <x:v>Economic profit policy</x:v>
      </x:c>
      <x:c r="D65" s="28" t="str">
        <x:v>Alder Ridge</x:v>
      </x:c>
      <x:c r="E65" s="28" t="str">
        <x:v>LTM 2026-06-30</x:v>
      </x:c>
      <x:c r="F65" s="28" t="str">
        <x:v>Management stretch</x:v>
      </x:c>
      <x:c r="G65" s="28" t="str">
        <x:v>Capital charge</x:v>
      </x:c>
      <x:c r="H65" s="31" t="n">
        <x:v>0.11845000000000001</x:v>
      </x:c>
      <x:c r="I65" s="28" t="str"/>
      <x:c r="J65" s="28" t="str">
        <x:v>decimal ratio</x:v>
      </x:c>
      <x:c r="K65" s="28" t="str">
        <x:v>Earlier management working export</x:v>
      </x:c>
      <x:c r="L65" s="34" t="str">
        <x:v>2026-06-24</x:v>
      </x:c>
      <x:c r="M65" s="28" t="str"/>
    </x:row>
    <x:row r="66">
      <x:c r="A66" s="37" t="str">
        <x:v>PLN-01227</x:v>
      </x:c>
      <x:c r="B66" s="28" t="str">
        <x:v>Customer profitability and economic profit</x:v>
      </x:c>
      <x:c r="C66" s="28" t="str">
        <x:v>Customer profitability detail</x:v>
      </x:c>
      <x:c r="D66" s="28" t="str">
        <x:v>Cedar Medical</x:v>
      </x:c>
      <x:c r="E66" s="28" t="str">
        <x:v>2026-05 working copy</x:v>
      </x:c>
      <x:c r="F66" s="28" t="str">
        <x:v>Approved case</x:v>
      </x:c>
      <x:c r="G66" s="28" t="str">
        <x:v>Average invested capital</x:v>
      </x:c>
      <x:c r="H66" s="31" t="n">
        <x:v>3536000</x:v>
      </x:c>
      <x:c r="I66" s="28" t="str"/>
      <x:c r="J66" s="28" t="str">
        <x:v>USD</x:v>
      </x:c>
      <x:c r="K66" s="28" t="str">
        <x:v>Earlier management working export</x:v>
      </x:c>
      <x:c r="L66" s="34" t="str">
        <x:v>2026-06-24</x:v>
      </x:c>
      <x:c r="M66" s="28" t="str"/>
    </x:row>
    <x:row r="67">
      <x:c r="A67" s="37" t="str">
        <x:v>PLN-01228</x:v>
      </x:c>
      <x:c r="B67" s="28" t="str">
        <x:v>Customer profitability and economic profit</x:v>
      </x:c>
      <x:c r="C67" s="28" t="str">
        <x:v>Customer profitability detail</x:v>
      </x:c>
      <x:c r="D67" s="28" t="str">
        <x:v>Helix Data Center</x:v>
      </x:c>
      <x:c r="E67" s="28" t="str">
        <x:v>LTM 2026-06-30</x:v>
      </x:c>
      <x:c r="F67" s="28" t="str">
        <x:v>Management stretch</x:v>
      </x:c>
      <x:c r="G67" s="28" t="str">
        <x:v>Average invested capital</x:v>
      </x:c>
      <x:c r="H67" s="31" t="n">
        <x:v>5460000</x:v>
      </x:c>
      <x:c r="I67" s="28" t="str"/>
      <x:c r="J67" s="28" t="str">
        <x:v>USD</x:v>
      </x:c>
      <x:c r="K67" s="28" t="str">
        <x:v>Earlier management working export</x:v>
      </x:c>
      <x:c r="L67" s="34" t="str">
        <x:v>2026-06-24</x:v>
      </x:c>
      <x:c r="M67" s="28" t="str"/>
    </x:row>
    <x:row r="68">
      <x:c r="A68" s="37" t="str">
        <x:v>PLN-01229</x:v>
      </x:c>
      <x:c r="B68" s="28" t="str">
        <x:v>Customer profitability and economic profit</x:v>
      </x:c>
      <x:c r="C68" s="28" t="str">
        <x:v>Customer profitability detail</x:v>
      </x:c>
      <x:c r="D68" s="28" t="str">
        <x:v>Juniper Offices</x:v>
      </x:c>
      <x:c r="E68" s="28" t="str">
        <x:v>2026-05 working copy</x:v>
      </x:c>
      <x:c r="F68" s="28" t="str">
        <x:v>Approved case</x:v>
      </x:c>
      <x:c r="G68" s="28" t="str">
        <x:v>Average invested capital</x:v>
      </x:c>
      <x:c r="H68" s="31" t="n">
        <x:v>2214.5</x:v>
      </x:c>
      <x:c r="I68" s="28" t="str"/>
      <x:c r="J68" s="28" t="str">
        <x:v>USD thousands</x:v>
      </x:c>
      <x:c r="K68" s="28" t="str">
        <x:v>Earlier management working export</x:v>
      </x:c>
      <x:c r="L68" s="34" t="str">
        <x:v>2026-06-24</x:v>
      </x:c>
      <x:c r="M68" s="28" t="str"/>
    </x:row>
    <x:row r="69">
      <x:c r="A69" s="37" t="str">
        <x:v>PLN-01230</x:v>
      </x:c>
      <x:c r="B69" s="28" t="str">
        <x:v>Customer profitability and economic profit</x:v>
      </x:c>
      <x:c r="C69" s="28" t="str">
        <x:v>Customer profitability detail</x:v>
      </x:c>
      <x:c r="D69" s="28" t="str">
        <x:v>Portland Schools</x:v>
      </x:c>
      <x:c r="E69" s="28" t="str">
        <x:v>LTM 2026-06-30</x:v>
      </x:c>
      <x:c r="F69" s="28" t="str">
        <x:v>Management stretch</x:v>
      </x:c>
      <x:c r="G69" s="28" t="str">
        <x:v>Average invested capital</x:v>
      </x:c>
      <x:c r="H69" s="31" t="n">
        <x:v>5408000</x:v>
      </x:c>
      <x:c r="I69" s="28" t="str"/>
      <x:c r="J69" s="28" t="str">
        <x:v>USD</x:v>
      </x:c>
      <x:c r="K69" s="28" t="str">
        <x:v>Earlier management working export</x:v>
      </x:c>
      <x:c r="L69" s="34" t="str">
        <x:v>2026-06-24</x:v>
      </x:c>
      <x:c r="M69" s="28" t="str"/>
    </x:row>
    <x:row r="70">
      <x:c r="A70" s="37" t="str">
        <x:v>PLN-01259</x:v>
      </x:c>
      <x:c r="B70" s="28" t="str">
        <x:v>Customer profitability and economic profit</x:v>
      </x:c>
      <x:c r="C70" s="28" t="str">
        <x:v>Customer renewal decision</x:v>
      </x:c>
      <x:c r="D70" s="28" t="str">
        <x:v>Cedar Medical</x:v>
      </x:c>
      <x:c r="E70" s="28" t="str">
        <x:v>2026-05 working copy</x:v>
      </x:c>
      <x:c r="F70" s="28" t="str">
        <x:v>Approved case</x:v>
      </x:c>
      <x:c r="G70" s="28" t="str">
        <x:v>Renewal probability</x:v>
      </x:c>
      <x:c r="H70" s="31" t="n">
        <x:v>0.9373</x:v>
      </x:c>
      <x:c r="I70" s="28" t="str"/>
      <x:c r="J70" s="28" t="str">
        <x:v>decimal ratio</x:v>
      </x:c>
      <x:c r="K70" s="28" t="str">
        <x:v>Earlier management working export</x:v>
      </x:c>
      <x:c r="L70" s="34" t="str">
        <x:v>2026-06-24</x:v>
      </x:c>
      <x:c r="M70" s="28" t="str"/>
    </x:row>
    <x:row r="71">
      <x:c r="A71" s="37" t="str">
        <x:v>PLN-01260</x:v>
      </x:c>
      <x:c r="B71" s="28" t="str">
        <x:v>Customer profitability and economic profit</x:v>
      </x:c>
      <x:c r="C71" s="28" t="str">
        <x:v>Customer renewal decision</x:v>
      </x:c>
      <x:c r="D71" s="28" t="str">
        <x:v>Helix Data Center</x:v>
      </x:c>
      <x:c r="E71" s="28" t="str">
        <x:v>FY27</x:v>
      </x:c>
      <x:c r="F71" s="28" t="str">
        <x:v>Management stretch</x:v>
      </x:c>
      <x:c r="G71" s="28" t="str">
        <x:v>Proposed price increase</x:v>
      </x:c>
      <x:c r="H71" s="31" t="n">
        <x:v>0.0572</x:v>
      </x:c>
      <x:c r="I71" s="28" t="str"/>
      <x:c r="J71" s="28" t="str">
        <x:v>decimal ratio</x:v>
      </x:c>
      <x:c r="K71" s="28" t="str">
        <x:v>Earlier management working export</x:v>
      </x:c>
      <x:c r="L71" s="34" t="str">
        <x:v>2026-06-24</x:v>
      </x:c>
      <x:c r="M71" s="28" t="str"/>
    </x:row>
    <x:row r="72">
      <x:c r="A72" s="37" t="str">
        <x:v>PLN-01261</x:v>
      </x:c>
      <x:c r="B72" s="28" t="str">
        <x:v>Customer profitability and economic profit</x:v>
      </x:c>
      <x:c r="C72" s="28" t="str">
        <x:v>Customer renewal decision</x:v>
      </x:c>
      <x:c r="D72" s="28" t="str">
        <x:v>Juniper Offices</x:v>
      </x:c>
      <x:c r="E72" s="28" t="str">
        <x:v>2026-05 working copy</x:v>
      </x:c>
      <x:c r="F72" s="28" t="str">
        <x:v>Approved case</x:v>
      </x:c>
      <x:c r="G72" s="28" t="str">
        <x:v>Volume elasticity</x:v>
      </x:c>
      <x:c r="H72" s="31" t="n">
        <x:v>0.2625</x:v>
      </x:c>
      <x:c r="I72" s="28" t="str"/>
      <x:c r="J72" s="28" t="str">
        <x:v>decimal ratio</x:v>
      </x:c>
      <x:c r="K72" s="28" t="str">
        <x:v>Earlier management working export</x:v>
      </x:c>
      <x:c r="L72" s="34" t="str">
        <x:v>2026-06-24</x:v>
      </x:c>
      <x:c r="M72" s="28" t="str"/>
    </x:row>
    <x:row r="73">
      <x:c r="A73" s="37" t="str">
        <x:v>PLN-01262</x:v>
      </x:c>
      <x:c r="B73" s="28" t="str">
        <x:v>Customer profitability and economic profit</x:v>
      </x:c>
      <x:c r="C73" s="28" t="str">
        <x:v>Customer renewal decision</x:v>
      </x:c>
      <x:c r="D73" s="28" t="str">
        <x:v>Portland Schools</x:v>
      </x:c>
      <x:c r="E73" s="28" t="str">
        <x:v>FY27</x:v>
      </x:c>
      <x:c r="F73" s="28" t="str">
        <x:v>Management stretch</x:v>
      </x:c>
      <x:c r="G73" s="28" t="str">
        <x:v>Expected credit loss percent</x:v>
      </x:c>
      <x:c r="H73" s="31" t="n">
        <x:v>0.00412</x:v>
      </x:c>
      <x:c r="I73" s="28" t="str"/>
      <x:c r="J73" s="28" t="str">
        <x:v>decimal ratio</x:v>
      </x:c>
      <x:c r="K73" s="28" t="str">
        <x:v>Earlier management working export</x:v>
      </x:c>
      <x:c r="L73" s="34" t="str">
        <x:v>2026-06-24</x:v>
      </x:c>
      <x:c r="M73" s="28" t="str"/>
    </x:row>
    <x:row r="74">
      <x:c r="A74" s="37" t="str">
        <x:v>PLN-01263</x:v>
      </x:c>
      <x:c r="B74" s="28" t="str">
        <x:v>Customer profitability and economic profit</x:v>
      </x:c>
      <x:c r="C74" s="28" t="str">
        <x:v>Customer renewal decision</x:v>
      </x:c>
      <x:c r="D74" s="28" t="str">
        <x:v>Cedar Medical</x:v>
      </x:c>
      <x:c r="E74" s="28" t="str">
        <x:v>2026-05 working copy</x:v>
      </x:c>
      <x:c r="F74" s="28" t="str">
        <x:v>Approved case</x:v>
      </x:c>
      <x:c r="G74" s="28" t="str">
        <x:v>Renewal probability</x:v>
      </x:c>
      <x:c r="H74" s="31" t="n">
        <x:v>0.9464</x:v>
      </x:c>
      <x:c r="I74" s="28" t="str"/>
      <x:c r="J74" s="28" t="str">
        <x:v>decimal ratio</x:v>
      </x:c>
      <x:c r="K74" s="28" t="str">
        <x:v>Earlier management working export</x:v>
      </x:c>
      <x:c r="L74" s="34" t="str">
        <x:v>2026-06-24</x:v>
      </x:c>
      <x:c r="M74" s="28" t="str"/>
    </x:row>
    <x:row r="75">
      <x:c r="A75" s="38" t="str">
        <x:v>PLN-01264</x:v>
      </x:c>
      <x:c r="B75" s="29" t="str">
        <x:v>Customer profitability and economic profit</x:v>
      </x:c>
      <x:c r="C75" s="29" t="str">
        <x:v>Customer renewal decision</x:v>
      </x:c>
      <x:c r="D75" s="29" t="str">
        <x:v>Helix Data Center</x:v>
      </x:c>
      <x:c r="E75" s="29" t="str">
        <x:v>FY27</x:v>
      </x:c>
      <x:c r="F75" s="29" t="str">
        <x:v>Management stretch</x:v>
      </x:c>
      <x:c r="G75" s="29" t="str">
        <x:v>Proposed price increase</x:v>
      </x:c>
      <x:c r="H75" s="32" t="n">
        <x:v>0.05775</x:v>
      </x:c>
      <x:c r="I75" s="29" t="str"/>
      <x:c r="J75" s="29" t="str">
        <x:v>decimal ratio</x:v>
      </x:c>
      <x:c r="K75" s="29" t="str">
        <x:v>Earlier management working export</x:v>
      </x:c>
      <x:c r="L75" s="35" t="str">
        <x:v>2026-06-24</x:v>
      </x:c>
      <x:c r="M75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Working Capital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PLN-00914</x:v>
      </x:c>
      <x:c r="B5" s="27" t="str">
        <x:v>Cash-conversion and working-capital forecast</x:v>
      </x:c>
      <x:c r="C5" s="27" t="str">
        <x:v>Working-capital drivers</x:v>
      </x:c>
      <x:c r="D5" s="27" t="str">
        <x:v>Construction</x:v>
      </x:c>
      <x:c r="E5" s="27" t="str">
        <x:v>2026-05 working copy</x:v>
      </x:c>
      <x:c r="F5" s="27" t="str">
        <x:v>Approved case</x:v>
      </x:c>
      <x:c r="G5" s="27" t="str">
        <x:v>FY27 revenue growth</x:v>
      </x:c>
      <x:c r="H5" s="30" t="n">
        <x:v>0.07210000000000001</x:v>
      </x:c>
      <x:c r="I5" s="27" t="str"/>
      <x:c r="J5" s="27" t="str">
        <x:v>decimal ratio</x:v>
      </x:c>
      <x:c r="K5" s="27" t="str">
        <x:v>Earlier management working export</x:v>
      </x:c>
      <x:c r="L5" s="33" t="str">
        <x:v>2026-06-24</x:v>
      </x:c>
      <x:c r="M5" s="27" t="str"/>
    </x:row>
    <x:row r="6">
      <x:c r="A6" s="37" t="str">
        <x:v>PLN-00915</x:v>
      </x:c>
      <x:c r="B6" s="28" t="str">
        <x:v>Cash-conversion and working-capital forecast</x:v>
      </x:c>
      <x:c r="C6" s="28" t="str">
        <x:v>Working-capital drivers</x:v>
      </x:c>
      <x:c r="D6" s="28" t="str">
        <x:v>Service</x:v>
      </x:c>
      <x:c r="E6" s="28" t="str">
        <x:v>FY27</x:v>
      </x:c>
      <x:c r="F6" s="28" t="str">
        <x:v>Management stretch</x:v>
      </x:c>
      <x:c r="G6" s="28" t="str">
        <x:v>FY27 revenue growth</x:v>
      </x:c>
      <x:c r="H6" s="31" t="n">
        <x:v>0.0988</x:v>
      </x:c>
      <x:c r="I6" s="28" t="str"/>
      <x:c r="J6" s="28" t="str">
        <x:v>decimal ratio</x:v>
      </x:c>
      <x:c r="K6" s="28" t="str">
        <x:v>Earlier management working export</x:v>
      </x:c>
      <x:c r="L6" s="34" t="str">
        <x:v>2026-06-24</x:v>
      </x:c>
      <x:c r="M6" s="28" t="str"/>
    </x:row>
    <x:row r="7">
      <x:c r="A7" s="37" t="str">
        <x:v>PLN-00916</x:v>
      </x:c>
      <x:c r="B7" s="28" t="str">
        <x:v>Cash-conversion and working-capital forecast</x:v>
      </x:c>
      <x:c r="C7" s="28" t="str">
        <x:v>Working-capital drivers</x:v>
      </x:c>
      <x:c r="D7" s="28" t="str">
        <x:v>Controls</x:v>
      </x:c>
      <x:c r="E7" s="28" t="str">
        <x:v>2026-05 working copy</x:v>
      </x:c>
      <x:c r="F7" s="28" t="str">
        <x:v>Approved case</x:v>
      </x:c>
      <x:c r="G7" s="28" t="str">
        <x:v>FY27 revenue growth</x:v>
      </x:c>
      <x:c r="H7" s="31" t="n">
        <x:v>0.13125</x:v>
      </x:c>
      <x:c r="I7" s="28" t="str"/>
      <x:c r="J7" s="28" t="str">
        <x:v>decimal ratio</x:v>
      </x:c>
      <x:c r="K7" s="28" t="str">
        <x:v>Earlier management working export</x:v>
      </x:c>
      <x:c r="L7" s="34" t="str">
        <x:v>2026-06-24</x:v>
      </x:c>
      <x:c r="M7" s="28" t="str"/>
    </x:row>
    <x:row r="8">
      <x:c r="A8" s="37" t="str">
        <x:v>PLN-00917</x:v>
      </x:c>
      <x:c r="B8" s="28" t="str">
        <x:v>Cash-conversion and working-capital forecast</x:v>
      </x:c>
      <x:c r="C8" s="28" t="str">
        <x:v>Opening working capital</x:v>
      </x:c>
      <x:c r="D8" s="28" t="str">
        <x:v>Inventory</x:v>
      </x:c>
      <x:c r="E8" s="28" t="str">
        <x:v>2026-06-30</x:v>
      </x:c>
      <x:c r="F8" s="28" t="str">
        <x:v>Management stretch</x:v>
      </x:c>
      <x:c r="G8" s="28" t="str">
        <x:v>Posted open balance</x:v>
      </x:c>
      <x:c r="H8" s="31" t="n">
        <x:v>1215400</x:v>
      </x:c>
      <x:c r="I8" s="28" t="str"/>
      <x:c r="J8" s="28" t="str">
        <x:v>USD</x:v>
      </x:c>
      <x:c r="K8" s="28" t="str">
        <x:v>Earlier management working export</x:v>
      </x:c>
      <x:c r="L8" s="34" t="str">
        <x:v>2026-06-24</x:v>
      </x:c>
      <x:c r="M8" s="28" t="str"/>
    </x:row>
    <x:row r="9">
      <x:c r="A9" s="37" t="str">
        <x:v>PLN-00918</x:v>
      </x:c>
      <x:c r="B9" s="28" t="str">
        <x:v>Cash-conversion and working-capital forecast</x:v>
      </x:c>
      <x:c r="C9" s="28" t="str">
        <x:v>Working-capital drivers</x:v>
      </x:c>
      <x:c r="D9" s="28" t="str">
        <x:v>Construction</x:v>
      </x:c>
      <x:c r="E9" s="28" t="str">
        <x:v>2026-05 working copy</x:v>
      </x:c>
      <x:c r="F9" s="28" t="str">
        <x:v>Approved case</x:v>
      </x:c>
      <x:c r="G9" s="28" t="str">
        <x:v>Inventory days on cost</x:v>
      </x:c>
      <x:c r="H9" s="31" t="n">
        <x:v>4.16</x:v>
      </x:c>
      <x:c r="I9" s="28" t="str"/>
      <x:c r="J9" s="28" t="str">
        <x:v>days</x:v>
      </x:c>
      <x:c r="K9" s="28" t="str">
        <x:v>Earlier management working export</x:v>
      </x:c>
      <x:c r="L9" s="34" t="str">
        <x:v>2026-06-24</x:v>
      </x:c>
      <x:c r="M9" s="28" t="str"/>
    </x:row>
    <x:row r="10">
      <x:c r="A10" s="37" t="str">
        <x:v>PLN-00919</x:v>
      </x:c>
      <x:c r="B10" s="28" t="str">
        <x:v>Cash-conversion and working-capital forecast</x:v>
      </x:c>
      <x:c r="C10" s="28" t="str">
        <x:v>Working-capital drivers</x:v>
      </x:c>
      <x:c r="D10" s="28" t="str">
        <x:v>Service</x:v>
      </x:c>
      <x:c r="E10" s="28" t="str">
        <x:v>FY27</x:v>
      </x:c>
      <x:c r="F10" s="28" t="str">
        <x:v>Management stretch</x:v>
      </x:c>
      <x:c r="G10" s="28" t="str">
        <x:v>Inventory days on cost</x:v>
      </x:c>
      <x:c r="H10" s="31" t="n">
        <x:v>12.600000000000001</x:v>
      </x:c>
      <x:c r="I10" s="28" t="str"/>
      <x:c r="J10" s="28" t="str">
        <x:v>days</x:v>
      </x:c>
      <x:c r="K10" s="28" t="str">
        <x:v>Earlier management working export</x:v>
      </x:c>
      <x:c r="L10" s="34" t="str">
        <x:v>2026-06-24</x:v>
      </x:c>
      <x:c r="M10" s="28" t="str"/>
    </x:row>
    <x:row r="11">
      <x:c r="A11" s="37" t="str">
        <x:v>PLN-00920</x:v>
      </x:c>
      <x:c r="B11" s="28" t="str">
        <x:v>Cash-conversion and working-capital forecast</x:v>
      </x:c>
      <x:c r="C11" s="28" t="str">
        <x:v>Working-capital drivers</x:v>
      </x:c>
      <x:c r="D11" s="28" t="str">
        <x:v>Controls</x:v>
      </x:c>
      <x:c r="E11" s="28" t="str">
        <x:v>2026-05 working copy</x:v>
      </x:c>
      <x:c r="F11" s="28" t="str">
        <x:v>Approved case</x:v>
      </x:c>
      <x:c r="G11" s="28" t="str">
        <x:v>Inventory days on cost</x:v>
      </x:c>
      <x:c r="H11" s="31" t="n">
        <x:v>7.21</x:v>
      </x:c>
      <x:c r="I11" s="28" t="str"/>
      <x:c r="J11" s="28" t="str">
        <x:v>days</x:v>
      </x:c>
      <x:c r="K11" s="28" t="str">
        <x:v>Earlier management working export</x:v>
      </x:c>
      <x:c r="L11" s="34" t="str">
        <x:v>2026-06-24</x:v>
      </x:c>
      <x:c r="M11" s="28" t="str"/>
    </x:row>
    <x:row r="12">
      <x:c r="A12" s="37" t="str">
        <x:v>PLN-00921</x:v>
      </x:c>
      <x:c r="B12" s="28" t="str">
        <x:v>Cash-conversion and working-capital forecast</x:v>
      </x:c>
      <x:c r="C12" s="28" t="str">
        <x:v>Cash conversion</x:v>
      </x:c>
      <x:c r="D12" s="28" t="str">
        <x:v>Consolidated</x:v>
      </x:c>
      <x:c r="E12" s="28" t="str">
        <x:v>FY27</x:v>
      </x:c>
      <x:c r="F12" s="28" t="str">
        <x:v>Management stretch</x:v>
      </x:c>
      <x:c r="G12" s="28" t="str">
        <x:v>Cash tax rate on EBITDA</x:v>
      </x:c>
      <x:c r="H12" s="31" t="n">
        <x:v>0.1768</x:v>
      </x:c>
      <x:c r="I12" s="28" t="str"/>
      <x:c r="J12" s="28" t="str">
        <x:v>decimal ratio</x:v>
      </x:c>
      <x:c r="K12" s="28" t="str">
        <x:v>Earlier management working export</x:v>
      </x:c>
      <x:c r="L12" s="34" t="str">
        <x:v>2026-06-24</x:v>
      </x:c>
      <x:c r="M12" s="28" t="str"/>
    </x:row>
    <x:row r="13">
      <x:c r="A13" s="37" t="str">
        <x:v>PLN-00922</x:v>
      </x:c>
      <x:c r="B13" s="28" t="str">
        <x:v>Cash-conversion and working-capital forecast</x:v>
      </x:c>
      <x:c r="C13" s="28" t="str">
        <x:v>Working-capital drivers</x:v>
      </x:c>
      <x:c r="D13" s="28" t="str">
        <x:v>Construction</x:v>
      </x:c>
      <x:c r="E13" s="28" t="str">
        <x:v>2026-05 working copy</x:v>
      </x:c>
      <x:c r="F13" s="28" t="str">
        <x:v>Approved case</x:v>
      </x:c>
      <x:c r="G13" s="28" t="str">
        <x:v>Customer deposits percent of revenue</x:v>
      </x:c>
      <x:c r="H13" s="31" t="n">
        <x:v>0.0126</x:v>
      </x:c>
      <x:c r="I13" s="28" t="str"/>
      <x:c r="J13" s="28" t="str">
        <x:v>decimal ratio</x:v>
      </x:c>
      <x:c r="K13" s="28" t="str">
        <x:v>Earlier management working export</x:v>
      </x:c>
      <x:c r="L13" s="34" t="str">
        <x:v>2026-06-24</x:v>
      </x:c>
      <x:c r="M13" s="28" t="str"/>
    </x:row>
    <x:row r="14">
      <x:c r="A14" s="37" t="str">
        <x:v>PLN-00923</x:v>
      </x:c>
      <x:c r="B14" s="28" t="str">
        <x:v>Cash-conversion and working-capital forecast</x:v>
      </x:c>
      <x:c r="C14" s="28" t="str">
        <x:v>Working-capital drivers</x:v>
      </x:c>
      <x:c r="D14" s="28" t="str">
        <x:v>Service</x:v>
      </x:c>
      <x:c r="E14" s="28" t="str">
        <x:v>FY27</x:v>
      </x:c>
      <x:c r="F14" s="28" t="str">
        <x:v>Management stretch</x:v>
      </x:c>
      <x:c r="G14" s="28" t="str">
        <x:v>Customer deposits percent of revenue</x:v>
      </x:c>
      <x:c r="H14" s="31" t="n">
        <x:v>0.03914</x:v>
      </x:c>
      <x:c r="I14" s="28" t="str"/>
      <x:c r="J14" s="28" t="str">
        <x:v>decimal ratio</x:v>
      </x:c>
      <x:c r="K14" s="28" t="str">
        <x:v>Earlier management working export</x:v>
      </x:c>
      <x:c r="L14" s="34" t="str">
        <x:v>2026-06-24</x:v>
      </x:c>
      <x:c r="M14" s="28" t="str"/>
    </x:row>
    <x:row r="15">
      <x:c r="A15" s="37" t="str">
        <x:v>PLN-00924</x:v>
      </x:c>
      <x:c r="B15" s="28" t="str">
        <x:v>Cash-conversion and working-capital forecast</x:v>
      </x:c>
      <x:c r="C15" s="28" t="str">
        <x:v>Working-capital drivers</x:v>
      </x:c>
      <x:c r="D15" s="28" t="str">
        <x:v>Controls</x:v>
      </x:c>
      <x:c r="E15" s="28" t="str">
        <x:v>2026-05 working copy</x:v>
      </x:c>
      <x:c r="F15" s="28" t="str">
        <x:v>Approved case</x:v>
      </x:c>
      <x:c r="G15" s="28" t="str">
        <x:v>Customer deposits percent of revenue</x:v>
      </x:c>
      <x:c r="H15" s="31" t="n">
        <x:v>0.020800000000000003</x:v>
      </x:c>
      <x:c r="I15" s="28" t="str"/>
      <x:c r="J15" s="28" t="str">
        <x:v>decimal ratio</x:v>
      </x:c>
      <x:c r="K15" s="28" t="str">
        <x:v>Earlier management working export</x:v>
      </x:c>
      <x:c r="L15" s="34" t="str">
        <x:v>2026-06-24</x:v>
      </x:c>
      <x:c r="M15" s="28" t="str"/>
    </x:row>
    <x:row r="16">
      <x:c r="A16" s="38" t="str">
        <x:v>PLN-00925</x:v>
      </x:c>
      <x:c r="B16" s="29" t="str">
        <x:v>Cash-conversion and working-capital forecast</x:v>
      </x:c>
      <x:c r="C16" s="29" t="str">
        <x:v>Working-capital drivers</x:v>
      </x:c>
      <x:c r="D16" s="29" t="str">
        <x:v>Construction</x:v>
      </x:c>
      <x:c r="E16" s="29" t="str">
        <x:v>FY27</x:v>
      </x:c>
      <x:c r="F16" s="29" t="str">
        <x:v>Management stretch</x:v>
      </x:c>
      <x:c r="G16" s="29" t="str">
        <x:v>Ordinary receivable days</x:v>
      </x:c>
      <x:c r="H16" s="32" t="n">
        <x:v>64.05</x:v>
      </x:c>
      <x:c r="I16" s="29" t="str"/>
      <x:c r="J16" s="29" t="str">
        <x:v>days</x:v>
      </x:c>
      <x:c r="K16" s="29" t="str">
        <x:v>Earlier management working export</x:v>
      </x:c>
      <x:c r="L16" s="35" t="str">
        <x:v>2026-06-24</x:v>
      </x:c>
      <x:c r="M16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</x:cols>
  <x:sheetData>
    <x:row r="1" ht="25" customHeight="1">
      <x:c r="A1" s="9" t="str">
        <x:v>FY27 operating plan | data checks</x:v>
      </x:c>
      <x:c r="B1" s="9"/>
      <x:c r="C1" s="9"/>
      <x:c r="D1" s="9"/>
      <x:c r="E1" s="9"/>
      <x:c r="F1" s="9"/>
    </x:row>
    <x:row r="2" ht="25" customHeight="1">
      <x:c r="A2" s="11" t="str">
        <x:v>Row-count and version checks; investigate any unexpected change before using the book</x:v>
      </x:c>
      <x:c r="B2" s="11"/>
      <x:c r="C2" s="11"/>
      <x:c r="D2" s="11"/>
      <x:c r="E2" s="11"/>
      <x:c r="F2" s="11"/>
    </x:row>
    <x:row r="4" ht="30" customHeight="1">
      <x:c r="A4" s="20" t="str">
        <x:v>Data sheet</x:v>
      </x:c>
      <x:c r="B4" s="21" t="str">
        <x:v>Expected rows</x:v>
      </x:c>
      <x:c r="C4" s="21" t="str">
        <x:v>Workbook rows</x:v>
      </x:c>
      <x:c r="D4" s="21" t="str">
        <x:v>Difference</x:v>
      </x:c>
      <x:c r="E4" s="21" t="str">
        <x:v>Status</x:v>
      </x:c>
      <x:c r="F4" s="22" t="str">
        <x:v>Version note</x:v>
      </x:c>
    </x:row>
    <x:row r="5">
      <x:c r="A5" s="40" t="str">
        <x:v>Revenue and Service</x:v>
      </x:c>
      <x:c r="B5" s="40" t="n">
        <x:v>112</x:v>
      </x:c>
      <x:c r="C5" s="40" t="n">
        <x:f>COUNTA('Revenue and Service'!$A$5:$A$116)</x:f>
        <x:v>112</x:v>
      </x:c>
      <x:c r="D5" s="40" t="n">
        <x:f>C5-B5</x:f>
        <x:v>0</x:v>
      </x:c>
      <x:c r="E5" s="43" t="str">
        <x:f>IF(D5=0,"OK","CHECK")</x:f>
        <x:v>OK</x:v>
      </x:c>
      <x:c r="F5" s="40" t="str">
        <x:v>PRIOR REVIEW COPY • NOT CURRENT</x:v>
      </x:c>
    </x:row>
    <x:row r="6">
      <x:c r="A6" s="41" t="str">
        <x:v>Margin and Accuracy</x:v>
      </x:c>
      <x:c r="B6" s="41" t="n">
        <x:v>71</x:v>
      </x:c>
      <x:c r="C6" s="41" t="n">
        <x:f>COUNTA('Margin and Accuracy'!$A$5:$A$75)</x:f>
        <x:v>71</x:v>
      </x:c>
      <x:c r="D6" s="41" t="n">
        <x:f>C6-B6</x:f>
        <x:v>0</x:v>
      </x:c>
      <x:c r="E6" s="44" t="str">
        <x:f>IF(D6=0,"OK","CHECK")</x:f>
        <x:v>OK</x:v>
      </x:c>
      <x:c r="F6" s="41" t="str">
        <x:v>PRIOR REVIEW COPY • NOT CURRENT</x:v>
      </x:c>
    </x:row>
    <x:row r="7">
      <x:c r="A7" s="41" t="str">
        <x:v>Opex and Workforce</x:v>
      </x:c>
      <x:c r="B7" s="41" t="n">
        <x:v>63</x:v>
      </x:c>
      <x:c r="C7" s="41" t="n">
        <x:f>COUNTA('Opex and Workforce'!$A$5:$A$67)</x:f>
        <x:v>63</x:v>
      </x:c>
      <x:c r="D7" s="41" t="n">
        <x:f>C7-B7</x:f>
        <x:v>0</x:v>
      </x:c>
      <x:c r="E7" s="44" t="str">
        <x:f>IF(D7=0,"OK","CHECK")</x:f>
        <x:v>OK</x:v>
      </x:c>
      <x:c r="F7" s="41" t="str">
        <x:v>PRIOR REVIEW COPY • NOT CURRENT</x:v>
      </x:c>
    </x:row>
    <x:row r="8">
      <x:c r="A8" s="41" t="str">
        <x:v>Branches and Backlog</x:v>
      </x:c>
      <x:c r="B8" s="41" t="n">
        <x:v>71</x:v>
      </x:c>
      <x:c r="C8" s="41" t="n">
        <x:f>COUNTA('Branches and Backlog'!$A$5:$A$75)</x:f>
        <x:v>71</x:v>
      </x:c>
      <x:c r="D8" s="41" t="n">
        <x:f>C8-B8</x:f>
        <x:v>0</x:v>
      </x:c>
      <x:c r="E8" s="44" t="str">
        <x:f>IF(D8=0,"OK","CHECK")</x:f>
        <x:v>OK</x:v>
      </x:c>
      <x:c r="F8" s="41" t="str">
        <x:v>PRIOR REVIEW COPY • NOT CURRENT</x:v>
      </x:c>
    </x:row>
    <x:row r="9">
      <x:c r="A9" s="42" t="str">
        <x:v>Working Capital</x:v>
      </x:c>
      <x:c r="B9" s="42" t="n">
        <x:v>12</x:v>
      </x:c>
      <x:c r="C9" s="42" t="n">
        <x:f>COUNTA('Working Capital'!$A$5:$A$16)</x:f>
        <x:v>12</x:v>
      </x:c>
      <x:c r="D9" s="42" t="n">
        <x:f>C9-B9</x:f>
        <x:v>0</x:v>
      </x:c>
      <x:c r="E9" s="45" t="str">
        <x:f>IF(D9=0,"OK","CHECK")</x:f>
        <x:v>OK</x:v>
      </x:c>
      <x:c r="F9" s="42" t="str">
        <x:v>PRIOR REVIEW COPY • NOT CURRENT</x:v>
      </x:c>
    </x:row>
  </x:sheetData>
  <x:mergeCells>
    <x:mergeCell ref="A1:F1"/>
    <x:mergeCell ref="A2:F2"/>
  </x:mergeCells>
  <x:pageMargins left="0.7" right="0.7" top="0.75" bottom="0.75" header="0.3" footer="0.3"/>
</x:worksheet>
</file>