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ject Cases" sheetId="2" state="visible" r:id="rId2"/>
    <sheet xmlns:r="http://schemas.openxmlformats.org/officeDocument/2006/relationships" name="Long Range Plan" sheetId="3" state="visible" r:id="rId3"/>
    <sheet xmlns:r="http://schemas.openxmlformats.org/officeDocument/2006/relationships" name="Capital Capacity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'Project Cases'!$A$4:$M$42</definedName>
    <definedName name="_xlnm._FilterDatabase" localSheetId="2" hidden="1">'Long Range Plan'!$A$4:$M$20</definedName>
    <definedName name="_xlnm._FilterDatabase" localSheetId="3" hidden="1">'Capital Capacity'!$A$4:$M$59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Project Cases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CAP-00150</t>
        </is>
      </c>
      <c r="B5" s="27" t="inlineStr">
        <is>
          <t>Create the FY27 capital-project portfolio model</t>
        </is>
      </c>
      <c r="C5" s="27" t="inlineStr">
        <is>
          <t>Capital project cases</t>
        </is>
      </c>
      <c r="D5" s="27" t="inlineStr">
        <is>
          <t>CP-01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Initial capex</t>
        </is>
      </c>
      <c r="H5" s="46" t="n">
        <v>2163000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CAP-00151</t>
        </is>
      </c>
      <c r="B6" s="27" t="inlineStr">
        <is>
          <t>Create the FY27 capital-project portfolio model</t>
        </is>
      </c>
      <c r="C6" s="27" t="inlineStr">
        <is>
          <t>Capital project cases</t>
        </is>
      </c>
      <c r="D6" s="27" t="inlineStr">
        <is>
          <t>CP-01</t>
        </is>
      </c>
      <c r="E6" s="27" t="inlineStr">
        <is>
          <t>Year 1</t>
        </is>
      </c>
      <c r="F6" s="27" t="inlineStr">
        <is>
          <t>Management stretch</t>
        </is>
      </c>
      <c r="G6" s="27" t="inlineStr">
        <is>
          <t>EBITDA realization factor</t>
        </is>
      </c>
      <c r="H6" s="46" t="n">
        <v>0.728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CAP-00152</t>
        </is>
      </c>
      <c r="B7" s="27" t="inlineStr">
        <is>
          <t>Create the FY27 capital-project portfolio model</t>
        </is>
      </c>
      <c r="C7" s="27" t="inlineStr">
        <is>
          <t>Capital project cases</t>
        </is>
      </c>
      <c r="D7" s="27" t="inlineStr">
        <is>
          <t>CP-01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Downside realization factor</t>
        </is>
      </c>
      <c r="H7" s="46" t="n">
        <v>0.756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CAP-00153</t>
        </is>
      </c>
      <c r="B8" s="27" t="inlineStr">
        <is>
          <t>Create the FY27 capital-project portfolio model</t>
        </is>
      </c>
      <c r="C8" s="27" t="inlineStr">
        <is>
          <t>Capital project cases</t>
        </is>
      </c>
      <c r="D8" s="27" t="inlineStr">
        <is>
          <t>CP-02</t>
        </is>
      </c>
      <c r="E8" s="27" t="inlineStr">
        <is>
          <t>FY27 approval</t>
        </is>
      </c>
      <c r="F8" s="27" t="inlineStr">
        <is>
          <t>Management stretch</t>
        </is>
      </c>
      <c r="G8" s="27" t="inlineStr">
        <is>
          <t>Mandatory safety flag</t>
        </is>
      </c>
      <c r="H8" s="46" t="n">
        <v>0</v>
      </c>
      <c r="I8" s="27" t="inlineStr"/>
      <c r="J8" s="27" t="inlineStr">
        <is>
          <t>boolean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CAP-00154</t>
        </is>
      </c>
      <c r="B9" s="27" t="inlineStr">
        <is>
          <t>Create the FY27 capital-project portfolio model</t>
        </is>
      </c>
      <c r="C9" s="27" t="inlineStr">
        <is>
          <t>Capital project cases</t>
        </is>
      </c>
      <c r="D9" s="27" t="inlineStr">
        <is>
          <t>CP-02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Downside realization factor</t>
        </is>
      </c>
      <c r="H9" s="46" t="n">
        <v>0.6656000000000001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CAP-00155</t>
        </is>
      </c>
      <c r="B10" s="27" t="inlineStr">
        <is>
          <t>Create the FY27 capital-project portfolio model</t>
        </is>
      </c>
      <c r="C10" s="27" t="inlineStr">
        <is>
          <t>Capital project cases</t>
        </is>
      </c>
      <c r="D10" s="27" t="inlineStr">
        <is>
          <t>CP-02</t>
        </is>
      </c>
      <c r="E10" s="27" t="inlineStr">
        <is>
          <t>Year 5</t>
        </is>
      </c>
      <c r="F10" s="27" t="inlineStr">
        <is>
          <t>Management stretch</t>
        </is>
      </c>
      <c r="G10" s="27" t="inlineStr">
        <is>
          <t>Terminal recovery percent of capex</t>
        </is>
      </c>
      <c r="H10" s="46" t="n">
        <v>0.189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CAP-00156</t>
        </is>
      </c>
      <c r="B11" s="27" t="inlineStr">
        <is>
          <t>Create the FY27 capital-project portfolio model</t>
        </is>
      </c>
      <c r="C11" s="27" t="inlineStr">
        <is>
          <t>Capital project cases</t>
        </is>
      </c>
      <c r="D11" s="27" t="inlineStr">
        <is>
          <t>CP-03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Opening working capital</t>
        </is>
      </c>
      <c r="H11" s="46" t="n">
        <v>82.40000000000001</v>
      </c>
      <c r="I11" s="27" t="inlineStr"/>
      <c r="J11" s="27" t="inlineStr">
        <is>
          <t>USD thousands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CAP-00157</t>
        </is>
      </c>
      <c r="B12" s="27" t="inlineStr">
        <is>
          <t>Create the FY27 capital-project portfolio model</t>
        </is>
      </c>
      <c r="C12" s="27" t="inlineStr">
        <is>
          <t>Capital project cases</t>
        </is>
      </c>
      <c r="D12" s="27" t="inlineStr">
        <is>
          <t>CP-03</t>
        </is>
      </c>
      <c r="E12" s="27" t="inlineStr">
        <is>
          <t>Year 4</t>
        </is>
      </c>
      <c r="F12" s="27" t="inlineStr">
        <is>
          <t>Management stretch</t>
        </is>
      </c>
      <c r="G12" s="27" t="inlineStr">
        <is>
          <t>EBITDA realization factor</t>
        </is>
      </c>
      <c r="H12" s="46" t="n">
        <v>1.04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CAP-00158</t>
        </is>
      </c>
      <c r="B13" s="27" t="inlineStr">
        <is>
          <t>Create the FY27 capital-project portfolio model</t>
        </is>
      </c>
      <c r="C13" s="27" t="inlineStr">
        <is>
          <t>Capital project cases</t>
        </is>
      </c>
      <c r="D13" s="27" t="inlineStr">
        <is>
          <t>CP-04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Technician capacity required</t>
        </is>
      </c>
      <c r="H13" s="46" t="n">
        <v>4.2</v>
      </c>
      <c r="I13" s="27" t="inlineStr"/>
      <c r="J13" s="27" t="inlineStr">
        <is>
          <t>count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CAP-00159</t>
        </is>
      </c>
      <c r="B14" s="27" t="inlineStr">
        <is>
          <t>Create the FY27 capital-project portfolio model</t>
        </is>
      </c>
      <c r="C14" s="27" t="inlineStr">
        <is>
          <t>Capital project cases</t>
        </is>
      </c>
      <c r="D14" s="27" t="inlineStr">
        <is>
          <t>CP-04</t>
        </is>
      </c>
      <c r="E14" s="27" t="inlineStr">
        <is>
          <t>Year 2</t>
        </is>
      </c>
      <c r="F14" s="27" t="inlineStr">
        <is>
          <t>Management stretch</t>
        </is>
      </c>
      <c r="G14" s="27" t="inlineStr">
        <is>
          <t>EBITDA realization factor</t>
        </is>
      </c>
      <c r="H14" s="46" t="n">
        <v>0.9476000000000001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CAP-00160</t>
        </is>
      </c>
      <c r="B15" s="27" t="inlineStr">
        <is>
          <t>Create the FY27 capital-project portfolio model</t>
        </is>
      </c>
      <c r="C15" s="27" t="inlineStr">
        <is>
          <t>Capital project cases</t>
        </is>
      </c>
      <c r="D15" s="27" t="inlineStr">
        <is>
          <t>CP-04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Downside realization factor</t>
        </is>
      </c>
      <c r="H15" s="46" t="n">
        <v>0.7488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CAP-00161</t>
        </is>
      </c>
      <c r="B16" s="27" t="inlineStr">
        <is>
          <t>Create the FY27 capital-project portfolio model</t>
        </is>
      </c>
      <c r="C16" s="27" t="inlineStr">
        <is>
          <t>Capital project cases</t>
        </is>
      </c>
      <c r="D16" s="27" t="inlineStr">
        <is>
          <t>CP-05</t>
        </is>
      </c>
      <c r="E16" s="27" t="inlineStr">
        <is>
          <t>FY27 approval</t>
        </is>
      </c>
      <c r="F16" s="27" t="inlineStr">
        <is>
          <t>Management stretch</t>
        </is>
      </c>
      <c r="G16" s="27" t="inlineStr">
        <is>
          <t>Annual tax depreciation</t>
        </is>
      </c>
      <c r="H16" s="46" t="n">
        <v>273000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CAP-00162</t>
        </is>
      </c>
      <c r="B17" s="27" t="inlineStr">
        <is>
          <t>Create the FY27 capital-project portfolio model</t>
        </is>
      </c>
      <c r="C17" s="27" t="inlineStr">
        <is>
          <t>Capital project cases</t>
        </is>
      </c>
      <c r="D17" s="27" t="inlineStr">
        <is>
          <t>CP-05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Downside realization factor</t>
        </is>
      </c>
      <c r="H17" s="46" t="n">
        <v>0.7416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CAP-00163</t>
        </is>
      </c>
      <c r="B18" s="27" t="inlineStr">
        <is>
          <t>Create the FY27 capital-project portfolio model</t>
        </is>
      </c>
      <c r="C18" s="27" t="inlineStr">
        <is>
          <t>Capital project cases</t>
        </is>
      </c>
      <c r="D18" s="27" t="inlineStr">
        <is>
          <t>CP-06</t>
        </is>
      </c>
      <c r="E18" s="27" t="inlineStr">
        <is>
          <t>FY27 approval</t>
        </is>
      </c>
      <c r="F18" s="27" t="inlineStr">
        <is>
          <t>Management stretch</t>
        </is>
      </c>
      <c r="G18" s="27" t="inlineStr">
        <is>
          <t>Debt-eligible basis</t>
        </is>
      </c>
      <c r="H18" s="46" t="n">
        <v>936000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CAP-00164</t>
        </is>
      </c>
      <c r="B19" s="27" t="inlineStr">
        <is>
          <t>Create the FY27 capital-project portfolio model</t>
        </is>
      </c>
      <c r="C19" s="27" t="inlineStr">
        <is>
          <t>Capital project cases</t>
        </is>
      </c>
      <c r="D19" s="27" t="inlineStr">
        <is>
          <t>CP-06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Downside realization factor</t>
        </is>
      </c>
      <c r="H19" s="46" t="n">
        <v>0.4725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CAP-00165</t>
        </is>
      </c>
      <c r="B20" s="27" t="inlineStr">
        <is>
          <t>Create the FY27 capital-project portfolio model</t>
        </is>
      </c>
      <c r="C20" s="27" t="inlineStr">
        <is>
          <t>Capital project cases</t>
        </is>
      </c>
      <c r="D20" s="27" t="inlineStr">
        <is>
          <t>CP-06</t>
        </is>
      </c>
      <c r="E20" s="27" t="inlineStr">
        <is>
          <t>Year 5</t>
        </is>
      </c>
      <c r="F20" s="27" t="inlineStr">
        <is>
          <t>Management stretch</t>
        </is>
      </c>
      <c r="G20" s="27" t="inlineStr">
        <is>
          <t>EBITDA realization factor</t>
        </is>
      </c>
      <c r="H20" s="46" t="n">
        <v>1.03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CAP-00215</t>
        </is>
      </c>
      <c r="B21" s="27" t="inlineStr">
        <is>
          <t>Boise branch expansion business case</t>
        </is>
      </c>
      <c r="C21" s="27" t="inlineStr">
        <is>
          <t>Boise operating case</t>
        </is>
      </c>
      <c r="D21" s="27" t="inlineStr">
        <is>
          <t>Boise branch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Productive technicians</t>
        </is>
      </c>
      <c r="H21" s="46" t="n">
        <v>6.18</v>
      </c>
      <c r="I21" s="27" t="inlineStr"/>
      <c r="J21" s="27" t="inlineStr">
        <is>
          <t>count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CAP-00216</t>
        </is>
      </c>
      <c r="B22" s="27" t="inlineStr">
        <is>
          <t>Boise branch expansion business case</t>
        </is>
      </c>
      <c r="C22" s="27" t="inlineStr">
        <is>
          <t>Boise operating case</t>
        </is>
      </c>
      <c r="D22" s="27" t="inlineStr">
        <is>
          <t>Boise branch</t>
        </is>
      </c>
      <c r="E22" s="27" t="inlineStr">
        <is>
          <t>Year 2</t>
        </is>
      </c>
      <c r="F22" s="27" t="inlineStr">
        <is>
          <t>Management stretch</t>
        </is>
      </c>
      <c r="G22" s="27" t="inlineStr">
        <is>
          <t>Productive technicians</t>
        </is>
      </c>
      <c r="H22" s="46" t="n">
        <v>10.4</v>
      </c>
      <c r="I22" s="27" t="inlineStr"/>
      <c r="J22" s="27" t="inlineStr">
        <is>
          <t>count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CAP-00217</t>
        </is>
      </c>
      <c r="B23" s="27" t="inlineStr">
        <is>
          <t>Boise branch expansion business case</t>
        </is>
      </c>
      <c r="C23" s="27" t="inlineStr">
        <is>
          <t>Boise operating case</t>
        </is>
      </c>
      <c r="D23" s="27" t="inlineStr">
        <is>
          <t>Boise branch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Productive technicians</t>
        </is>
      </c>
      <c r="H23" s="46" t="n">
        <v>14.7</v>
      </c>
      <c r="I23" s="27" t="inlineStr"/>
      <c r="J23" s="27" t="inlineStr">
        <is>
          <t>count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CAP-00218</t>
        </is>
      </c>
      <c r="B24" s="27" t="inlineStr">
        <is>
          <t>Boise branch expansion business case</t>
        </is>
      </c>
      <c r="C24" s="27" t="inlineStr">
        <is>
          <t>Boise operating case</t>
        </is>
      </c>
      <c r="D24" s="27" t="inlineStr">
        <is>
          <t>Boise branch</t>
        </is>
      </c>
      <c r="E24" s="27" t="inlineStr">
        <is>
          <t>Year 4</t>
        </is>
      </c>
      <c r="F24" s="27" t="inlineStr">
        <is>
          <t>Management stretch</t>
        </is>
      </c>
      <c r="G24" s="27" t="inlineStr">
        <is>
          <t>Productive technicians</t>
        </is>
      </c>
      <c r="H24" s="46" t="n">
        <v>17.51</v>
      </c>
      <c r="I24" s="27" t="inlineStr"/>
      <c r="J24" s="27" t="inlineStr">
        <is>
          <t>count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CAP-00219</t>
        </is>
      </c>
      <c r="B25" s="27" t="inlineStr">
        <is>
          <t>Boise branch expansion business case</t>
        </is>
      </c>
      <c r="C25" s="27" t="inlineStr">
        <is>
          <t>Boise operating case</t>
        </is>
      </c>
      <c r="D25" s="27" t="inlineStr">
        <is>
          <t>Boise branch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Productive technicians</t>
        </is>
      </c>
      <c r="H25" s="46" t="n">
        <v>19.76</v>
      </c>
      <c r="I25" s="27" t="inlineStr"/>
      <c r="J25" s="27" t="inlineStr">
        <is>
          <t>count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CAP-00220</t>
        </is>
      </c>
      <c r="B26" s="27" t="inlineStr">
        <is>
          <t>Boise branch expansion business case</t>
        </is>
      </c>
      <c r="C26" s="27" t="inlineStr">
        <is>
          <t>Boise operating case</t>
        </is>
      </c>
      <c r="D26" s="27" t="inlineStr">
        <is>
          <t>Boise branch</t>
        </is>
      </c>
      <c r="E26" s="27" t="inlineStr">
        <is>
          <t>Year 6</t>
        </is>
      </c>
      <c r="F26" s="27" t="inlineStr">
        <is>
          <t>Management stretch</t>
        </is>
      </c>
      <c r="G26" s="27" t="inlineStr">
        <is>
          <t>Productive technicians</t>
        </is>
      </c>
      <c r="H26" s="46" t="n">
        <v>21</v>
      </c>
      <c r="I26" s="27" t="inlineStr"/>
      <c r="J26" s="27" t="inlineStr">
        <is>
          <t>count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CAP-00221</t>
        </is>
      </c>
      <c r="B27" s="27" t="inlineStr">
        <is>
          <t>Boise branch expansion business case</t>
        </is>
      </c>
      <c r="C27" s="27" t="inlineStr">
        <is>
          <t>Boise investment assumptions</t>
        </is>
      </c>
      <c r="D27" s="27" t="inlineStr">
        <is>
          <t>Boise branch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Opening capex</t>
        </is>
      </c>
      <c r="H27" s="46" t="n">
        <v>4377.5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CAP-00222</t>
        </is>
      </c>
      <c r="B28" s="27" t="inlineStr">
        <is>
          <t>Boise branch expansion business case</t>
        </is>
      </c>
      <c r="C28" s="27" t="inlineStr">
        <is>
          <t>Boise operating case</t>
        </is>
      </c>
      <c r="D28" s="27" t="inlineStr">
        <is>
          <t>Boise branch</t>
        </is>
      </c>
      <c r="E28" s="27" t="inlineStr">
        <is>
          <t>Year 1</t>
        </is>
      </c>
      <c r="F28" s="27" t="inlineStr">
        <is>
          <t>Management stretch</t>
        </is>
      </c>
      <c r="G28" s="27" t="inlineStr">
        <is>
          <t>Productive technicians</t>
        </is>
      </c>
      <c r="H28" s="46" t="n">
        <v>6.24</v>
      </c>
      <c r="I28" s="27" t="inlineStr"/>
      <c r="J28" s="27" t="inlineStr">
        <is>
          <t>count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CAP-00223</t>
        </is>
      </c>
      <c r="B29" s="27" t="inlineStr">
        <is>
          <t>Boise branch expansion business case</t>
        </is>
      </c>
      <c r="C29" s="27" t="inlineStr">
        <is>
          <t>Boise operating case</t>
        </is>
      </c>
      <c r="D29" s="27" t="inlineStr">
        <is>
          <t>Boise branch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Productive technicians</t>
        </is>
      </c>
      <c r="H29" s="46" t="n">
        <v>10.5</v>
      </c>
      <c r="I29" s="27" t="inlineStr"/>
      <c r="J29" s="27" t="inlineStr">
        <is>
          <t>count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CAP-00224</t>
        </is>
      </c>
      <c r="B30" s="27" t="inlineStr">
        <is>
          <t>Boise branch expansion business case</t>
        </is>
      </c>
      <c r="C30" s="27" t="inlineStr">
        <is>
          <t>Boise operating case</t>
        </is>
      </c>
      <c r="D30" s="27" t="inlineStr">
        <is>
          <t>Boise branch</t>
        </is>
      </c>
      <c r="E30" s="27" t="inlineStr">
        <is>
          <t>Year 3</t>
        </is>
      </c>
      <c r="F30" s="27" t="inlineStr">
        <is>
          <t>Management stretch</t>
        </is>
      </c>
      <c r="G30" s="27" t="inlineStr">
        <is>
          <t>Productive technicians</t>
        </is>
      </c>
      <c r="H30" s="46" t="n">
        <v>14.42</v>
      </c>
      <c r="I30" s="27" t="inlineStr"/>
      <c r="J30" s="27" t="inlineStr">
        <is>
          <t>count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CAP-00225</t>
        </is>
      </c>
      <c r="B31" s="27" t="inlineStr">
        <is>
          <t>Boise branch expansion business case</t>
        </is>
      </c>
      <c r="C31" s="27" t="inlineStr">
        <is>
          <t>Boise operating case</t>
        </is>
      </c>
      <c r="D31" s="27" t="inlineStr">
        <is>
          <t>Boise branch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Productive technicians</t>
        </is>
      </c>
      <c r="H31" s="46" t="n">
        <v>17.68</v>
      </c>
      <c r="I31" s="27" t="inlineStr"/>
      <c r="J31" s="27" t="inlineStr">
        <is>
          <t>count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CAP-00226</t>
        </is>
      </c>
      <c r="B32" s="27" t="inlineStr">
        <is>
          <t>Boise branch expansion business case</t>
        </is>
      </c>
      <c r="C32" s="27" t="inlineStr">
        <is>
          <t>Boise operating case</t>
        </is>
      </c>
      <c r="D32" s="27" t="inlineStr">
        <is>
          <t>Boise branch</t>
        </is>
      </c>
      <c r="E32" s="27" t="inlineStr">
        <is>
          <t>Year 5</t>
        </is>
      </c>
      <c r="F32" s="27" t="inlineStr">
        <is>
          <t>Management stretch</t>
        </is>
      </c>
      <c r="G32" s="27" t="inlineStr">
        <is>
          <t>Productive technicians</t>
        </is>
      </c>
      <c r="H32" s="46" t="n">
        <v>19.95</v>
      </c>
      <c r="I32" s="27" t="inlineStr"/>
      <c r="J32" s="27" t="inlineStr">
        <is>
          <t>count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CAP-00240</t>
        </is>
      </c>
      <c r="B33" s="27" t="inlineStr">
        <is>
          <t>Fleet replacement financing alternative</t>
        </is>
      </c>
      <c r="C33" s="27" t="inlineStr">
        <is>
          <t>Fleet financing terms</t>
        </is>
      </c>
      <c r="D33" s="27" t="inlineStr">
        <is>
          <t>FY27 fleet tranche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Fleet cash price</t>
        </is>
      </c>
      <c r="H33" s="46" t="n">
        <v>2966400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CAP-00241</t>
        </is>
      </c>
      <c r="B34" s="27" t="inlineStr">
        <is>
          <t>Fleet replacement financing alternative</t>
        </is>
      </c>
      <c r="C34" s="27" t="inlineStr">
        <is>
          <t>Fleet financing terms</t>
        </is>
      </c>
      <c r="D34" s="27" t="inlineStr">
        <is>
          <t>FY27 fleet tranche</t>
        </is>
      </c>
      <c r="E34" s="27" t="inlineStr">
        <is>
          <t>2026-07-01</t>
        </is>
      </c>
      <c r="F34" s="27" t="inlineStr">
        <is>
          <t>Management stretch</t>
        </is>
      </c>
      <c r="G34" s="27" t="inlineStr">
        <is>
          <t>Loan principal</t>
        </is>
      </c>
      <c r="H34" s="46" t="n">
        <v>2620800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CAP-00242</t>
        </is>
      </c>
      <c r="B35" s="27" t="inlineStr">
        <is>
          <t>Fleet replacement financing alternative</t>
        </is>
      </c>
      <c r="C35" s="27" t="inlineStr">
        <is>
          <t>Fleet financing terms</t>
        </is>
      </c>
      <c r="D35" s="27" t="inlineStr">
        <is>
          <t>FY27 fleet tranche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Tax rate</t>
        </is>
      </c>
      <c r="H35" s="46" t="n">
        <v>0.252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CAP-00243</t>
        </is>
      </c>
      <c r="B36" s="27" t="inlineStr">
        <is>
          <t>Fleet replacement financing alternative</t>
        </is>
      </c>
      <c r="C36" s="27" t="inlineStr">
        <is>
          <t>Fleet financing terms</t>
        </is>
      </c>
      <c r="D36" s="27" t="inlineStr">
        <is>
          <t>FY27 fleet tranche</t>
        </is>
      </c>
      <c r="E36" s="27" t="inlineStr">
        <is>
          <t>2026-07-01</t>
        </is>
      </c>
      <c r="F36" s="27" t="inlineStr">
        <is>
          <t>Management stretch</t>
        </is>
      </c>
      <c r="G36" s="27" t="inlineStr">
        <is>
          <t>Loan annual rate</t>
        </is>
      </c>
      <c r="H36" s="46" t="n">
        <v>0.069525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CAP-00244</t>
        </is>
      </c>
      <c r="B37" s="27" t="inlineStr">
        <is>
          <t>Fleet replacement financing alternative</t>
        </is>
      </c>
      <c r="C37" s="27" t="inlineStr">
        <is>
          <t>Fleet financing terms</t>
        </is>
      </c>
      <c r="D37" s="27" t="inlineStr">
        <is>
          <t>FY27 fleet tranche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Discount rate</t>
        </is>
      </c>
      <c r="H37" s="46" t="n">
        <v>0.078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CAP-00245</t>
        </is>
      </c>
      <c r="B38" s="27" t="inlineStr">
        <is>
          <t>Fleet replacement financing alternative</t>
        </is>
      </c>
      <c r="C38" s="27" t="inlineStr">
        <is>
          <t>Fleet financing terms</t>
        </is>
      </c>
      <c r="D38" s="27" t="inlineStr">
        <is>
          <t>FY27 fleet tranche</t>
        </is>
      </c>
      <c r="E38" s="27" t="inlineStr">
        <is>
          <t>2026-07-01</t>
        </is>
      </c>
      <c r="F38" s="27" t="inlineStr">
        <is>
          <t>Management stretch</t>
        </is>
      </c>
      <c r="G38" s="27" t="inlineStr">
        <is>
          <t>Loan term months</t>
        </is>
      </c>
      <c r="H38" s="46" t="n">
        <v>63</v>
      </c>
      <c r="I38" s="27" t="inlineStr"/>
      <c r="J38" s="27" t="inlineStr">
        <is>
          <t>count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CAP-00246</t>
        </is>
      </c>
      <c r="B39" s="27" t="inlineStr">
        <is>
          <t>Fleet replacement financing alternative</t>
        </is>
      </c>
      <c r="C39" s="27" t="inlineStr">
        <is>
          <t>Fleet financing terms</t>
        </is>
      </c>
      <c r="D39" s="27" t="inlineStr">
        <is>
          <t>FY27 fleet tranche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Five-year resale value</t>
        </is>
      </c>
      <c r="H39" s="46" t="n">
        <v>865.2</v>
      </c>
      <c r="I39" s="27" t="inlineStr"/>
      <c r="J39" s="27" t="inlineStr">
        <is>
          <t>USD thousands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CAP-00247</t>
        </is>
      </c>
      <c r="B40" s="27" t="inlineStr">
        <is>
          <t>Fleet replacement financing alternative</t>
        </is>
      </c>
      <c r="C40" s="27" t="inlineStr">
        <is>
          <t>Fleet financing terms</t>
        </is>
      </c>
      <c r="D40" s="27" t="inlineStr">
        <is>
          <t>FY27 fleet tranche</t>
        </is>
      </c>
      <c r="E40" s="27" t="inlineStr">
        <is>
          <t>2026-07-01</t>
        </is>
      </c>
      <c r="F40" s="27" t="inlineStr">
        <is>
          <t>Management stretch</t>
        </is>
      </c>
      <c r="G40" s="27" t="inlineStr">
        <is>
          <t>Loan origination fee</t>
        </is>
      </c>
      <c r="H40" s="46" t="n">
        <v>39520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CAP-00248</t>
        </is>
      </c>
      <c r="B41" s="27" t="inlineStr">
        <is>
          <t>Fleet replacement financing alternative</t>
        </is>
      </c>
      <c r="C41" s="27" t="inlineStr">
        <is>
          <t>Fleet financing terms</t>
        </is>
      </c>
      <c r="D41" s="27" t="inlineStr">
        <is>
          <t>FY27 fleet tranche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Annual purchase maintenance</t>
        </is>
      </c>
      <c r="H41" s="46" t="n">
        <v>173250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CAP-00249</t>
        </is>
      </c>
      <c r="B42" s="27" t="inlineStr">
        <is>
          <t>Fleet replacement financing alternative</t>
        </is>
      </c>
      <c r="C42" s="27" t="inlineStr">
        <is>
          <t>Fleet financing terms</t>
        </is>
      </c>
      <c r="D42" s="27" t="inlineStr">
        <is>
          <t>FY27 fleet tranche</t>
        </is>
      </c>
      <c r="E42" s="27" t="inlineStr">
        <is>
          <t>2026-07-01</t>
        </is>
      </c>
      <c r="F42" s="27" t="inlineStr">
        <is>
          <t>Management stretch</t>
        </is>
      </c>
      <c r="G42" s="27" t="inlineStr">
        <is>
          <t>Monthly operating lease payment</t>
        </is>
      </c>
      <c r="H42" s="46" t="n">
        <v>54178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</sheetData>
  <autoFilter ref="A4:M42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Long Range Plan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CAP-00374</t>
        </is>
      </c>
      <c r="B5" s="27" t="inlineStr">
        <is>
          <t>Create the five-year long-range plan</t>
        </is>
      </c>
      <c r="C5" s="27" t="inlineStr">
        <is>
          <t>LRP scenario drivers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Base</t>
        </is>
      </c>
      <c r="G5" s="27" t="inlineStr">
        <is>
          <t>Revenue growth</t>
        </is>
      </c>
      <c r="H5" s="46" t="n">
        <v>0.07725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CAP-00375</t>
        </is>
      </c>
      <c r="B6" s="27" t="inlineStr">
        <is>
          <t>Create the five-year long-range plan</t>
        </is>
      </c>
      <c r="C6" s="27" t="inlineStr">
        <is>
          <t>LRP scenario drivers</t>
        </is>
      </c>
      <c r="D6" s="27" t="inlineStr">
        <is>
          <t>Consolidated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Minimum cash</t>
        </is>
      </c>
      <c r="H6" s="46" t="n">
        <v>2340000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CAP-00376</t>
        </is>
      </c>
      <c r="B7" s="27" t="inlineStr">
        <is>
          <t>Create the five-year long-range plan</t>
        </is>
      </c>
      <c r="C7" s="27" t="inlineStr">
        <is>
          <t>LRP scenario drivers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Base</t>
        </is>
      </c>
      <c r="G7" s="27" t="inlineStr">
        <is>
          <t>Scheduled debt repayment</t>
        </is>
      </c>
      <c r="H7" s="46" t="n">
        <v>420000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CAP-00377</t>
        </is>
      </c>
      <c r="B8" s="27" t="inlineStr">
        <is>
          <t>Create the five-year long-range plan</t>
        </is>
      </c>
      <c r="C8" s="27" t="inlineStr">
        <is>
          <t>LRP scenario drivers</t>
        </is>
      </c>
      <c r="D8" s="27" t="inlineStr">
        <is>
          <t>Consolidated</t>
        </is>
      </c>
      <c r="E8" s="27" t="inlineStr">
        <is>
          <t>FY29</t>
        </is>
      </c>
      <c r="F8" s="27" t="inlineStr">
        <is>
          <t>Management stretch</t>
        </is>
      </c>
      <c r="G8" s="27" t="inlineStr">
        <is>
          <t>Capital expenditure</t>
        </is>
      </c>
      <c r="H8" s="46" t="n">
        <v>3059.6356</v>
      </c>
      <c r="I8" s="27" t="inlineStr"/>
      <c r="J8" s="27" t="inlineStr">
        <is>
          <t>USD thousands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CAP-00378</t>
        </is>
      </c>
      <c r="B9" s="27" t="inlineStr">
        <is>
          <t>Create the five-year long-range plan</t>
        </is>
      </c>
      <c r="C9" s="27" t="inlineStr">
        <is>
          <t>LRP scenario drivers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Base</t>
        </is>
      </c>
      <c r="G9" s="27" t="inlineStr">
        <is>
          <t>Cash tax rate</t>
        </is>
      </c>
      <c r="H9" s="46" t="n">
        <v>0.2496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CAP-00379</t>
        </is>
      </c>
      <c r="B10" s="27" t="inlineStr">
        <is>
          <t>Create the five-year long-range plan</t>
        </is>
      </c>
      <c r="C10" s="27" t="inlineStr">
        <is>
          <t>LRP scenario drivers</t>
        </is>
      </c>
      <c r="D10" s="27" t="inlineStr">
        <is>
          <t>Consolidated</t>
        </is>
      </c>
      <c r="E10" s="27" t="inlineStr">
        <is>
          <t>FY31</t>
        </is>
      </c>
      <c r="F10" s="27" t="inlineStr">
        <is>
          <t>Management stretch</t>
        </is>
      </c>
      <c r="G10" s="27" t="inlineStr">
        <is>
          <t>Working capital investment percent of revenue growth</t>
        </is>
      </c>
      <c r="H10" s="46" t="n">
        <v>0.0231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CAP-00380</t>
        </is>
      </c>
      <c r="B11" s="27" t="inlineStr">
        <is>
          <t>Create the five-year long-range plan</t>
        </is>
      </c>
      <c r="C11" s="27" t="inlineStr">
        <is>
          <t>LRP scenario drivers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Downside</t>
        </is>
      </c>
      <c r="G11" s="27" t="inlineStr">
        <is>
          <t>Fixed opex growth</t>
        </is>
      </c>
      <c r="H11" s="46" t="n">
        <v>0.02575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CAP-00381</t>
        </is>
      </c>
      <c r="B12" s="27" t="inlineStr">
        <is>
          <t>Create the five-year long-range plan</t>
        </is>
      </c>
      <c r="C12" s="27" t="inlineStr">
        <is>
          <t>LRP scenario drivers</t>
        </is>
      </c>
      <c r="D12" s="27" t="inlineStr">
        <is>
          <t>Consolidated</t>
        </is>
      </c>
      <c r="E12" s="27" t="inlineStr">
        <is>
          <t>FY28</t>
        </is>
      </c>
      <c r="F12" s="27" t="inlineStr">
        <is>
          <t>Management stretch</t>
        </is>
      </c>
      <c r="G12" s="27" t="inlineStr">
        <is>
          <t>Gross margin</t>
        </is>
      </c>
      <c r="H12" s="46" t="n">
        <v>0.27872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CAP-00382</t>
        </is>
      </c>
      <c r="B13" s="27" t="inlineStr">
        <is>
          <t>Create the five-year long-range plan</t>
        </is>
      </c>
      <c r="C13" s="27" t="inlineStr">
        <is>
          <t>LRP scenario drivers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Downside</t>
        </is>
      </c>
      <c r="G13" s="27" t="inlineStr">
        <is>
          <t>Revenue growth</t>
        </is>
      </c>
      <c r="H13" s="46" t="n">
        <v>0.00735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CAP-00383</t>
        </is>
      </c>
      <c r="B14" s="27" t="inlineStr">
        <is>
          <t>Create the five-year long-range plan</t>
        </is>
      </c>
      <c r="C14" s="27" t="inlineStr">
        <is>
          <t>LRP scenario drivers</t>
        </is>
      </c>
      <c r="D14" s="27" t="inlineStr">
        <is>
          <t>Consolidated</t>
        </is>
      </c>
      <c r="E14" s="27" t="inlineStr">
        <is>
          <t>FY29</t>
        </is>
      </c>
      <c r="F14" s="27" t="inlineStr">
        <is>
          <t>Management stretch</t>
        </is>
      </c>
      <c r="G14" s="27" t="inlineStr">
        <is>
          <t>Minimum cash</t>
        </is>
      </c>
      <c r="H14" s="46" t="n">
        <v>2317500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CAP-00384</t>
        </is>
      </c>
      <c r="B15" s="27" t="inlineStr">
        <is>
          <t>Create the five-year long-range plan</t>
        </is>
      </c>
      <c r="C15" s="27" t="inlineStr">
        <is>
          <t>LRP scenario drivers</t>
        </is>
      </c>
      <c r="D15" s="27" t="inlineStr">
        <is>
          <t>Consolidated</t>
        </is>
      </c>
      <c r="E15" s="27" t="inlineStr">
        <is>
          <t>2026-05 working copy</t>
        </is>
      </c>
      <c r="F15" s="27" t="inlineStr">
        <is>
          <t>Downside</t>
        </is>
      </c>
      <c r="G15" s="27" t="inlineStr">
        <is>
          <t>Scheduled debt repayment</t>
        </is>
      </c>
      <c r="H15" s="46" t="n">
        <v>520000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CAP-00385</t>
        </is>
      </c>
      <c r="B16" s="27" t="inlineStr">
        <is>
          <t>Create the five-year long-range plan</t>
        </is>
      </c>
      <c r="C16" s="27" t="inlineStr">
        <is>
          <t>LRP scenario drivers</t>
        </is>
      </c>
      <c r="D16" s="27" t="inlineStr">
        <is>
          <t>Consolidated</t>
        </is>
      </c>
      <c r="E16" s="27" t="inlineStr">
        <is>
          <t>FY31</t>
        </is>
      </c>
      <c r="F16" s="27" t="inlineStr">
        <is>
          <t>Management stretch</t>
        </is>
      </c>
      <c r="G16" s="27" t="inlineStr">
        <is>
          <t>Capital expenditure</t>
        </is>
      </c>
      <c r="H16" s="46" t="n">
        <v>2481.74692605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CAP-00386</t>
        </is>
      </c>
      <c r="B17" s="27" t="inlineStr">
        <is>
          <t>Create the five-year long-range plan</t>
        </is>
      </c>
      <c r="C17" s="27" t="inlineStr">
        <is>
          <t>LRP scenario drivers</t>
        </is>
      </c>
      <c r="D17" s="27" t="inlineStr">
        <is>
          <t>Consolidated</t>
        </is>
      </c>
      <c r="E17" s="27" t="inlineStr">
        <is>
          <t>2026-05 working copy</t>
        </is>
      </c>
      <c r="F17" s="27" t="inlineStr">
        <is>
          <t>Upside</t>
        </is>
      </c>
      <c r="G17" s="27" t="inlineStr">
        <is>
          <t>Cash tax rate</t>
        </is>
      </c>
      <c r="H17" s="46" t="n">
        <v>0.2575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CAP-00387</t>
        </is>
      </c>
      <c r="B18" s="27" t="inlineStr">
        <is>
          <t>Create the five-year long-range plan</t>
        </is>
      </c>
      <c r="C18" s="27" t="inlineStr">
        <is>
          <t>LRP scenario drivers</t>
        </is>
      </c>
      <c r="D18" s="27" t="inlineStr">
        <is>
          <t>Consolidated</t>
        </is>
      </c>
      <c r="E18" s="27" t="inlineStr">
        <is>
          <t>FY28</t>
        </is>
      </c>
      <c r="F18" s="27" t="inlineStr">
        <is>
          <t>Management stretch</t>
        </is>
      </c>
      <c r="G18" s="27" t="inlineStr">
        <is>
          <t>Working capital investment percent of revenue growth</t>
        </is>
      </c>
      <c r="H18" s="46" t="n">
        <v>0.02912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CAP-00388</t>
        </is>
      </c>
      <c r="B19" s="27" t="inlineStr">
        <is>
          <t>Create the five-year long-range plan</t>
        </is>
      </c>
      <c r="C19" s="27" t="inlineStr">
        <is>
          <t>LRP scenario drivers</t>
        </is>
      </c>
      <c r="D19" s="27" t="inlineStr">
        <is>
          <t>Consolidated</t>
        </is>
      </c>
      <c r="E19" s="27" t="inlineStr">
        <is>
          <t>2026-05 working copy</t>
        </is>
      </c>
      <c r="F19" s="27" t="inlineStr">
        <is>
          <t>Upside</t>
        </is>
      </c>
      <c r="G19" s="27" t="inlineStr">
        <is>
          <t>Fixed opex growth</t>
        </is>
      </c>
      <c r="H19" s="46" t="n">
        <v>0.05775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CAP-00389</t>
        </is>
      </c>
      <c r="B20" s="27" t="inlineStr">
        <is>
          <t>Create the five-year long-range plan</t>
        </is>
      </c>
      <c r="C20" s="27" t="inlineStr">
        <is>
          <t>LRP scenario drivers</t>
        </is>
      </c>
      <c r="D20" s="27" t="inlineStr">
        <is>
          <t>Consolidated</t>
        </is>
      </c>
      <c r="E20" s="27" t="inlineStr">
        <is>
          <t>FY30</t>
        </is>
      </c>
      <c r="F20" s="27" t="inlineStr">
        <is>
          <t>Management stretch</t>
        </is>
      </c>
      <c r="G20" s="27" t="inlineStr">
        <is>
          <t>Gross margin</t>
        </is>
      </c>
      <c r="H20" s="46" t="n">
        <v>0.34402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</sheetData>
  <autoFilter ref="A4:M20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Capital Capacity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CAP-00405</t>
        </is>
      </c>
      <c r="B5" s="27" t="inlineStr">
        <is>
          <t>Shareholder distribution capacity</t>
        </is>
      </c>
      <c r="C5" s="27" t="inlineStr">
        <is>
          <t>Distribution constraints</t>
        </is>
      </c>
      <c r="D5" s="27" t="inlineStr">
        <is>
          <t>Policy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FY27 operating cash generation before funded capex and debt amortization</t>
        </is>
      </c>
      <c r="H5" s="46" t="n">
        <v>5091.7012275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CAP-00406</t>
        </is>
      </c>
      <c r="B6" s="27" t="inlineStr">
        <is>
          <t>Shareholder distribution capacity</t>
        </is>
      </c>
      <c r="C6" s="27" t="inlineStr">
        <is>
          <t>Distribution constraints</t>
        </is>
      </c>
      <c r="D6" s="27" t="inlineStr">
        <is>
          <t>Policy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Base fixed charges before shareholder distributions</t>
        </is>
      </c>
      <c r="H6" s="46" t="n">
        <v>4212000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CAP-00407</t>
        </is>
      </c>
      <c r="B7" s="27" t="inlineStr">
        <is>
          <t>Shareholder distribution capacity</t>
        </is>
      </c>
      <c r="C7" s="27" t="inlineStr">
        <is>
          <t>Distribution constraints</t>
        </is>
      </c>
      <c r="D7" s="27" t="inlineStr">
        <is>
          <t>Policy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FY27 funded capital expenditure</t>
        </is>
      </c>
      <c r="H7" s="46" t="n">
        <v>2940000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CAP-00408</t>
        </is>
      </c>
      <c r="B8" s="27" t="inlineStr">
        <is>
          <t>Shareholder distribution capacity</t>
        </is>
      </c>
      <c r="C8" s="27" t="inlineStr">
        <is>
          <t>Distribution constraints</t>
        </is>
      </c>
      <c r="D8" s="27" t="inlineStr">
        <is>
          <t>Policy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Minimum FCCR</t>
        </is>
      </c>
      <c r="H8" s="46" t="n">
        <v>1.3905</v>
      </c>
      <c r="I8" s="27" t="inlineStr"/>
      <c r="J8" s="27" t="inlineStr">
        <is>
          <t>multiple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CAP-00409</t>
        </is>
      </c>
      <c r="B9" s="27" t="inlineStr">
        <is>
          <t>Shareholder distribution capacity</t>
        </is>
      </c>
      <c r="C9" s="27" t="inlineStr">
        <is>
          <t>Distribution constraints</t>
        </is>
      </c>
      <c r="D9" s="27" t="inlineStr">
        <is>
          <t>Policy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FY27 required debt amortization</t>
        </is>
      </c>
      <c r="H9" s="46" t="n">
        <v>364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CAP-00410</t>
        </is>
      </c>
      <c r="B10" s="27" t="inlineStr">
        <is>
          <t>Shareholder distribution capacity</t>
        </is>
      </c>
      <c r="C10" s="27" t="inlineStr">
        <is>
          <t>Distribution constraints</t>
        </is>
      </c>
      <c r="D10" s="27" t="inlineStr">
        <is>
          <t>Policy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Tangible net worth</t>
        </is>
      </c>
      <c r="H10" s="46" t="n">
        <v>23730000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CAP-00411</t>
        </is>
      </c>
      <c r="B11" s="27" t="inlineStr">
        <is>
          <t>Shareholder distribution capacity</t>
        </is>
      </c>
      <c r="C11" s="27" t="inlineStr">
        <is>
          <t>Distribution constraints</t>
        </is>
      </c>
      <c r="D11" s="27" t="inlineStr">
        <is>
          <t>Policy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Minimum operating cash</t>
        </is>
      </c>
      <c r="H11" s="46" t="n">
        <v>2317500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CAP-00412</t>
        </is>
      </c>
      <c r="B12" s="27" t="inlineStr">
        <is>
          <t>Shareholder distribution capacity</t>
        </is>
      </c>
      <c r="C12" s="27" t="inlineStr">
        <is>
          <t>Distribution constraints</t>
        </is>
      </c>
      <c r="D12" s="27" t="inlineStr">
        <is>
          <t>Policy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Minimum tangible net worth</t>
        </is>
      </c>
      <c r="H12" s="46" t="n">
        <v>19240000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CAP-00415</t>
        </is>
      </c>
      <c r="B13" s="27" t="inlineStr">
        <is>
          <t>Create the FY27 strategic capital-allocation memorandum</t>
        </is>
      </c>
      <c r="C13" s="27" t="inlineStr">
        <is>
          <t>Capital capacity</t>
        </is>
      </c>
      <c r="D13" s="27" t="inlineStr">
        <is>
          <t>Alder Ridge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Superseded planning debt placeholder</t>
        </is>
      </c>
      <c r="H13" s="46" t="n">
        <v>8500000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CAP-00446</t>
        </is>
      </c>
      <c r="B14" s="27" t="inlineStr">
        <is>
          <t>Create the FY27 strategic capital-allocation memorandum</t>
        </is>
      </c>
      <c r="C14" s="27" t="inlineStr">
        <is>
          <t>Capital capacity</t>
        </is>
      </c>
      <c r="D14" s="27" t="inlineStr">
        <is>
          <t>Alder Ridge</t>
        </is>
      </c>
      <c r="E14" s="27" t="inlineStr">
        <is>
          <t>2026-05 working copy</t>
        </is>
      </c>
      <c r="F14" s="27" t="inlineStr">
        <is>
          <t>Approved case</t>
        </is>
      </c>
      <c r="G14" s="27" t="inlineStr">
        <is>
          <t>Superseded planning debt placeholder</t>
        </is>
      </c>
      <c r="H14" s="46" t="n">
        <v>8755000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CAP-00447</t>
        </is>
      </c>
      <c r="B15" s="27" t="inlineStr">
        <is>
          <t>Create the FY27 strategic capital-allocation memorandum</t>
        </is>
      </c>
      <c r="C15" s="27" t="inlineStr">
        <is>
          <t>Capital capacity</t>
        </is>
      </c>
      <c r="D15" s="27" t="inlineStr">
        <is>
          <t>Alder Ridge</t>
        </is>
      </c>
      <c r="E15" s="27" t="inlineStr">
        <is>
          <t>FY27</t>
        </is>
      </c>
      <c r="F15" s="27" t="inlineStr">
        <is>
          <t>Management stretch</t>
        </is>
      </c>
      <c r="G15" s="27" t="inlineStr">
        <is>
          <t>Maximum policy leverage</t>
        </is>
      </c>
      <c r="H15" s="46" t="n">
        <v>2.86</v>
      </c>
      <c r="I15" s="27" t="inlineStr"/>
      <c r="J15" s="27" t="inlineStr">
        <is>
          <t>multiple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CAP-00448</t>
        </is>
      </c>
      <c r="B16" s="27" t="inlineStr">
        <is>
          <t>Create the FY27 strategic capital-allocation memorandum</t>
        </is>
      </c>
      <c r="C16" s="27" t="inlineStr">
        <is>
          <t>Alternative uses</t>
        </is>
      </c>
      <c r="D16" s="27" t="inlineStr">
        <is>
          <t>Debt reduction</t>
        </is>
      </c>
      <c r="E16" s="27" t="inlineStr">
        <is>
          <t>2026-05 working copy</t>
        </is>
      </c>
      <c r="F16" s="27" t="inlineStr">
        <is>
          <t>Approved case</t>
        </is>
      </c>
      <c r="G16" s="27" t="inlineStr">
        <is>
          <t>Proposed allocation</t>
        </is>
      </c>
      <c r="H16" s="46" t="n">
        <v>4200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CAP-00449</t>
        </is>
      </c>
      <c r="B17" s="27" t="inlineStr">
        <is>
          <t>Create the FY27 strategic capital-allocation memorandum</t>
        </is>
      </c>
      <c r="C17" s="27" t="inlineStr">
        <is>
          <t>Alternative uses</t>
        </is>
      </c>
      <c r="D17" s="27" t="inlineStr">
        <is>
          <t>Shareholder distribution</t>
        </is>
      </c>
      <c r="E17" s="27" t="inlineStr">
        <is>
          <t>FY27</t>
        </is>
      </c>
      <c r="F17" s="27" t="inlineStr">
        <is>
          <t>Management stretch</t>
        </is>
      </c>
      <c r="G17" s="27" t="inlineStr">
        <is>
          <t>Estimated value creation</t>
        </is>
      </c>
      <c r="H17" s="46" t="n">
        <v>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CAP-00450</t>
        </is>
      </c>
      <c r="B18" s="27" t="inlineStr">
        <is>
          <t>Create the FY27 strategic capital-allocation memorandum</t>
        </is>
      </c>
      <c r="C18" s="27" t="inlineStr">
        <is>
          <t>Capital capacity</t>
        </is>
      </c>
      <c r="D18" s="27" t="inlineStr">
        <is>
          <t>Alder Ridge</t>
        </is>
      </c>
      <c r="E18" s="27" t="inlineStr">
        <is>
          <t>2026-05 working copy</t>
        </is>
      </c>
      <c r="F18" s="27" t="inlineStr">
        <is>
          <t>Approved case</t>
        </is>
      </c>
      <c r="G18" s="27" t="inlineStr">
        <is>
          <t>Minimum ending cash</t>
        </is>
      </c>
      <c r="H18" s="46" t="n">
        <v>2340000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CAP-00451</t>
        </is>
      </c>
      <c r="B19" s="27" t="inlineStr">
        <is>
          <t>Create the FY27 strategic capital-allocation memorandum</t>
        </is>
      </c>
      <c r="C19" s="27" t="inlineStr">
        <is>
          <t>Alternative uses</t>
        </is>
      </c>
      <c r="D19" s="27" t="inlineStr">
        <is>
          <t>Maintenance capex</t>
        </is>
      </c>
      <c r="E19" s="27" t="inlineStr">
        <is>
          <t>FY27</t>
        </is>
      </c>
      <c r="F19" s="27" t="inlineStr">
        <is>
          <t>Management stretch</t>
        </is>
      </c>
      <c r="G19" s="27" t="inlineStr">
        <is>
          <t>Estimated value creation</t>
        </is>
      </c>
      <c r="H19" s="46" t="n">
        <v>1260000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CAP-00452</t>
        </is>
      </c>
      <c r="B20" s="27" t="inlineStr">
        <is>
          <t>Create the FY27 strategic capital-allocation memorandum</t>
        </is>
      </c>
      <c r="C20" s="27" t="inlineStr">
        <is>
          <t>Alternative uses</t>
        </is>
      </c>
      <c r="D20" s="27" t="inlineStr">
        <is>
          <t>Debt reduction</t>
        </is>
      </c>
      <c r="E20" s="27" t="inlineStr">
        <is>
          <t>2026-05 working copy</t>
        </is>
      </c>
      <c r="F20" s="27" t="inlineStr">
        <is>
          <t>Approved case</t>
        </is>
      </c>
      <c r="G20" s="27" t="inlineStr">
        <is>
          <t>Priority</t>
        </is>
      </c>
      <c r="H20" s="46" t="n">
        <v>3.09</v>
      </c>
      <c r="I20" s="27" t="inlineStr"/>
      <c r="J20" s="27" t="inlineStr">
        <is>
          <t>count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CAP-00453</t>
        </is>
      </c>
      <c r="B21" s="27" t="inlineStr">
        <is>
          <t>Create the FY27 strategic capital-allocation memorandum</t>
        </is>
      </c>
      <c r="C21" s="27" t="inlineStr">
        <is>
          <t>Risk cases</t>
        </is>
      </c>
      <c r="D21" s="27" t="inlineStr">
        <is>
          <t>Alder Ridge</t>
        </is>
      </c>
      <c r="E21" s="27" t="inlineStr">
        <is>
          <t>Base</t>
        </is>
      </c>
      <c r="F21" s="27" t="inlineStr">
        <is>
          <t>Management stretch</t>
        </is>
      </c>
      <c r="G21" s="27" t="inlineStr">
        <is>
          <t>Ending cash before mitigation</t>
        </is>
      </c>
      <c r="H21" s="46" t="n">
        <v>3224000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CAP-00454</t>
        </is>
      </c>
      <c r="B22" s="27" t="inlineStr">
        <is>
          <t>Create the FY27 strategic capital-allocation memorandum</t>
        </is>
      </c>
      <c r="C22" s="27" t="inlineStr">
        <is>
          <t>Capital capacity</t>
        </is>
      </c>
      <c r="D22" s="27" t="inlineStr">
        <is>
          <t>Alder Ridge</t>
        </is>
      </c>
      <c r="E22" s="27" t="inlineStr">
        <is>
          <t>2026-05 working copy</t>
        </is>
      </c>
      <c r="F22" s="27" t="inlineStr">
        <is>
          <t>Approved case</t>
        </is>
      </c>
      <c r="G22" s="27" t="inlineStr">
        <is>
          <t>Revolver headroom usable for growth</t>
        </is>
      </c>
      <c r="H22" s="46" t="n">
        <v>3150000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CAP-00455</t>
        </is>
      </c>
      <c r="B23" s="27" t="inlineStr">
        <is>
          <t>Create the FY27 strategic capital-allocation memorandum</t>
        </is>
      </c>
      <c r="C23" s="27" t="inlineStr">
        <is>
          <t>Alternative uses</t>
        </is>
      </c>
      <c r="D23" s="27" t="inlineStr">
        <is>
          <t>Growth capex</t>
        </is>
      </c>
      <c r="E23" s="27" t="inlineStr">
        <is>
          <t>FY27</t>
        </is>
      </c>
      <c r="F23" s="27" t="inlineStr">
        <is>
          <t>Management stretch</t>
        </is>
      </c>
      <c r="G23" s="27" t="inlineStr">
        <is>
          <t>Proposed allocation</t>
        </is>
      </c>
      <c r="H23" s="46" t="n">
        <v>3605000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CAP-00477</t>
        </is>
      </c>
      <c r="B24" s="27" t="inlineStr">
        <is>
          <t>Repurchase-versus-debt-paydown decision</t>
        </is>
      </c>
      <c r="C24" s="27" t="inlineStr">
        <is>
          <t>Capital return policy</t>
        </is>
      </c>
      <c r="D24" s="27" t="inlineStr">
        <is>
          <t>Alder Ridge</t>
        </is>
      </c>
      <c r="E24" s="27" t="inlineStr">
        <is>
          <t>2026-05 working copy</t>
        </is>
      </c>
      <c r="F24" s="27" t="inlineStr">
        <is>
          <t>Approved case</t>
        </is>
      </c>
      <c r="G24" s="27" t="inlineStr">
        <is>
          <t>Excess deployable cash</t>
        </is>
      </c>
      <c r="H24" s="46" t="n">
        <v>4326000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CAP-00478</t>
        </is>
      </c>
      <c r="B25" s="27" t="inlineStr">
        <is>
          <t>Repurchase-versus-debt-paydown decision</t>
        </is>
      </c>
      <c r="C25" s="27" t="inlineStr">
        <is>
          <t>Capital return policy</t>
        </is>
      </c>
      <c r="D25" s="27" t="inlineStr">
        <is>
          <t>Alder Ridge</t>
        </is>
      </c>
      <c r="E25" s="27" t="inlineStr">
        <is>
          <t>FY27</t>
        </is>
      </c>
      <c r="F25" s="27" t="inlineStr">
        <is>
          <t>Management stretch</t>
        </is>
      </c>
      <c r="G25" s="27" t="inlineStr">
        <is>
          <t>Maximum repurchase percent of volume</t>
        </is>
      </c>
      <c r="H25" s="46" t="n">
        <v>0.004160000000000001</v>
      </c>
      <c r="I25" s="27" t="inlineStr"/>
      <c r="J25" s="27" t="inlineStr">
        <is>
          <t>decimal ratio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CAP-00479</t>
        </is>
      </c>
      <c r="B26" s="27" t="inlineStr">
        <is>
          <t>Repurchase-versus-debt-paydown decision</t>
        </is>
      </c>
      <c r="C26" s="27" t="inlineStr">
        <is>
          <t>Capital return alternatives</t>
        </is>
      </c>
      <c r="D26" s="27" t="inlineStr">
        <is>
          <t>Debt paydown</t>
        </is>
      </c>
      <c r="E26" s="27" t="inlineStr">
        <is>
          <t>2026-05 working copy</t>
        </is>
      </c>
      <c r="F26" s="27" t="inlineStr">
        <is>
          <t>Approved case</t>
        </is>
      </c>
      <c r="G26" s="27" t="inlineStr">
        <is>
          <t>Debt paydown</t>
        </is>
      </c>
      <c r="H26" s="46" t="n">
        <v>2100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CAP-00480</t>
        </is>
      </c>
      <c r="B27" s="27" t="inlineStr">
        <is>
          <t>Repurchase-versus-debt-paydown decision</t>
        </is>
      </c>
      <c r="C27" s="27" t="inlineStr">
        <is>
          <t>Capital return policy</t>
        </is>
      </c>
      <c r="D27" s="27" t="inlineStr">
        <is>
          <t>Alder Ridge</t>
        </is>
      </c>
      <c r="E27" s="27" t="inlineStr">
        <is>
          <t>FY27</t>
        </is>
      </c>
      <c r="F27" s="27" t="inlineStr">
        <is>
          <t>Management stretch</t>
        </is>
      </c>
      <c r="G27" s="27" t="inlineStr">
        <is>
          <t>Share price</t>
        </is>
      </c>
      <c r="H27" s="46" t="n">
        <v>19.3125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CAP-00481</t>
        </is>
      </c>
      <c r="B28" s="27" t="inlineStr">
        <is>
          <t>Repurchase-versus-debt-paydown decision</t>
        </is>
      </c>
      <c r="C28" s="27" t="inlineStr">
        <is>
          <t>Capital return policy</t>
        </is>
      </c>
      <c r="D28" s="27" t="inlineStr">
        <is>
          <t>Alder Ridge</t>
        </is>
      </c>
      <c r="E28" s="27" t="inlineStr">
        <is>
          <t>2026-05 working copy</t>
        </is>
      </c>
      <c r="F28" s="27" t="inlineStr">
        <is>
          <t>Approved case</t>
        </is>
      </c>
      <c r="G28" s="27" t="inlineStr">
        <is>
          <t>Expected annual trading volume</t>
        </is>
      </c>
      <c r="H28" s="46" t="n">
        <v>29120000</v>
      </c>
      <c r="I28" s="27" t="inlineStr"/>
      <c r="J28" s="27" t="inlineStr">
        <is>
          <t>shares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CAP-00482</t>
        </is>
      </c>
      <c r="B29" s="27" t="inlineStr">
        <is>
          <t>Repurchase-versus-debt-paydown decision</t>
        </is>
      </c>
      <c r="C29" s="27" t="inlineStr">
        <is>
          <t>Capital return alternatives</t>
        </is>
      </c>
      <c r="D29" s="27" t="inlineStr">
        <is>
          <t>Debt paydown</t>
        </is>
      </c>
      <c r="E29" s="27" t="inlineStr">
        <is>
          <t>FY27</t>
        </is>
      </c>
      <c r="F29" s="27" t="inlineStr">
        <is>
          <t>Management stretch</t>
        </is>
      </c>
      <c r="G29" s="27" t="inlineStr">
        <is>
          <t>Share repurchase</t>
        </is>
      </c>
      <c r="H29" s="46" t="n">
        <v>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CAP-00483</t>
        </is>
      </c>
      <c r="B30" s="27" t="inlineStr">
        <is>
          <t>Repurchase-versus-debt-paydown decision</t>
        </is>
      </c>
      <c r="C30" s="27" t="inlineStr">
        <is>
          <t>Capital return policy</t>
        </is>
      </c>
      <c r="D30" s="27" t="inlineStr">
        <is>
          <t>Alder Ridge</t>
        </is>
      </c>
      <c r="E30" s="27" t="inlineStr">
        <is>
          <t>2026-05 working copy</t>
        </is>
      </c>
      <c r="F30" s="27" t="inlineStr">
        <is>
          <t>Approved case</t>
        </is>
      </c>
      <c r="G30" s="27" t="inlineStr">
        <is>
          <t>Diluted shares</t>
        </is>
      </c>
      <c r="H30" s="46" t="n">
        <v>4635000</v>
      </c>
      <c r="I30" s="27" t="inlineStr"/>
      <c r="J30" s="27" t="inlineStr">
        <is>
          <t>shares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CAP-00484</t>
        </is>
      </c>
      <c r="B31" s="27" t="inlineStr">
        <is>
          <t>Repurchase-versus-debt-paydown decision</t>
        </is>
      </c>
      <c r="C31" s="27" t="inlineStr">
        <is>
          <t>Capital return policy</t>
        </is>
      </c>
      <c r="D31" s="27" t="inlineStr">
        <is>
          <t>Alder Ridge</t>
        </is>
      </c>
      <c r="E31" s="27" t="inlineStr">
        <is>
          <t>FY27</t>
        </is>
      </c>
      <c r="F31" s="27" t="inlineStr">
        <is>
          <t>Management stretch</t>
        </is>
      </c>
      <c r="G31" s="27" t="inlineStr">
        <is>
          <t>Minimum ending cash reserve</t>
        </is>
      </c>
      <c r="H31" s="46" t="n">
        <v>2340000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CAP-00485</t>
        </is>
      </c>
      <c r="B32" s="27" t="inlineStr">
        <is>
          <t>Repurchase-versus-debt-paydown decision</t>
        </is>
      </c>
      <c r="C32" s="27" t="inlineStr">
        <is>
          <t>Capital return alternatives</t>
        </is>
      </c>
      <c r="D32" s="27" t="inlineStr">
        <is>
          <t>Share repurchase</t>
        </is>
      </c>
      <c r="E32" s="27" t="inlineStr">
        <is>
          <t>2026-05 working copy</t>
        </is>
      </c>
      <c r="F32" s="27" t="inlineStr">
        <is>
          <t>Approved case</t>
        </is>
      </c>
      <c r="G32" s="27" t="inlineStr">
        <is>
          <t>Debt paydown</t>
        </is>
      </c>
      <c r="H32" s="46" t="n">
        <v>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CAP-00486</t>
        </is>
      </c>
      <c r="B33" s="27" t="inlineStr">
        <is>
          <t>Repurchase-versus-debt-paydown decision</t>
        </is>
      </c>
      <c r="C33" s="27" t="inlineStr">
        <is>
          <t>Capital return policy</t>
        </is>
      </c>
      <c r="D33" s="27" t="inlineStr">
        <is>
          <t>Alder Ridge</t>
        </is>
      </c>
      <c r="E33" s="27" t="inlineStr">
        <is>
          <t>FY27</t>
        </is>
      </c>
      <c r="F33" s="27" t="inlineStr">
        <is>
          <t>Management stretch</t>
        </is>
      </c>
      <c r="G33" s="27" t="inlineStr">
        <is>
          <t>Net income before allocation</t>
        </is>
      </c>
      <c r="H33" s="46" t="n">
        <v>8497500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CAP-00487</t>
        </is>
      </c>
      <c r="B34" s="27" t="inlineStr">
        <is>
          <t>Repurchase-versus-debt-paydown decision</t>
        </is>
      </c>
      <c r="C34" s="27" t="inlineStr">
        <is>
          <t>Capital return policy</t>
        </is>
      </c>
      <c r="D34" s="27" t="inlineStr">
        <is>
          <t>Alder Ridge</t>
        </is>
      </c>
      <c r="E34" s="27" t="inlineStr">
        <is>
          <t>2026-05 working copy</t>
        </is>
      </c>
      <c r="F34" s="27" t="inlineStr">
        <is>
          <t>Approved case</t>
        </is>
      </c>
      <c r="G34" s="27" t="inlineStr">
        <is>
          <t>Opening unrestricted cash</t>
        </is>
      </c>
      <c r="H34" s="46" t="n">
        <v>6708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CAP-00488</t>
        </is>
      </c>
      <c r="B35" s="27" t="inlineStr">
        <is>
          <t>Repurchase-versus-debt-paydown decision</t>
        </is>
      </c>
      <c r="C35" s="27" t="inlineStr">
        <is>
          <t>Capital return alternatives</t>
        </is>
      </c>
      <c r="D35" s="27" t="inlineStr">
        <is>
          <t>Share repurchase</t>
        </is>
      </c>
      <c r="E35" s="27" t="inlineStr">
        <is>
          <t>FY27</t>
        </is>
      </c>
      <c r="F35" s="27" t="inlineStr">
        <is>
          <t>Management stretch</t>
        </is>
      </c>
      <c r="G35" s="27" t="inlineStr">
        <is>
          <t>Share repurchase</t>
        </is>
      </c>
      <c r="H35" s="46" t="n">
        <v>2310000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CAP-00521</t>
        </is>
      </c>
      <c r="B36" s="27" t="inlineStr">
        <is>
          <t>Repurchase-versus-debt-paydown decision</t>
        </is>
      </c>
      <c r="C36" s="27" t="inlineStr">
        <is>
          <t>Two-year capital return cadence</t>
        </is>
      </c>
      <c r="D36" s="27" t="inlineStr">
        <is>
          <t>Accelerated deleveraging</t>
        </is>
      </c>
      <c r="E36" s="27" t="inlineStr">
        <is>
          <t>2026-05 working copy</t>
        </is>
      </c>
      <c r="F36" s="27" t="inlineStr">
        <is>
          <t>Approved case</t>
        </is>
      </c>
      <c r="G36" s="27" t="inlineStr">
        <is>
          <t>FY27 debt paydown</t>
        </is>
      </c>
      <c r="H36" s="46" t="n">
        <v>978500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CAP-00522</t>
        </is>
      </c>
      <c r="B37" s="27" t="inlineStr">
        <is>
          <t>Repurchase-versus-debt-paydown decision</t>
        </is>
      </c>
      <c r="C37" s="27" t="inlineStr">
        <is>
          <t>Two-year capital return cadence</t>
        </is>
      </c>
      <c r="D37" s="27" t="inlineStr">
        <is>
          <t>Front-loaded repurchase</t>
        </is>
      </c>
      <c r="E37" s="27" t="inlineStr">
        <is>
          <t>Plan</t>
        </is>
      </c>
      <c r="F37" s="27" t="inlineStr">
        <is>
          <t>Management stretch</t>
        </is>
      </c>
      <c r="G37" s="27" t="inlineStr">
        <is>
          <t>FY27 repurchase</t>
        </is>
      </c>
      <c r="H37" s="46" t="n">
        <v>1716000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CAP-00523</t>
        </is>
      </c>
      <c r="B38" s="27" t="inlineStr">
        <is>
          <t>Repurchase-versus-debt-paydown decision</t>
        </is>
      </c>
      <c r="C38" s="27" t="inlineStr">
        <is>
          <t>Two-year capital return cadence</t>
        </is>
      </c>
      <c r="D38" s="27" t="inlineStr">
        <is>
          <t>Balanced cadence</t>
        </is>
      </c>
      <c r="E38" s="27" t="inlineStr">
        <is>
          <t>2026-05 working copy</t>
        </is>
      </c>
      <c r="F38" s="27" t="inlineStr">
        <is>
          <t>Approved case</t>
        </is>
      </c>
      <c r="G38" s="27" t="inlineStr">
        <is>
          <t>FY27 dividend</t>
        </is>
      </c>
      <c r="H38" s="46" t="n">
        <v>157500</v>
      </c>
      <c r="I38" s="27" t="inlineStr"/>
      <c r="J38" s="27" t="inlineStr">
        <is>
          <t>USD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CAP-00524</t>
        </is>
      </c>
      <c r="B39" s="27" t="inlineStr">
        <is>
          <t>Repurchase-versus-debt-paydown decision</t>
        </is>
      </c>
      <c r="C39" s="27" t="inlineStr">
        <is>
          <t>Two-year capital return cadence</t>
        </is>
      </c>
      <c r="D39" s="27" t="inlineStr">
        <is>
          <t>Dividend and buyback</t>
        </is>
      </c>
      <c r="E39" s="27" t="inlineStr">
        <is>
          <t>Plan</t>
        </is>
      </c>
      <c r="F39" s="27" t="inlineStr">
        <is>
          <t>Management stretch</t>
        </is>
      </c>
      <c r="G39" s="27" t="inlineStr">
        <is>
          <t>FY28 debt paydown</t>
        </is>
      </c>
      <c r="H39" s="46" t="n">
        <v>309</v>
      </c>
      <c r="I39" s="27" t="inlineStr"/>
      <c r="J39" s="27" t="inlineStr">
        <is>
          <t>USD thousands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CAP-00525</t>
        </is>
      </c>
      <c r="B40" s="27" t="inlineStr">
        <is>
          <t>Repurchase-versus-debt-paydown decision</t>
        </is>
      </c>
      <c r="C40" s="27" t="inlineStr">
        <is>
          <t>Two-year capital return policy</t>
        </is>
      </c>
      <c r="D40" s="27" t="inlineStr">
        <is>
          <t>Alder Ridge</t>
        </is>
      </c>
      <c r="E40" s="27" t="inlineStr">
        <is>
          <t>2026-05 working copy</t>
        </is>
      </c>
      <c r="F40" s="27" t="inlineStr">
        <is>
          <t>Approved case</t>
        </is>
      </c>
      <c r="G40" s="27" t="inlineStr">
        <is>
          <t>FY28 trading volume growth</t>
        </is>
      </c>
      <c r="H40" s="46" t="n">
        <v>0.08320000000000001</v>
      </c>
      <c r="I40" s="27" t="inlineStr"/>
      <c r="J40" s="27" t="inlineStr">
        <is>
          <t>decimal ratio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CAP-00526</t>
        </is>
      </c>
      <c r="B41" s="27" t="inlineStr">
        <is>
          <t>Repurchase-versus-debt-paydown decision</t>
        </is>
      </c>
      <c r="C41" s="27" t="inlineStr">
        <is>
          <t>Two-year capital return cadence</t>
        </is>
      </c>
      <c r="D41" s="27" t="inlineStr">
        <is>
          <t>Accelerated deleveraging</t>
        </is>
      </c>
      <c r="E41" s="27" t="inlineStr">
        <is>
          <t>Plan</t>
        </is>
      </c>
      <c r="F41" s="27" t="inlineStr">
        <is>
          <t>Management stretch</t>
        </is>
      </c>
      <c r="G41" s="27" t="inlineStr">
        <is>
          <t>FY28 dividend</t>
        </is>
      </c>
      <c r="H41" s="46" t="n">
        <v>189000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CAP-099S037</t>
        </is>
      </c>
      <c r="B42" s="27" t="inlineStr">
        <is>
          <t>Repurchase-versus-debt-paydown decision</t>
        </is>
      </c>
      <c r="C42" s="27" t="inlineStr">
        <is>
          <t>Capital return execution protection register</t>
        </is>
      </c>
      <c r="D42" s="27" t="inlineStr">
        <is>
          <t>Staged repurchase authorization</t>
        </is>
      </c>
      <c r="E42" s="27" t="inlineStr">
        <is>
          <t>2026-05 working copy</t>
        </is>
      </c>
      <c r="F42" s="27" t="inlineStr">
        <is>
          <t>Approved case</t>
        </is>
      </c>
      <c r="G42" s="27" t="inlineStr">
        <is>
          <t>Cash cost</t>
        </is>
      </c>
      <c r="H42" s="46" t="n">
        <v>113300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CAP-099S038</t>
        </is>
      </c>
      <c r="B43" s="27" t="inlineStr">
        <is>
          <t>Repurchase-versus-debt-paydown decision</t>
        </is>
      </c>
      <c r="C43" s="27" t="inlineStr">
        <is>
          <t>Capital return execution protection register</t>
        </is>
      </c>
      <c r="D43" s="27" t="inlineStr">
        <is>
          <t>Optional debt sweep</t>
        </is>
      </c>
      <c r="E43" s="27" t="inlineStr">
        <is>
          <t>Management review</t>
        </is>
      </c>
      <c r="F43" s="27" t="inlineStr">
        <is>
          <t>Management stretch</t>
        </is>
      </c>
      <c r="G43" s="27" t="inlineStr">
        <is>
          <t>Capacity units</t>
        </is>
      </c>
      <c r="H43" s="46" t="n">
        <v>176.8</v>
      </c>
      <c r="I43" s="27" t="inlineStr"/>
      <c r="J43" s="27" t="inlineStr">
        <is>
          <t>treasury execution points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CAP-099S039</t>
        </is>
      </c>
      <c r="B44" s="27" t="inlineStr">
        <is>
          <t>Repurchase-versus-debt-paydown decision</t>
        </is>
      </c>
      <c r="C44" s="27" t="inlineStr">
        <is>
          <t>Capital return execution protection register</t>
        </is>
      </c>
      <c r="D44" s="27" t="inlineStr">
        <is>
          <t>Minimum-cash reserve lock</t>
        </is>
      </c>
      <c r="E44" s="27" t="inlineStr">
        <is>
          <t>2026-05 working copy</t>
        </is>
      </c>
      <c r="F44" s="27" t="inlineStr">
        <is>
          <t>Approved case</t>
        </is>
      </c>
      <c r="G44" s="27" t="inlineStr">
        <is>
          <t>Realization probability</t>
        </is>
      </c>
      <c r="H44" s="46" t="n">
        <v>0.987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CAP-099S040</t>
        </is>
      </c>
      <c r="B45" s="27" t="inlineStr">
        <is>
          <t>Repurchase-versus-debt-paydown decision</t>
        </is>
      </c>
      <c r="C45" s="27" t="inlineStr">
        <is>
          <t>Capital return execution protection register</t>
        </is>
      </c>
      <c r="D45" s="27" t="inlineStr">
        <is>
          <t>Portfolio policy</t>
        </is>
      </c>
      <c r="E45" s="27" t="inlineStr">
        <is>
          <t>Management review</t>
        </is>
      </c>
      <c r="F45" s="27" t="inlineStr">
        <is>
          <t>Management stretch</t>
        </is>
      </c>
      <c r="G45" s="27" t="inlineStr">
        <is>
          <t>Capacity limit</t>
        </is>
      </c>
      <c r="H45" s="46" t="n">
        <v>927</v>
      </c>
      <c r="I45" s="27" t="inlineStr"/>
      <c r="J45" s="27" t="inlineStr">
        <is>
          <t>treasury execution points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CAP-099S041</t>
        </is>
      </c>
      <c r="B46" s="27" t="inlineStr">
        <is>
          <t>Repurchase-versus-debt-paydown decision</t>
        </is>
      </c>
      <c r="C46" s="27" t="inlineStr">
        <is>
          <t>Capital return execution protection register</t>
        </is>
      </c>
      <c r="D46" s="27" t="inlineStr">
        <is>
          <t>Optional debt sweep</t>
        </is>
      </c>
      <c r="E46" s="27" t="inlineStr">
        <is>
          <t>2026-05 working copy</t>
        </is>
      </c>
      <c r="F46" s="27" t="inlineStr">
        <is>
          <t>Approved case</t>
        </is>
      </c>
      <c r="G46" s="27" t="inlineStr">
        <is>
          <t>Cash cost</t>
        </is>
      </c>
      <c r="H46" s="46" t="n">
        <v>88400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CAP-099S042</t>
        </is>
      </c>
      <c r="B47" s="27" t="inlineStr">
        <is>
          <t>Repurchase-versus-debt-paydown decision</t>
        </is>
      </c>
      <c r="C47" s="27" t="inlineStr">
        <is>
          <t>Capital return execution protection register</t>
        </is>
      </c>
      <c r="D47" s="27" t="inlineStr">
        <is>
          <t>Trading-volume collar</t>
        </is>
      </c>
      <c r="E47" s="27" t="inlineStr">
        <is>
          <t>Management review</t>
        </is>
      </c>
      <c r="F47" s="27" t="inlineStr">
        <is>
          <t>Management stretch</t>
        </is>
      </c>
      <c r="G47" s="27" t="inlineStr">
        <is>
          <t>Capacity units</t>
        </is>
      </c>
      <c r="H47" s="46" t="n">
        <v>189</v>
      </c>
      <c r="I47" s="27" t="inlineStr"/>
      <c r="J47" s="27" t="inlineStr">
        <is>
          <t>treasury execution points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CAP-099S043</t>
        </is>
      </c>
      <c r="B48" s="27" t="inlineStr">
        <is>
          <t>Repurchase-versus-debt-paydown decision</t>
        </is>
      </c>
      <c r="C48" s="27" t="inlineStr">
        <is>
          <t>Capital return execution protection register</t>
        </is>
      </c>
      <c r="D48" s="27" t="inlineStr">
        <is>
          <t>Opportunistic acceleration</t>
        </is>
      </c>
      <c r="E48" s="27" t="inlineStr">
        <is>
          <t>2026-05 working copy</t>
        </is>
      </c>
      <c r="F48" s="27" t="inlineStr">
        <is>
          <t>Approved case</t>
        </is>
      </c>
      <c r="G48" s="27" t="inlineStr">
        <is>
          <t>Realization probability</t>
        </is>
      </c>
      <c r="H48" s="46" t="n">
        <v>0.618</v>
      </c>
      <c r="I48" s="27" t="inlineStr"/>
      <c r="J48" s="27" t="inlineStr">
        <is>
          <t>decimal ratio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CAP-099S044</t>
        </is>
      </c>
      <c r="B49" s="27" t="inlineStr">
        <is>
          <t>Repurchase-versus-debt-paydown decision</t>
        </is>
      </c>
      <c r="C49" s="27" t="inlineStr">
        <is>
          <t>Capital return execution protection register</t>
        </is>
      </c>
      <c r="D49" s="27" t="inlineStr">
        <is>
          <t>Staged repurchase authorization</t>
        </is>
      </c>
      <c r="E49" s="27" t="inlineStr">
        <is>
          <t>Management review</t>
        </is>
      </c>
      <c r="F49" s="27" t="inlineStr">
        <is>
          <t>Management stretch</t>
        </is>
      </c>
      <c r="G49" s="27" t="inlineStr">
        <is>
          <t>Gross financial effect</t>
        </is>
      </c>
      <c r="H49" s="46" t="n">
        <v>405.6</v>
      </c>
      <c r="I49" s="27" t="inlineStr"/>
      <c r="J49" s="27" t="inlineStr">
        <is>
          <t>USD thousands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CAP-099S045</t>
        </is>
      </c>
      <c r="B50" s="27" t="inlineStr">
        <is>
          <t>Repurchase-versus-debt-paydown decision</t>
        </is>
      </c>
      <c r="C50" s="27" t="inlineStr">
        <is>
          <t>Capital return execution protection register</t>
        </is>
      </c>
      <c r="D50" s="27" t="inlineStr">
        <is>
          <t>Trading-volume collar</t>
        </is>
      </c>
      <c r="E50" s="27" t="inlineStr">
        <is>
          <t>2026-05 working copy</t>
        </is>
      </c>
      <c r="F50" s="27" t="inlineStr">
        <is>
          <t>Approved case</t>
        </is>
      </c>
      <c r="G50" s="27" t="inlineStr">
        <is>
          <t>Cash cost</t>
        </is>
      </c>
      <c r="H50" s="46" t="n">
        <v>99750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CAP-099S046</t>
        </is>
      </c>
      <c r="B51" s="27" t="inlineStr">
        <is>
          <t>Repurchase-versus-debt-paydown decision</t>
        </is>
      </c>
      <c r="C51" s="27" t="inlineStr">
        <is>
          <t>Capital return execution protection register</t>
        </is>
      </c>
      <c r="D51" s="27" t="inlineStr">
        <is>
          <t>Minimum-cash reserve lock</t>
        </is>
      </c>
      <c r="E51" s="27" t="inlineStr">
        <is>
          <t>Management review</t>
        </is>
      </c>
      <c r="F51" s="27" t="inlineStr">
        <is>
          <t>Management stretch</t>
        </is>
      </c>
      <c r="G51" s="27" t="inlineStr">
        <is>
          <t>Capacity units</t>
        </is>
      </c>
      <c r="H51" s="46" t="n">
        <v>154.5</v>
      </c>
      <c r="I51" s="27" t="inlineStr"/>
      <c r="J51" s="27" t="inlineStr">
        <is>
          <t>treasury execution points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CAP-099S071</t>
        </is>
      </c>
      <c r="B52" s="27" t="inlineStr">
        <is>
          <t>Repurchase-versus-debt-paydown decision</t>
        </is>
      </c>
      <c r="C52" s="27" t="inlineStr">
        <is>
          <t>Capital return execution protection register scenario controls</t>
        </is>
      </c>
      <c r="D52" s="27" t="inlineStr">
        <is>
          <t>Steering base</t>
        </is>
      </c>
      <c r="E52" s="27" t="inlineStr">
        <is>
          <t>2026-05 working copy</t>
        </is>
      </c>
      <c r="F52" s="27" t="inlineStr">
        <is>
          <t>Approved case</t>
        </is>
      </c>
      <c r="G52" s="27" t="inlineStr">
        <is>
          <t>Gross effect factor</t>
        </is>
      </c>
      <c r="H52" s="46" t="n">
        <v>1.03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CAP-099S072</t>
        </is>
      </c>
      <c r="B53" s="27" t="inlineStr">
        <is>
          <t>Repurchase-versus-debt-paydown decision</t>
        </is>
      </c>
      <c r="C53" s="27" t="inlineStr">
        <is>
          <t>Capital return execution protection register scenario controls</t>
        </is>
      </c>
      <c r="D53" s="27" t="inlineStr">
        <is>
          <t>Trading-volume and liquidity constraint</t>
        </is>
      </c>
      <c r="E53" s="27" t="inlineStr">
        <is>
          <t>Management review</t>
        </is>
      </c>
      <c r="F53" s="27" t="inlineStr">
        <is>
          <t>Management stretch</t>
        </is>
      </c>
      <c r="G53" s="27" t="inlineStr">
        <is>
          <t>Gross effect factor</t>
        </is>
      </c>
      <c r="H53" s="46" t="n">
        <v>0.8320000000000001</v>
      </c>
      <c r="I53" s="27" t="inlineStr"/>
      <c r="J53" s="27" t="inlineStr">
        <is>
          <t>decimal ratio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CAP-099S073</t>
        </is>
      </c>
      <c r="B54" s="27" t="inlineStr">
        <is>
          <t>Repurchase-versus-debt-paydown decision</t>
        </is>
      </c>
      <c r="C54" s="27" t="inlineStr">
        <is>
          <t>Capital return execution protection register scenario controls</t>
        </is>
      </c>
      <c r="D54" s="27" t="inlineStr">
        <is>
          <t>Combined capital-return downside</t>
        </is>
      </c>
      <c r="E54" s="27" t="inlineStr">
        <is>
          <t>2026-05 working copy</t>
        </is>
      </c>
      <c r="F54" s="27" t="inlineStr">
        <is>
          <t>Approved case</t>
        </is>
      </c>
      <c r="G54" s="27" t="inlineStr">
        <is>
          <t>Gross effect factor</t>
        </is>
      </c>
      <c r="H54" s="46" t="n">
        <v>0.672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CAP-099S074</t>
        </is>
      </c>
      <c r="B55" s="27" t="inlineStr">
        <is>
          <t>Repurchase-versus-debt-paydown decision</t>
        </is>
      </c>
      <c r="C55" s="27" t="inlineStr">
        <is>
          <t>Capital return execution protection register scenario controls</t>
        </is>
      </c>
      <c r="D55" s="27" t="inlineStr">
        <is>
          <t>Steering base</t>
        </is>
      </c>
      <c r="E55" s="27" t="inlineStr">
        <is>
          <t>Management review</t>
        </is>
      </c>
      <c r="F55" s="27" t="inlineStr">
        <is>
          <t>Management stretch</t>
        </is>
      </c>
      <c r="G55" s="27" t="inlineStr">
        <is>
          <t>Gross effect factor</t>
        </is>
      </c>
      <c r="H55" s="46" t="n">
        <v>1.03</v>
      </c>
      <c r="I55" s="27" t="inlineStr"/>
      <c r="J55" s="27" t="inlineStr">
        <is>
          <t>decimal ratio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CAP-099S075</t>
        </is>
      </c>
      <c r="B56" s="27" t="inlineStr">
        <is>
          <t>Repurchase-versus-debt-paydown decision</t>
        </is>
      </c>
      <c r="C56" s="27" t="inlineStr">
        <is>
          <t>Capital return execution protection register scenario controls</t>
        </is>
      </c>
      <c r="D56" s="27" t="inlineStr">
        <is>
          <t>Trading-volume and liquidity constraint</t>
        </is>
      </c>
      <c r="E56" s="27" t="inlineStr">
        <is>
          <t>2026-05 working copy</t>
        </is>
      </c>
      <c r="F56" s="27" t="inlineStr">
        <is>
          <t>Approved case</t>
        </is>
      </c>
      <c r="G56" s="27" t="inlineStr">
        <is>
          <t>Gross effect factor</t>
        </is>
      </c>
      <c r="H56" s="46" t="n">
        <v>0.8320000000000001</v>
      </c>
      <c r="I56" s="27" t="inlineStr"/>
      <c r="J56" s="27" t="inlineStr">
        <is>
          <t>decimal ratio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CAP-099S076</t>
        </is>
      </c>
      <c r="B57" s="27" t="inlineStr">
        <is>
          <t>Repurchase-versus-debt-paydown decision</t>
        </is>
      </c>
      <c r="C57" s="27" t="inlineStr">
        <is>
          <t>Capital return execution protection register scenario controls</t>
        </is>
      </c>
      <c r="D57" s="27" t="inlineStr">
        <is>
          <t>Combined capital-return downside</t>
        </is>
      </c>
      <c r="E57" s="27" t="inlineStr">
        <is>
          <t>Management review</t>
        </is>
      </c>
      <c r="F57" s="27" t="inlineStr">
        <is>
          <t>Management stretch</t>
        </is>
      </c>
      <c r="G57" s="27" t="inlineStr">
        <is>
          <t>Gross effect factor</t>
        </is>
      </c>
      <c r="H57" s="46" t="n">
        <v>0.672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CAP-099S077</t>
        </is>
      </c>
      <c r="B58" s="27" t="inlineStr">
        <is>
          <t>Repurchase-versus-debt-paydown decision</t>
        </is>
      </c>
      <c r="C58" s="27" t="inlineStr">
        <is>
          <t>Capital return execution protection register scenario controls</t>
        </is>
      </c>
      <c r="D58" s="27" t="inlineStr">
        <is>
          <t>Steering base</t>
        </is>
      </c>
      <c r="E58" s="27" t="inlineStr">
        <is>
          <t>2026-05 working copy</t>
        </is>
      </c>
      <c r="F58" s="27" t="inlineStr">
        <is>
          <t>Approved case</t>
        </is>
      </c>
      <c r="G58" s="27" t="inlineStr">
        <is>
          <t>Gross effect factor</t>
        </is>
      </c>
      <c r="H58" s="46" t="n">
        <v>1.03</v>
      </c>
      <c r="I58" s="27" t="inlineStr"/>
      <c r="J58" s="27" t="inlineStr">
        <is>
          <t>decimal ratio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CAP-099S078</t>
        </is>
      </c>
      <c r="B59" s="27" t="inlineStr">
        <is>
          <t>Repurchase-versus-debt-paydown decision</t>
        </is>
      </c>
      <c r="C59" s="27" t="inlineStr">
        <is>
          <t>Capital return execution protection register scenario controls</t>
        </is>
      </c>
      <c r="D59" s="27" t="inlineStr">
        <is>
          <t>Trading-volume and liquidity constraint</t>
        </is>
      </c>
      <c r="E59" s="27" t="inlineStr">
        <is>
          <t>Management review</t>
        </is>
      </c>
      <c r="F59" s="27" t="inlineStr">
        <is>
          <t>Management stretch</t>
        </is>
      </c>
      <c r="G59" s="27" t="inlineStr">
        <is>
          <t>Gross effect factor</t>
        </is>
      </c>
      <c r="H59" s="46" t="n">
        <v>0.8320000000000001</v>
      </c>
      <c r="I59" s="27" t="inlineStr"/>
      <c r="J59" s="27" t="inlineStr">
        <is>
          <t>decimal ratio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</sheetData>
  <autoFilter ref="A4:M59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committee and long-range plan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Project Cases</t>
        </is>
      </c>
      <c r="B5" s="40" t="n">
        <v>38</v>
      </c>
      <c r="C5" s="40">
        <f>COUNTA('Project Cases'!$A$5:$A$42)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Long Range Plan</t>
        </is>
      </c>
      <c r="B6" s="41" t="n">
        <v>16</v>
      </c>
      <c r="C6" s="41">
        <f>COUNTA('Long Range Plan'!$A$5:$A$20)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2" t="inlineStr">
        <is>
          <t>Capital Capacity</t>
        </is>
      </c>
      <c r="B7" s="42" t="n">
        <v>37</v>
      </c>
      <c r="C7" s="42">
        <f>COUNTA('Capital Capacity'!$A$5:$A$41)</f>
        <v/>
      </c>
      <c r="D7" s="42">
        <f>C7-B7</f>
        <v/>
      </c>
      <c r="E7" s="45">
        <f>IF(D7=0,"OK","CHECK")</f>
        <v/>
      </c>
      <c r="F7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2026-08-17T00:33:55Z</dcterms:created>
  <dcterms:modified xmlns:dcterms="http://purl.org/dc/terms/" xmlns:xsi="http://www.w3.org/2001/XMLSchema-instance" xsi:type="dcterms:W3CDTF">2026-08-17T00:33:55Z</dcterms:modified>
</cp:coreProperties>
</file>