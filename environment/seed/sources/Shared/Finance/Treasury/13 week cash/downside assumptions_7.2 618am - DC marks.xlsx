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enario Assumptions" sheetId="1" state="visible" r:id="rId1"/>
    <sheet xmlns:r="http://schemas.openxmlformats.org/officeDocument/2006/relationships" name="Base Case Import" sheetId="2" state="visible" r:id="rId2"/>
    <sheet xmlns:r="http://schemas.openxmlformats.org/officeDocument/2006/relationships" name="Downside Cas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9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Arial"/>
      <color rgb="FF8B5E3C"/>
      <sz val="9"/>
    </font>
    <font>
      <name val="Carlito"/>
      <b val="1"/>
      <color rgb="FF2A4337"/>
      <sz val="11"/>
    </font>
    <font>
      <name val="Carlito"/>
      <sz val="11"/>
    </font>
    <font>
      <name val="Arial"/>
      <b val="1"/>
      <color rgb="FF2A4337"/>
      <sz val="9"/>
    </font>
  </fonts>
  <fills count="6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E9F2F8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7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2" borderId="0" pivotButton="0" quotePrefix="0" xfId="0"/>
    <xf numFmtId="164" fontId="7" fillId="0" borderId="0" pivotButton="0" quotePrefix="0" xfId="0"/>
    <xf numFmtId="0" fontId="7" fillId="0" borderId="0" pivotButton="0" quotePrefix="0" xfId="0"/>
    <xf numFmtId="164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8" fillId="2" borderId="0" applyAlignment="1" pivotButton="0" quotePrefix="0" xfId="0">
      <alignment vertical="center" wrapText="1"/>
    </xf>
    <xf numFmtId="164" fontId="5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 outlineLevelRow="0"/>
  <cols>
    <col width="12" customWidth="1" min="1" max="1"/>
    <col width="42" customWidth="1" min="2" max="2"/>
    <col width="24" customWidth="1" min="3" max="3"/>
    <col width="20" customWidth="1" min="4" max="4"/>
    <col width="36" customWidth="1" min="5" max="5"/>
    <col width="18" customWidth="1" min="6" max="6"/>
    <col width="24" customWidth="1" min="7" max="7"/>
    <col width="48" customWidth="1" min="8" max="8"/>
  </cols>
  <sheetData>
    <row r="1" ht="23" customHeight="1">
      <c r="A1" s="1" t="inlineStr">
        <is>
          <t>13-week liquidity — downside assumptions</t>
        </is>
      </c>
      <c r="B1" s="17" t="n"/>
      <c r="C1" s="17" t="n"/>
      <c r="D1" s="17" t="n"/>
      <c r="E1" s="17" t="n"/>
      <c r="F1" s="17" t="n"/>
      <c r="G1" s="17" t="n"/>
      <c r="H1" s="17" t="n"/>
    </row>
    <row r="2" ht="23" customHeight="1">
      <c r="A2" s="2" t="inlineStr">
        <is>
          <t>CFO markup copy 7/2/26 6:18am | scenario only; do not overwrite base case</t>
        </is>
      </c>
    </row>
    <row r="3"/>
    <row r="4"/>
    <row r="5" ht="30" customHeight="1">
      <c r="A5" s="3" t="inlineStr">
        <is>
          <t>ID</t>
        </is>
      </c>
      <c r="B5" s="4" t="inlineStr">
        <is>
          <t>Assumption</t>
        </is>
      </c>
      <c r="C5" s="4" t="inlineStr">
        <is>
          <t>Base timing</t>
        </is>
      </c>
      <c r="D5" s="4" t="inlineStr">
        <is>
          <t>Downside timing</t>
        </is>
      </c>
      <c r="E5" s="4" t="inlineStr">
        <is>
          <t>Amount source</t>
        </is>
      </c>
      <c r="F5" s="4" t="inlineStr">
        <is>
          <t>Amount</t>
        </is>
      </c>
      <c r="G5" s="4" t="inlineStr">
        <is>
          <t>Status</t>
        </is>
      </c>
      <c r="H5" s="5" t="inlineStr">
        <is>
          <t>Finance treatment</t>
        </is>
      </c>
    </row>
    <row r="6">
      <c r="A6" s="6" t="inlineStr">
        <is>
          <t>COL-1</t>
        </is>
      </c>
      <c r="B6" s="6" t="inlineStr">
        <is>
          <t>Eastbank Data open AR</t>
        </is>
      </c>
      <c r="C6" s="6" t="inlineStr">
        <is>
          <t>2026-07-17</t>
        </is>
      </c>
      <c r="D6" s="6" t="inlineStr">
        <is>
          <t>2026-08-28</t>
        </is>
      </c>
      <c r="E6" s="6" t="inlineStr">
        <is>
          <t>Vista ERP open AR by customer</t>
        </is>
      </c>
      <c r="F6" s="7" t="n"/>
      <c r="G6" s="6" t="inlineStr">
        <is>
          <t>Downside sensitivity</t>
        </is>
      </c>
      <c r="H6" s="6" t="inlineStr">
        <is>
          <t>Move the full open amount; do not duplicate receipts</t>
        </is>
      </c>
    </row>
    <row r="7">
      <c r="A7" s="6" t="inlineStr">
        <is>
          <t>COL-2</t>
        </is>
      </c>
      <c r="B7" s="6" t="inlineStr">
        <is>
          <t>Cascade Health open AR</t>
        </is>
      </c>
      <c r="C7" s="6" t="inlineStr">
        <is>
          <t>2026-07-24</t>
        </is>
      </c>
      <c r="D7" s="6" t="inlineStr">
        <is>
          <t>2026-08-28</t>
        </is>
      </c>
      <c r="E7" s="6" t="inlineStr">
        <is>
          <t>Vista ERP open AR by customer</t>
        </is>
      </c>
      <c r="F7" s="7" t="n"/>
      <c r="G7" s="6" t="inlineStr">
        <is>
          <t>Downside sensitivity</t>
        </is>
      </c>
      <c r="H7" s="6" t="inlineStr">
        <is>
          <t>Move the full open amount; do not duplicate receipts</t>
        </is>
      </c>
    </row>
    <row r="8">
      <c r="A8" s="6" t="inlineStr">
        <is>
          <t>COL-3</t>
        </is>
      </c>
      <c r="B8" s="6" t="inlineStr">
        <is>
          <t>Redmond Unified open AR</t>
        </is>
      </c>
      <c r="C8" s="6" t="inlineStr">
        <is>
          <t>2026-07-31</t>
        </is>
      </c>
      <c r="D8" s="6" t="inlineStr">
        <is>
          <t>2026-08-28</t>
        </is>
      </c>
      <c r="E8" s="6" t="inlineStr">
        <is>
          <t>Vista ERP open AR by customer</t>
        </is>
      </c>
      <c r="F8" s="7" t="n"/>
      <c r="G8" s="6" t="inlineStr">
        <is>
          <t>Downside sensitivity</t>
        </is>
      </c>
      <c r="H8" s="6" t="inlineStr">
        <is>
          <t>Move the full open amount; do not duplicate receipts</t>
        </is>
      </c>
    </row>
    <row r="9">
      <c r="A9" s="6" t="inlineStr">
        <is>
          <t>PO-1</t>
        </is>
      </c>
      <c r="B9" s="6" t="inlineStr">
        <is>
          <t>All open PO commitments forecast after 7/31</t>
        </is>
      </c>
      <c r="C9" s="6" t="inlineStr">
        <is>
          <t>Expected date + 7 days</t>
        </is>
      </c>
      <c r="D9" s="6" t="inlineStr">
        <is>
          <t>2026-07-31</t>
        </is>
      </c>
      <c r="E9" s="6" t="inlineStr">
        <is>
          <t>Vista ERP open PO remaining commitment</t>
        </is>
      </c>
      <c r="F9" s="7" t="n"/>
      <c r="G9" s="6" t="inlineStr">
        <is>
          <t>Downside sensitivity</t>
        </is>
      </c>
      <c r="H9" s="6" t="inlineStr">
        <is>
          <t>Accelerate timing only; total commitment is unchanged</t>
        </is>
      </c>
    </row>
    <row r="10">
      <c r="A10" s="6" t="inlineStr">
        <is>
          <t>INS-1</t>
        </is>
      </c>
      <c r="B10" s="6" t="inlineStr">
        <is>
          <t>Renewal premium deposit</t>
        </is>
      </c>
      <c r="C10" s="6" t="inlineStr">
        <is>
          <t>Not in base cash file</t>
        </is>
      </c>
      <c r="D10" s="6" t="inlineStr">
        <is>
          <t>2026-07-31</t>
        </is>
      </c>
      <c r="E10" s="6" t="inlineStr">
        <is>
          <t>Broker draft premiums × 25%</t>
        </is>
      </c>
      <c r="F10" s="8" t="n">
        <v>285500</v>
      </c>
      <c r="G10" s="6" t="inlineStr">
        <is>
          <t>Documented scenario input</t>
        </is>
      </c>
      <c r="H10" s="6" t="inlineStr">
        <is>
          <t>One-time cash disbursement</t>
        </is>
      </c>
    </row>
    <row r="11"/>
    <row r="12"/>
    <row r="13">
      <c r="A13" s="9" t="inlineStr">
        <is>
          <t>Minimum operating cash</t>
        </is>
      </c>
      <c r="B13" s="10" t="n">
        <v>1250000</v>
      </c>
    </row>
    <row r="14">
      <c r="A14" s="9" t="inlineStr">
        <is>
          <t>Revolver commitment</t>
        </is>
      </c>
      <c r="B14" s="10" t="n">
        <v>4000000</v>
      </c>
    </row>
    <row r="15">
      <c r="A15" s="9" t="inlineStr">
        <is>
          <t>Draw convention</t>
        </is>
      </c>
      <c r="B15" s="11" t="inlineStr">
        <is>
          <t>Draw only enough to restore weekly ending cash to the floor</t>
        </is>
      </c>
    </row>
    <row r="16">
      <c r="A16" s="9" t="inlineStr">
        <is>
          <t>Repayment convention</t>
        </is>
      </c>
      <c r="B16" s="11" t="inlineStr">
        <is>
          <t>Repay as soon as cash above the floor is available</t>
        </is>
      </c>
    </row>
    <row r="17">
      <c r="A17" s="9" t="inlineStr">
        <is>
          <t>Status</t>
        </is>
      </c>
      <c r="B17" s="11" t="inlineStr">
        <is>
          <t>Scenario / not approved forecast</t>
        </is>
      </c>
    </row>
    <row r="18"/>
    <row r="19">
      <c r="A19" s="11" t="inlineStr">
        <is>
          <t>Control — forecast weeks</t>
        </is>
      </c>
      <c r="B19" s="11">
        <f>COUNTA('Base Case Import'!A6:A18)</f>
        <v/>
      </c>
    </row>
    <row r="20">
      <c r="A20" s="11" t="inlineStr">
        <is>
          <t>Control — base ending cash</t>
        </is>
      </c>
      <c r="B20" s="10">
        <f>SUM('Base Case Import'!L6:L18)</f>
        <v/>
      </c>
    </row>
    <row r="21">
      <c r="A21" s="11" t="inlineStr">
        <is>
          <t>Control — blank downside cells</t>
        </is>
      </c>
      <c r="B21" s="11">
        <f>COUNTBLANK('Downside Case'!B6:K18)</f>
        <v/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 outlineLevelRow="0"/>
  <cols>
    <col width="15" customWidth="1" min="1" max="1"/>
    <col width="18" customWidth="1" min="2" max="5"/>
    <col width="16" customWidth="1" min="6" max="6"/>
    <col width="18" customWidth="1" min="7" max="7"/>
    <col width="15" customWidth="1" min="8" max="8"/>
    <col width="16" customWidth="1" min="9" max="9"/>
    <col width="15" customWidth="1" min="10" max="10"/>
    <col width="18" customWidth="1" min="11" max="12"/>
    <col width="22" customWidth="1" min="13" max="13"/>
  </cols>
  <sheetData>
    <row r="1" ht="23" customHeight="1">
      <c r="A1" s="1" t="inlineStr">
        <is>
          <t>Base 13-week cash import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</row>
    <row r="2" ht="23" customHeight="1">
      <c r="A2" s="2" t="inlineStr">
        <is>
          <t>Values copied from v9 working forecast and tied to 6/30 accounting position; refresh lineage retained</t>
        </is>
      </c>
    </row>
    <row r="3"/>
    <row r="4"/>
    <row r="5" ht="30" customHeight="1">
      <c r="A5" s="3" t="inlineStr">
        <is>
          <t>Week ending</t>
        </is>
      </c>
      <c r="B5" s="4" t="inlineStr">
        <is>
          <t>Beginning cash</t>
        </is>
      </c>
      <c r="C5" s="4" t="inlineStr">
        <is>
          <t>Receipts</t>
        </is>
      </c>
      <c r="D5" s="4" t="inlineStr">
        <is>
          <t>AP</t>
        </is>
      </c>
      <c r="E5" s="4" t="inlineStr">
        <is>
          <t>PO / equipment</t>
        </is>
      </c>
      <c r="F5" s="4" t="inlineStr">
        <is>
          <t>Payroll</t>
        </is>
      </c>
      <c r="G5" s="4" t="inlineStr">
        <is>
          <t>Taxes + benefits</t>
        </is>
      </c>
      <c r="H5" s="4" t="inlineStr">
        <is>
          <t>Occupancy</t>
        </is>
      </c>
      <c r="I5" s="4" t="inlineStr">
        <is>
          <t>Debt service</t>
        </is>
      </c>
      <c r="J5" s="4" t="inlineStr">
        <is>
          <t>Capex</t>
        </is>
      </c>
      <c r="K5" s="4" t="inlineStr">
        <is>
          <t>Total outflows</t>
        </is>
      </c>
      <c r="L5" s="4" t="inlineStr">
        <is>
          <t>Ending cash</t>
        </is>
      </c>
      <c r="M5" s="5" t="inlineStr">
        <is>
          <t>Source status</t>
        </is>
      </c>
    </row>
    <row r="6">
      <c r="A6" s="6" t="inlineStr">
        <is>
          <t>2026-07-03</t>
        </is>
      </c>
      <c r="B6" s="8" t="n">
        <v>3743119.76</v>
      </c>
      <c r="C6" s="8" t="n">
        <v>2128264.84</v>
      </c>
      <c r="D6" s="8" t="n">
        <v>1390093.5</v>
      </c>
      <c r="E6" s="8" t="n">
        <v>0</v>
      </c>
      <c r="F6" s="8" t="n">
        <v>431800</v>
      </c>
      <c r="G6" s="8" t="n">
        <v>46500</v>
      </c>
      <c r="H6" s="8" t="n">
        <v>62000</v>
      </c>
      <c r="I6" s="8" t="n">
        <v>0</v>
      </c>
      <c r="J6" s="8" t="n">
        <v>0</v>
      </c>
      <c r="K6" s="8" t="n">
        <v>1930393.5</v>
      </c>
      <c r="L6" s="8" t="n">
        <v>3940991.1</v>
      </c>
      <c r="M6" s="6" t="inlineStr">
        <is>
          <t>Base import / v9</t>
        </is>
      </c>
    </row>
    <row r="7">
      <c r="A7" s="6" t="inlineStr">
        <is>
          <t>2026-07-10</t>
        </is>
      </c>
      <c r="B7" s="8" t="n">
        <v>3940991.1</v>
      </c>
      <c r="C7" s="8" t="n">
        <v>1336234.17</v>
      </c>
      <c r="D7" s="8" t="n">
        <v>971849.21</v>
      </c>
      <c r="E7" s="8" t="n">
        <v>0</v>
      </c>
      <c r="F7" s="8" t="n">
        <v>0</v>
      </c>
      <c r="G7" s="8" t="n">
        <v>46500</v>
      </c>
      <c r="H7" s="8" t="n">
        <v>0</v>
      </c>
      <c r="I7" s="8" t="n">
        <v>0</v>
      </c>
      <c r="J7" s="8" t="n">
        <v>0</v>
      </c>
      <c r="K7" s="8" t="n">
        <v>1018349.21</v>
      </c>
      <c r="L7" s="8" t="n">
        <v>4258876.06</v>
      </c>
      <c r="M7" s="6" t="inlineStr">
        <is>
          <t>Base import / v9</t>
        </is>
      </c>
    </row>
    <row r="8">
      <c r="A8" s="6" t="inlineStr">
        <is>
          <t>2026-07-17</t>
        </is>
      </c>
      <c r="B8" s="8" t="n">
        <v>4258876.06</v>
      </c>
      <c r="C8" s="8" t="n">
        <v>1255859.38</v>
      </c>
      <c r="D8" s="8" t="n">
        <v>588076.11</v>
      </c>
      <c r="E8" s="8" t="n">
        <v>0</v>
      </c>
      <c r="F8" s="8" t="n">
        <v>431800</v>
      </c>
      <c r="G8" s="8" t="n">
        <v>46500</v>
      </c>
      <c r="H8" s="8" t="n">
        <v>0</v>
      </c>
      <c r="I8" s="8" t="n">
        <v>0</v>
      </c>
      <c r="J8" s="8" t="n">
        <v>0</v>
      </c>
      <c r="K8" s="8" t="n">
        <v>1066376.11</v>
      </c>
      <c r="L8" s="8" t="n">
        <v>4448359.33</v>
      </c>
      <c r="M8" s="6" t="inlineStr">
        <is>
          <t>Base import / v9</t>
        </is>
      </c>
    </row>
    <row r="9">
      <c r="A9" s="6" t="inlineStr">
        <is>
          <t>2026-07-24</t>
        </is>
      </c>
      <c r="B9" s="8" t="n">
        <v>4448359.33</v>
      </c>
      <c r="C9" s="8" t="n">
        <v>1601550.31</v>
      </c>
      <c r="D9" s="8" t="n">
        <v>404815.55</v>
      </c>
      <c r="E9" s="8" t="n">
        <v>130500</v>
      </c>
      <c r="F9" s="8" t="n">
        <v>0</v>
      </c>
      <c r="G9" s="8" t="n">
        <v>46500</v>
      </c>
      <c r="H9" s="8" t="n">
        <v>0</v>
      </c>
      <c r="I9" s="8" t="n">
        <v>0</v>
      </c>
      <c r="J9" s="8" t="n">
        <v>0</v>
      </c>
      <c r="K9" s="8" t="n">
        <v>581815.55</v>
      </c>
      <c r="L9" s="8" t="n">
        <v>5468094.09</v>
      </c>
      <c r="M9" s="6" t="inlineStr">
        <is>
          <t>Base import / v9</t>
        </is>
      </c>
    </row>
    <row r="10">
      <c r="A10" s="6" t="inlineStr">
        <is>
          <t>2026-07-31</t>
        </is>
      </c>
      <c r="B10" s="8" t="n">
        <v>5468094.09</v>
      </c>
      <c r="C10" s="8" t="n">
        <v>1225121.14</v>
      </c>
      <c r="D10" s="8" t="n">
        <v>306780.24</v>
      </c>
      <c r="E10" s="8" t="n">
        <v>740000</v>
      </c>
      <c r="F10" s="8" t="n">
        <v>431800</v>
      </c>
      <c r="G10" s="8" t="n">
        <v>46500</v>
      </c>
      <c r="H10" s="8" t="n">
        <v>0</v>
      </c>
      <c r="I10" s="8" t="n">
        <v>61000</v>
      </c>
      <c r="J10" s="8" t="n">
        <v>0</v>
      </c>
      <c r="K10" s="8" t="n">
        <v>1586080.24</v>
      </c>
      <c r="L10" s="8" t="n">
        <v>5107134.99</v>
      </c>
      <c r="M10" s="6" t="inlineStr">
        <is>
          <t>Base import / v9</t>
        </is>
      </c>
    </row>
    <row r="11">
      <c r="A11" s="6" t="inlineStr">
        <is>
          <t>2026-08-07</t>
        </is>
      </c>
      <c r="B11" s="8" t="n">
        <v>5107134.99</v>
      </c>
      <c r="C11" s="8" t="n">
        <v>1784250.18</v>
      </c>
      <c r="D11" s="8" t="n">
        <v>245305.61</v>
      </c>
      <c r="E11" s="8" t="n">
        <v>538000</v>
      </c>
      <c r="F11" s="8" t="n">
        <v>0</v>
      </c>
      <c r="G11" s="8" t="n">
        <v>46500</v>
      </c>
      <c r="H11" s="8" t="n">
        <v>62000</v>
      </c>
      <c r="I11" s="8" t="n">
        <v>0</v>
      </c>
      <c r="J11" s="8" t="n">
        <v>186000</v>
      </c>
      <c r="K11" s="8" t="n">
        <v>1077805.61</v>
      </c>
      <c r="L11" s="8" t="n">
        <v>5813579.56</v>
      </c>
      <c r="M11" s="6" t="inlineStr">
        <is>
          <t>Base import / v9</t>
        </is>
      </c>
    </row>
    <row r="12">
      <c r="A12" s="6" t="inlineStr">
        <is>
          <t>2026-08-14</t>
        </is>
      </c>
      <c r="B12" s="8" t="n">
        <v>5813579.56</v>
      </c>
      <c r="C12" s="8" t="n">
        <v>337409.37</v>
      </c>
      <c r="D12" s="8" t="n">
        <v>121008.9</v>
      </c>
      <c r="E12" s="8" t="n">
        <v>188000</v>
      </c>
      <c r="F12" s="8" t="n">
        <v>431800</v>
      </c>
      <c r="G12" s="8" t="n">
        <v>46500</v>
      </c>
      <c r="H12" s="8" t="n">
        <v>0</v>
      </c>
      <c r="I12" s="8" t="n">
        <v>0</v>
      </c>
      <c r="J12" s="8" t="n">
        <v>0</v>
      </c>
      <c r="K12" s="8" t="n">
        <v>787308.9</v>
      </c>
      <c r="L12" s="8" t="n">
        <v>5363680.03</v>
      </c>
      <c r="M12" s="6" t="inlineStr">
        <is>
          <t>Base import / v9</t>
        </is>
      </c>
    </row>
    <row r="13">
      <c r="A13" s="6" t="inlineStr">
        <is>
          <t>2026-08-21</t>
        </is>
      </c>
      <c r="B13" s="8" t="n">
        <v>5363680.03</v>
      </c>
      <c r="C13" s="8" t="n">
        <v>505536.41</v>
      </c>
      <c r="D13" s="8" t="n">
        <v>0</v>
      </c>
      <c r="E13" s="8" t="n">
        <v>329600</v>
      </c>
      <c r="F13" s="8" t="n">
        <v>0</v>
      </c>
      <c r="G13" s="8" t="n">
        <v>46500</v>
      </c>
      <c r="H13" s="8" t="n">
        <v>0</v>
      </c>
      <c r="I13" s="8" t="n">
        <v>0</v>
      </c>
      <c r="J13" s="8" t="n">
        <v>0</v>
      </c>
      <c r="K13" s="8" t="n">
        <v>376100</v>
      </c>
      <c r="L13" s="8" t="n">
        <v>5493116.44</v>
      </c>
      <c r="M13" s="6" t="inlineStr">
        <is>
          <t>Base import / v9</t>
        </is>
      </c>
    </row>
    <row r="14">
      <c r="A14" s="6" t="inlineStr">
        <is>
          <t>2026-08-28</t>
        </is>
      </c>
      <c r="B14" s="8" t="n">
        <v>5493116.44</v>
      </c>
      <c r="C14" s="8" t="n">
        <v>265000</v>
      </c>
      <c r="D14" s="8" t="n">
        <v>0</v>
      </c>
      <c r="E14" s="8" t="n">
        <v>284000</v>
      </c>
      <c r="F14" s="8" t="n">
        <v>431800</v>
      </c>
      <c r="G14" s="8" t="n">
        <v>46500</v>
      </c>
      <c r="H14" s="8" t="n">
        <v>0</v>
      </c>
      <c r="I14" s="8" t="n">
        <v>61000</v>
      </c>
      <c r="J14" s="8" t="n">
        <v>0</v>
      </c>
      <c r="K14" s="8" t="n">
        <v>823300</v>
      </c>
      <c r="L14" s="8" t="n">
        <v>4934816.44</v>
      </c>
      <c r="M14" s="6" t="inlineStr">
        <is>
          <t>Base import / v9</t>
        </is>
      </c>
    </row>
    <row r="15">
      <c r="A15" s="6" t="inlineStr">
        <is>
          <t>2026-09-04</t>
        </is>
      </c>
      <c r="B15" s="8" t="n">
        <v>4934816.44</v>
      </c>
      <c r="C15" s="8" t="n">
        <v>265000</v>
      </c>
      <c r="D15" s="8" t="n">
        <v>0</v>
      </c>
      <c r="E15" s="8" t="n">
        <v>0</v>
      </c>
      <c r="F15" s="8" t="n">
        <v>0</v>
      </c>
      <c r="G15" s="8" t="n">
        <v>46500</v>
      </c>
      <c r="H15" s="8" t="n">
        <v>62000</v>
      </c>
      <c r="I15" s="8" t="n">
        <v>0</v>
      </c>
      <c r="J15" s="8" t="n">
        <v>0</v>
      </c>
      <c r="K15" s="8" t="n">
        <v>108500</v>
      </c>
      <c r="L15" s="8" t="n">
        <v>5091316.44</v>
      </c>
      <c r="M15" s="6" t="inlineStr">
        <is>
          <t>Base import / v9</t>
        </is>
      </c>
    </row>
    <row r="16">
      <c r="A16" s="6" t="inlineStr">
        <is>
          <t>2026-09-11</t>
        </is>
      </c>
      <c r="B16" s="8" t="n">
        <v>5091316.44</v>
      </c>
      <c r="C16" s="8" t="n">
        <v>307000</v>
      </c>
      <c r="D16" s="8" t="n">
        <v>0</v>
      </c>
      <c r="E16" s="8" t="n">
        <v>0</v>
      </c>
      <c r="F16" s="8" t="n">
        <v>431800</v>
      </c>
      <c r="G16" s="8" t="n">
        <v>46500</v>
      </c>
      <c r="H16" s="8" t="n">
        <v>0</v>
      </c>
      <c r="I16" s="8" t="n">
        <v>0</v>
      </c>
      <c r="J16" s="8" t="n">
        <v>92000</v>
      </c>
      <c r="K16" s="8" t="n">
        <v>570300</v>
      </c>
      <c r="L16" s="8" t="n">
        <v>4828016.44</v>
      </c>
      <c r="M16" s="6" t="inlineStr">
        <is>
          <t>Base import / v9</t>
        </is>
      </c>
    </row>
    <row r="17">
      <c r="A17" s="6" t="inlineStr">
        <is>
          <t>2026-09-18</t>
        </is>
      </c>
      <c r="B17" s="8" t="n">
        <v>4828016.44</v>
      </c>
      <c r="C17" s="8" t="n">
        <v>265000</v>
      </c>
      <c r="D17" s="8" t="n">
        <v>0</v>
      </c>
      <c r="E17" s="8" t="n">
        <v>0</v>
      </c>
      <c r="F17" s="8" t="n">
        <v>0</v>
      </c>
      <c r="G17" s="8" t="n">
        <v>46500</v>
      </c>
      <c r="H17" s="8" t="n">
        <v>0</v>
      </c>
      <c r="I17" s="8" t="n">
        <v>0</v>
      </c>
      <c r="J17" s="8" t="n">
        <v>0</v>
      </c>
      <c r="K17" s="8" t="n">
        <v>46500</v>
      </c>
      <c r="L17" s="8" t="n">
        <v>5046516.44</v>
      </c>
      <c r="M17" s="6" t="inlineStr">
        <is>
          <t>Base import / v9</t>
        </is>
      </c>
    </row>
    <row r="18">
      <c r="A18" s="6" t="inlineStr">
        <is>
          <t>2026-09-25</t>
        </is>
      </c>
      <c r="B18" s="8" t="n">
        <v>5046516.44</v>
      </c>
      <c r="C18" s="8" t="n">
        <v>265000</v>
      </c>
      <c r="D18" s="8" t="n">
        <v>0</v>
      </c>
      <c r="E18" s="8" t="n">
        <v>0</v>
      </c>
      <c r="F18" s="8" t="n">
        <v>431800</v>
      </c>
      <c r="G18" s="8" t="n">
        <v>46500</v>
      </c>
      <c r="H18" s="8" t="n">
        <v>0</v>
      </c>
      <c r="I18" s="8" t="n">
        <v>61000</v>
      </c>
      <c r="J18" s="8" t="n">
        <v>0</v>
      </c>
      <c r="K18" s="8" t="n">
        <v>539300</v>
      </c>
      <c r="L18" s="8" t="n">
        <v>4772216.44</v>
      </c>
      <c r="M18" s="6" t="inlineStr">
        <is>
          <t>Base import / v9</t>
        </is>
      </c>
    </row>
  </sheetData>
  <mergeCells count="2">
    <mergeCell ref="A2:M2"/>
    <mergeCell ref="A1:M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1" sqref="A1"/>
    </sheetView>
  </sheetViews>
  <sheetFormatPr baseColWidth="8" defaultRowHeight="15" outlineLevelRow="0"/>
  <cols>
    <col width="15" customWidth="1" min="1" max="1"/>
    <col width="18" customWidth="1" min="2" max="6"/>
    <col width="21" customWidth="1" min="7" max="7"/>
    <col width="16" customWidth="1" min="8" max="8"/>
    <col width="19" customWidth="1" min="9" max="9"/>
    <col width="18" customWidth="1" min="10" max="11"/>
    <col width="38" customWidth="1" min="12" max="12"/>
    <col width="38" customWidth="1" min="14" max="14"/>
    <col width="42" customWidth="1" min="15" max="15"/>
  </cols>
  <sheetData>
    <row r="1" ht="23" customHeight="1">
      <c r="A1" s="1" t="inlineStr">
        <is>
          <t>Downside cash roll-forward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</row>
    <row r="2" ht="23" customHeight="1">
      <c r="A2" s="2" t="inlineStr">
        <is>
          <t>Blank blue calculation area — populate 13 weekly rows and add the requested chart</t>
        </is>
      </c>
    </row>
    <row r="3"/>
    <row r="4"/>
    <row r="5" ht="30" customHeight="1">
      <c r="A5" s="3" t="inlineStr">
        <is>
          <t>Week ending</t>
        </is>
      </c>
      <c r="B5" s="4" t="inlineStr">
        <is>
          <t>Beginning cash</t>
        </is>
      </c>
      <c r="C5" s="4" t="inlineStr">
        <is>
          <t>Receipts</t>
        </is>
      </c>
      <c r="D5" s="4" t="inlineStr">
        <is>
          <t>PO / equipment</t>
        </is>
      </c>
      <c r="E5" s="4" t="inlineStr">
        <is>
          <t>Insurance deposit</t>
        </is>
      </c>
      <c r="F5" s="4" t="inlineStr">
        <is>
          <t>Total outflows</t>
        </is>
      </c>
      <c r="G5" s="4" t="inlineStr">
        <is>
          <t>Cash before financing</t>
        </is>
      </c>
      <c r="H5" s="4" t="inlineStr">
        <is>
          <t>Revolver draw</t>
        </is>
      </c>
      <c r="I5" s="4" t="inlineStr">
        <is>
          <t>Revolver repayment</t>
        </is>
      </c>
      <c r="J5" s="4" t="inlineStr">
        <is>
          <t>Ending cash</t>
        </is>
      </c>
      <c r="K5" s="4" t="inlineStr">
        <is>
          <t>Ending revolver</t>
        </is>
      </c>
      <c r="L5" s="5" t="inlineStr">
        <is>
          <t>Check / note</t>
        </is>
      </c>
      <c r="M5" s="11" t="n"/>
      <c r="N5" s="3" t="inlineStr">
        <is>
          <t>Treasury Review</t>
        </is>
      </c>
      <c r="O5" s="5" t="inlineStr">
        <is>
          <t>Value / conclusion</t>
        </is>
      </c>
    </row>
    <row r="6" ht="31" customHeight="1">
      <c r="A6" s="6" t="inlineStr">
        <is>
          <t>2026-07-03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3" t="n"/>
      <c r="M6" s="11" t="n"/>
      <c r="N6" s="14" t="inlineStr">
        <is>
          <t>Base minimum ending cash</t>
        </is>
      </c>
      <c r="O6" s="15" t="n"/>
    </row>
    <row r="7" ht="31" customHeight="1">
      <c r="A7" s="6" t="inlineStr">
        <is>
          <t>2026-07-10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3" t="n"/>
      <c r="M7" s="11" t="n"/>
      <c r="N7" s="14" t="inlineStr">
        <is>
          <t>Downside minimum cash before financing</t>
        </is>
      </c>
      <c r="O7" s="15" t="n"/>
    </row>
    <row r="8" ht="31" customHeight="1">
      <c r="A8" s="6" t="inlineStr">
        <is>
          <t>2026-07-17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3" t="n"/>
      <c r="M8" s="11" t="n"/>
      <c r="N8" s="14" t="inlineStr">
        <is>
          <t>Deterioration versus base</t>
        </is>
      </c>
      <c r="O8" s="15" t="n"/>
    </row>
    <row r="9" ht="31" customHeight="1">
      <c r="A9" s="6" t="inlineStr">
        <is>
          <t>2026-07-24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3" t="n"/>
      <c r="M9" s="11" t="n"/>
      <c r="N9" s="14" t="inlineStr">
        <is>
          <t>Minimum cash week</t>
        </is>
      </c>
      <c r="O9" s="16" t="n"/>
    </row>
    <row r="10" ht="31" customHeight="1">
      <c r="A10" s="6" t="inlineStr">
        <is>
          <t>2026-07-31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3" t="n"/>
      <c r="M10" s="11" t="n"/>
      <c r="N10" s="14" t="inlineStr">
        <is>
          <t>First draw week</t>
        </is>
      </c>
      <c r="O10" s="16" t="n"/>
    </row>
    <row r="11" ht="31" customHeight="1">
      <c r="A11" s="6" t="inlineStr">
        <is>
          <t>2026-08-07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3" t="n"/>
      <c r="M11" s="11" t="n"/>
      <c r="N11" s="14" t="inlineStr">
        <is>
          <t>Peak revolver balance</t>
        </is>
      </c>
      <c r="O11" s="15" t="n"/>
    </row>
    <row r="12" ht="31" customHeight="1">
      <c r="A12" s="6" t="inlineStr">
        <is>
          <t>2026-08-14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 t="n"/>
      <c r="M12" s="11" t="n"/>
      <c r="N12" s="14" t="inlineStr">
        <is>
          <t>Remaining commitment at peak</t>
        </is>
      </c>
      <c r="O12" s="15" t="n"/>
    </row>
    <row r="13" ht="31" customHeight="1">
      <c r="A13" s="6" t="inlineStr">
        <is>
          <t>2026-08-21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3" t="n"/>
      <c r="M13" s="11" t="n"/>
      <c r="N13" s="14" t="inlineStr">
        <is>
          <t>Full repayment week</t>
        </is>
      </c>
      <c r="O13" s="16" t="n"/>
    </row>
    <row r="14" ht="31" customHeight="1">
      <c r="A14" s="6" t="inlineStr">
        <is>
          <t>2026-08-28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 t="n"/>
      <c r="M14" s="11" t="n"/>
      <c r="N14" s="14" t="inlineStr">
        <is>
          <t>Facility capacity sufficient</t>
        </is>
      </c>
      <c r="O14" s="16" t="n"/>
    </row>
    <row r="15" ht="31" customHeight="1">
      <c r="A15" s="6" t="inlineStr">
        <is>
          <t>2026-09-04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 t="n"/>
      <c r="M15" s="11" t="n"/>
      <c r="N15" s="14" t="inlineStr">
        <is>
          <t>Recommended Treasury action</t>
        </is>
      </c>
      <c r="O15" s="16" t="n"/>
    </row>
    <row r="16">
      <c r="A16" s="6" t="inlineStr">
        <is>
          <t>2026-09-11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 t="n"/>
    </row>
    <row r="17">
      <c r="A17" s="6" t="inlineStr">
        <is>
          <t>2026-09-18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 t="n"/>
    </row>
    <row r="18">
      <c r="A18" s="6" t="inlineStr">
        <is>
          <t>2026-09-25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3" t="n"/>
    </row>
  </sheetData>
  <mergeCells count="2">
    <mergeCell ref="A2:L2"/>
    <mergeCell ref="A1:L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2026-08-07T07:20:03Z</dcterms:modified>
  <cp:lastModifiedBy>Unknown</cp:lastModifiedBy>
</cp:coreProperties>
</file>