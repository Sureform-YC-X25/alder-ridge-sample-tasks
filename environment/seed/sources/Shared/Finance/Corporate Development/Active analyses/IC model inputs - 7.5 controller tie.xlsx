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QoE and Working Capita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Transaction Models" sheetId="4" state="visible" r:id="rId4"/>
    <sheet xmlns:r="http://schemas.openxmlformats.org/officeDocument/2006/relationships" name="Carveout and Integration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'QoE and Working Capital'!$A$4:$M$96</definedName>
    <definedName name="_xlnm._FilterDatabase" localSheetId="2" hidden="1">'Valuation'!$A$4:$M$114</definedName>
    <definedName name="_xlnm._FilterDatabase" localSheetId="3" hidden="1">'Transaction Models'!$A$4:$M$206</definedName>
    <definedName name="_xlnm._FilterDatabase" localSheetId="4" hidden="1">'Carveout and Integration'!$A$4:$M$85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QoE and Working Capital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DEV-00037</t>
        </is>
      </c>
      <c r="B5" s="27" t="inlineStr">
        <is>
          <t>Redwood Controls quality-of-earnings normalization</t>
        </is>
      </c>
      <c r="C5" s="27" t="inlineStr">
        <is>
          <t>QoE adjustment evidence</t>
        </is>
      </c>
      <c r="D5" s="27" t="inlineStr">
        <is>
          <t>Excess owner compensation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Seller proposed EBITDA adjustment</t>
        </is>
      </c>
      <c r="H5" s="46" t="n">
        <v>300000</v>
      </c>
      <c r="I5" s="27" t="inlineStr"/>
      <c r="J5" s="27" t="inlineStr">
        <is>
          <t>USD</t>
        </is>
      </c>
      <c r="K5" s="27" t="inlineStr">
        <is>
          <t>Seller QoE schedule</t>
        </is>
      </c>
      <c r="L5" s="47" t="inlineStr">
        <is>
          <t>2026-06-30</t>
        </is>
      </c>
      <c r="M5" s="27" t="inlineStr"/>
    </row>
    <row r="6">
      <c r="A6" s="36" t="inlineStr">
        <is>
          <t>DEV-00038</t>
        </is>
      </c>
      <c r="B6" s="27" t="inlineStr">
        <is>
          <t>Redwood Controls quality-of-earnings normalization</t>
        </is>
      </c>
      <c r="C6" s="27" t="inlineStr">
        <is>
          <t>QoE adjustment evidence</t>
        </is>
      </c>
      <c r="D6" s="27" t="inlineStr">
        <is>
          <t>Excess owner compensation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LTM compensation recorded</t>
        </is>
      </c>
      <c r="H6" s="46" t="n">
        <v>520000</v>
      </c>
      <c r="I6" s="27" t="inlineStr"/>
      <c r="J6" s="27" t="inlineStr">
        <is>
          <t>USD</t>
        </is>
      </c>
      <c r="K6" s="27" t="inlineStr">
        <is>
          <t>Target payroll export</t>
        </is>
      </c>
      <c r="L6" s="47" t="inlineStr">
        <is>
          <t>2026-06-30</t>
        </is>
      </c>
      <c r="M6" s="27" t="inlineStr"/>
    </row>
    <row r="7">
      <c r="A7" s="36" t="inlineStr">
        <is>
          <t>DEV-00039</t>
        </is>
      </c>
      <c r="B7" s="27" t="inlineStr">
        <is>
          <t>Redwood Controls quality-of-earnings normalization</t>
        </is>
      </c>
      <c r="C7" s="27" t="inlineStr">
        <is>
          <t>QoE adjustment evidence</t>
        </is>
      </c>
      <c r="D7" s="27" t="inlineStr">
        <is>
          <t>Excess owner compensation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Market replacement compensation</t>
        </is>
      </c>
      <c r="H7" s="46" t="n">
        <v>280000</v>
      </c>
      <c r="I7" s="27" t="inlineStr"/>
      <c r="J7" s="27" t="inlineStr">
        <is>
          <t>USD</t>
        </is>
      </c>
      <c r="K7" s="27" t="inlineStr">
        <is>
          <t>Compensation diligence benchmark</t>
        </is>
      </c>
      <c r="L7" s="47" t="inlineStr">
        <is>
          <t>2026-06-30</t>
        </is>
      </c>
      <c r="M7" s="27" t="inlineStr"/>
    </row>
    <row r="8">
      <c r="A8" s="36" t="inlineStr">
        <is>
          <t>DEV-00040</t>
        </is>
      </c>
      <c r="B8" s="27" t="inlineStr">
        <is>
          <t>Redwood Controls quality-of-earnings normalization</t>
        </is>
      </c>
      <c r="C8" s="27" t="inlineStr">
        <is>
          <t>QoE adjustment evidence</t>
        </is>
      </c>
      <c r="D8" s="27" t="inlineStr">
        <is>
          <t>Nonrecurring legal settlement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Seller proposed EBITDA adjustment</t>
        </is>
      </c>
      <c r="H8" s="46" t="n">
        <v>235</v>
      </c>
      <c r="I8" s="27" t="inlineStr"/>
      <c r="J8" s="27" t="inlineStr">
        <is>
          <t>USD thousands</t>
        </is>
      </c>
      <c r="K8" s="27" t="inlineStr">
        <is>
          <t>Seller QoE schedule</t>
        </is>
      </c>
      <c r="L8" s="47" t="inlineStr">
        <is>
          <t>2026-06-30</t>
        </is>
      </c>
      <c r="M8" s="27" t="inlineStr"/>
    </row>
    <row r="9">
      <c r="A9" s="36" t="inlineStr">
        <is>
          <t>DEV-00041</t>
        </is>
      </c>
      <c r="B9" s="27" t="inlineStr">
        <is>
          <t>Redwood Controls quality-of-earnings normalization</t>
        </is>
      </c>
      <c r="C9" s="27" t="inlineStr">
        <is>
          <t>QoE adjustment evidence</t>
        </is>
      </c>
      <c r="D9" s="27" t="inlineStr">
        <is>
          <t>Nonrecurring legal settlement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Settlement expense recorded</t>
        </is>
      </c>
      <c r="H9" s="46" t="n">
        <v>235000</v>
      </c>
      <c r="I9" s="27" t="inlineStr"/>
      <c r="J9" s="27" t="inlineStr">
        <is>
          <t>USD</t>
        </is>
      </c>
      <c r="K9" s="27" t="inlineStr">
        <is>
          <t>Executed settlement and ledger detail</t>
        </is>
      </c>
      <c r="L9" s="47" t="inlineStr">
        <is>
          <t>2026-06-30</t>
        </is>
      </c>
      <c r="M9" s="27" t="inlineStr"/>
    </row>
    <row r="10">
      <c r="A10" s="36" t="inlineStr">
        <is>
          <t>DEV-00042</t>
        </is>
      </c>
      <c r="B10" s="27" t="inlineStr">
        <is>
          <t>Redwood Controls quality-of-earnings normalization</t>
        </is>
      </c>
      <c r="C10" s="27" t="inlineStr">
        <is>
          <t>QoE adjustment evidence</t>
        </is>
      </c>
      <c r="D10" s="27" t="inlineStr">
        <is>
          <t>Nonrecurring legal settlement</t>
        </is>
      </c>
      <c r="E10" s="27" t="inlineStr">
        <is>
          <t>LTM 2026-06-30</t>
        </is>
      </c>
      <c r="F10" s="27" t="inlineStr">
        <is>
          <t>Approved case</t>
        </is>
      </c>
      <c r="G10" s="27" t="inlineStr">
        <is>
          <t>Insurance reimbursement recorded against expense</t>
        </is>
      </c>
      <c r="H10" s="46" t="n">
        <v>60000</v>
      </c>
      <c r="I10" s="27" t="inlineStr"/>
      <c r="J10" s="27" t="inlineStr">
        <is>
          <t>USD</t>
        </is>
      </c>
      <c r="K10" s="27" t="inlineStr">
        <is>
          <t>Target general ledger detail</t>
        </is>
      </c>
      <c r="L10" s="47" t="inlineStr">
        <is>
          <t>2026-06-30</t>
        </is>
      </c>
      <c r="M10" s="27" t="inlineStr"/>
    </row>
    <row r="11">
      <c r="A11" s="36" t="inlineStr">
        <is>
          <t>DEV-00043</t>
        </is>
      </c>
      <c r="B11" s="27" t="inlineStr">
        <is>
          <t>Redwood Controls quality-of-earnings normalization</t>
        </is>
      </c>
      <c r="C11" s="27" t="inlineStr">
        <is>
          <t>QoE adjustment evidence</t>
        </is>
      </c>
      <c r="D11" s="27" t="inlineStr">
        <is>
          <t>Vacant CFO run-rate cost</t>
        </is>
      </c>
      <c r="E11" s="27" t="inlineStr">
        <is>
          <t>LTM 2026-06-30</t>
        </is>
      </c>
      <c r="F11" s="27" t="inlineStr">
        <is>
          <t>Approved case</t>
        </is>
      </c>
      <c r="G11" s="27" t="inlineStr">
        <is>
          <t>Seller proposed EBITDA adjustment</t>
        </is>
      </c>
      <c r="H11" s="46" t="n">
        <v>0</v>
      </c>
      <c r="I11" s="27" t="inlineStr"/>
      <c r="J11" s="27" t="inlineStr">
        <is>
          <t>USD</t>
        </is>
      </c>
      <c r="K11" s="27" t="inlineStr">
        <is>
          <t>Seller QoE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DEV-00044</t>
        </is>
      </c>
      <c r="B12" s="27" t="inlineStr">
        <is>
          <t>Redwood Controls quality-of-earnings normalization</t>
        </is>
      </c>
      <c r="C12" s="27" t="inlineStr">
        <is>
          <t>QoE adjustment evidence</t>
        </is>
      </c>
      <c r="D12" s="27" t="inlineStr">
        <is>
          <t>Vacant CFO run-rate cost</t>
        </is>
      </c>
      <c r="E12" s="27" t="inlineStr">
        <is>
          <t>LTM 2026-06-30</t>
        </is>
      </c>
      <c r="F12" s="27" t="inlineStr">
        <is>
          <t>Approved case</t>
        </is>
      </c>
      <c r="G12" s="27" t="inlineStr">
        <is>
          <t>Annual market replacement compensation</t>
        </is>
      </c>
      <c r="H12" s="46" t="n">
        <v>186</v>
      </c>
      <c r="I12" s="27" t="inlineStr"/>
      <c r="J12" s="27" t="inlineStr">
        <is>
          <t>USD thousands</t>
        </is>
      </c>
      <c r="K12" s="27" t="inlineStr">
        <is>
          <t>Executed search engagement terms</t>
        </is>
      </c>
      <c r="L12" s="47" t="inlineStr">
        <is>
          <t>2026-06-30</t>
        </is>
      </c>
      <c r="M12" s="27" t="inlineStr"/>
    </row>
    <row r="13">
      <c r="A13" s="36" t="inlineStr">
        <is>
          <t>DEV-00045</t>
        </is>
      </c>
      <c r="B13" s="27" t="inlineStr">
        <is>
          <t>Redwood Controls quality-of-earnings normalization</t>
        </is>
      </c>
      <c r="C13" s="27" t="inlineStr">
        <is>
          <t>QoE adjustment evidence</t>
        </is>
      </c>
      <c r="D13" s="27" t="inlineStr">
        <is>
          <t>Vacant CFO run-rate cost</t>
        </is>
      </c>
      <c r="E13" s="27" t="inlineStr">
        <is>
          <t>LTM 2026-06-30</t>
        </is>
      </c>
      <c r="F13" s="27" t="inlineStr">
        <is>
          <t>Approved case</t>
        </is>
      </c>
      <c r="G13" s="27" t="inlineStr">
        <is>
          <t>Vacant months in LTM</t>
        </is>
      </c>
      <c r="H13" s="46" t="n">
        <v>10</v>
      </c>
      <c r="I13" s="27" t="inlineStr"/>
      <c r="J13" s="27" t="inlineStr">
        <is>
          <t>count</t>
        </is>
      </c>
      <c r="K13" s="27" t="inlineStr">
        <is>
          <t>Target payroll export</t>
        </is>
      </c>
      <c r="L13" s="47" t="inlineStr">
        <is>
          <t>2026-06-30</t>
        </is>
      </c>
      <c r="M13" s="27" t="inlineStr"/>
    </row>
    <row r="14">
      <c r="A14" s="36" t="inlineStr">
        <is>
          <t>DEV-00046</t>
        </is>
      </c>
      <c r="B14" s="27" t="inlineStr">
        <is>
          <t>Redwood Controls quality-of-earnings normalization</t>
        </is>
      </c>
      <c r="C14" s="27" t="inlineStr">
        <is>
          <t>QoE adjustment evidence</t>
        </is>
      </c>
      <c r="D14" s="27" t="inlineStr">
        <is>
          <t>Buyer procurement synergies</t>
        </is>
      </c>
      <c r="E14" s="27" t="inlineStr">
        <is>
          <t>LTM 2026-06-30</t>
        </is>
      </c>
      <c r="F14" s="27" t="inlineStr">
        <is>
          <t>Approved case</t>
        </is>
      </c>
      <c r="G14" s="27" t="inlineStr">
        <is>
          <t>Seller proposed EBITDA adjustment</t>
        </is>
      </c>
      <c r="H14" s="46" t="n">
        <v>420000</v>
      </c>
      <c r="I14" s="27" t="inlineStr"/>
      <c r="J14" s="27" t="inlineStr">
        <is>
          <t>USD</t>
        </is>
      </c>
      <c r="K14" s="27" t="inlineStr">
        <is>
          <t>Seller QoE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DEV-00047</t>
        </is>
      </c>
      <c r="B15" s="27" t="inlineStr">
        <is>
          <t>Redwood Controls quality-of-earnings normalization</t>
        </is>
      </c>
      <c r="C15" s="27" t="inlineStr">
        <is>
          <t>QoE adjustment evidence</t>
        </is>
      </c>
      <c r="D15" s="27" t="inlineStr">
        <is>
          <t>Buyer procurement synergies</t>
        </is>
      </c>
      <c r="E15" s="27" t="inlineStr">
        <is>
          <t>LTM 2026-06-30</t>
        </is>
      </c>
      <c r="F15" s="27" t="inlineStr">
        <is>
          <t>Approved case</t>
        </is>
      </c>
      <c r="G15" s="27" t="inlineStr">
        <is>
          <t>Savings realized through cutoff</t>
        </is>
      </c>
      <c r="H15" s="46" t="n">
        <v>0</v>
      </c>
      <c r="I15" s="27" t="inlineStr"/>
      <c r="J15" s="27" t="inlineStr">
        <is>
          <t>USD</t>
        </is>
      </c>
      <c r="K15" s="27" t="inlineStr">
        <is>
          <t>Procurement diligence tracker</t>
        </is>
      </c>
      <c r="L15" s="47" t="inlineStr">
        <is>
          <t>2026-06-30</t>
        </is>
      </c>
      <c r="M15" s="27" t="inlineStr"/>
    </row>
    <row r="16">
      <c r="A16" s="36" t="inlineStr">
        <is>
          <t>DEV-00048</t>
        </is>
      </c>
      <c r="B16" s="27" t="inlineStr">
        <is>
          <t>Redwood Controls quality-of-earnings normalization</t>
        </is>
      </c>
      <c r="C16" s="27" t="inlineStr">
        <is>
          <t>QoE adjustment evidence</t>
        </is>
      </c>
      <c r="D16" s="27" t="inlineStr">
        <is>
          <t>Buyer procurement synergies</t>
        </is>
      </c>
      <c r="E16" s="27" t="inlineStr">
        <is>
          <t>LTM 2026-06-30</t>
        </is>
      </c>
      <c r="F16" s="27" t="inlineStr">
        <is>
          <t>Approved case</t>
        </is>
      </c>
      <c r="G16" s="27" t="inlineStr">
        <is>
          <t>Execution basis</t>
        </is>
      </c>
      <c r="H16" s="46" t="inlineStr"/>
      <c r="I16" s="27" t="inlineStr">
        <is>
          <t>Post-close buyer scale; no contract</t>
        </is>
      </c>
      <c r="J16" s="27" t="inlineStr">
        <is>
          <t>classification</t>
        </is>
      </c>
      <c r="K16" s="27" t="inlineStr">
        <is>
          <t>Procurement diligence tracker</t>
        </is>
      </c>
      <c r="L16" s="47" t="inlineStr">
        <is>
          <t>2026-06-30</t>
        </is>
      </c>
      <c r="M16" s="27" t="inlineStr"/>
    </row>
    <row r="17">
      <c r="A17" s="36" t="inlineStr">
        <is>
          <t>DEV-00049</t>
        </is>
      </c>
      <c r="B17" s="27" t="inlineStr">
        <is>
          <t>Redwood Controls quality-of-earnings normalization</t>
        </is>
      </c>
      <c r="C17" s="27" t="inlineStr">
        <is>
          <t>QoE adjustment evidence</t>
        </is>
      </c>
      <c r="D17" s="27" t="inlineStr">
        <is>
          <t>Uncommitted facility savings</t>
        </is>
      </c>
      <c r="E17" s="27" t="inlineStr">
        <is>
          <t>LTM 2026-06-30</t>
        </is>
      </c>
      <c r="F17" s="27" t="inlineStr">
        <is>
          <t>Approved case</t>
        </is>
      </c>
      <c r="G17" s="27" t="inlineStr">
        <is>
          <t>Seller proposed EBITDA adjustment</t>
        </is>
      </c>
      <c r="H17" s="46" t="n">
        <v>260000</v>
      </c>
      <c r="I17" s="27" t="inlineStr"/>
      <c r="J17" s="27" t="inlineStr">
        <is>
          <t>USD</t>
        </is>
      </c>
      <c r="K17" s="27" t="inlineStr">
        <is>
          <t>Seller QoE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DEV-00050</t>
        </is>
      </c>
      <c r="B18" s="27" t="inlineStr">
        <is>
          <t>Redwood Controls quality-of-earnings normalization</t>
        </is>
      </c>
      <c r="C18" s="27" t="inlineStr">
        <is>
          <t>QoE adjustment evidence</t>
        </is>
      </c>
      <c r="D18" s="27" t="inlineStr">
        <is>
          <t>Uncommitted facility savings</t>
        </is>
      </c>
      <c r="E18" s="27" t="inlineStr">
        <is>
          <t>LTM 2026-06-30</t>
        </is>
      </c>
      <c r="F18" s="27" t="inlineStr">
        <is>
          <t>Approved case</t>
        </is>
      </c>
      <c r="G18" s="27" t="inlineStr">
        <is>
          <t>Executed annual rent reduction</t>
        </is>
      </c>
      <c r="H18" s="46" t="n">
        <v>0</v>
      </c>
      <c r="I18" s="27" t="inlineStr"/>
      <c r="J18" s="27" t="inlineStr">
        <is>
          <t>USD</t>
        </is>
      </c>
      <c r="K18" s="27" t="inlineStr">
        <is>
          <t>Facility diligence tracker</t>
        </is>
      </c>
      <c r="L18" s="47" t="inlineStr">
        <is>
          <t>2026-06-30</t>
        </is>
      </c>
      <c r="M18" s="27" t="inlineStr"/>
    </row>
    <row r="19">
      <c r="A19" s="36" t="inlineStr">
        <is>
          <t>DEV-00051</t>
        </is>
      </c>
      <c r="B19" s="27" t="inlineStr">
        <is>
          <t>Redwood Controls quality-of-earnings normalization</t>
        </is>
      </c>
      <c r="C19" s="27" t="inlineStr">
        <is>
          <t>QoE adjustment evidence</t>
        </is>
      </c>
      <c r="D19" s="27" t="inlineStr">
        <is>
          <t>Uncommitted facility savings</t>
        </is>
      </c>
      <c r="E19" s="27" t="inlineStr">
        <is>
          <t>LTM 2026-06-30</t>
        </is>
      </c>
      <c r="F19" s="27" t="inlineStr">
        <is>
          <t>Approved case</t>
        </is>
      </c>
      <c r="G19" s="27" t="inlineStr">
        <is>
          <t>Execution basis</t>
        </is>
      </c>
      <c r="H19" s="46" t="inlineStr"/>
      <c r="I19" s="27" t="inlineStr">
        <is>
          <t>Lease unsigned; target remains obligated</t>
        </is>
      </c>
      <c r="J19" s="27" t="inlineStr">
        <is>
          <t>classification</t>
        </is>
      </c>
      <c r="K19" s="27" t="inlineStr">
        <is>
          <t>Facility diligence tracker</t>
        </is>
      </c>
      <c r="L19" s="47" t="inlineStr">
        <is>
          <t>2026-06-30</t>
        </is>
      </c>
      <c r="M19" s="27" t="inlineStr"/>
    </row>
    <row r="20">
      <c r="A20" s="36" t="inlineStr">
        <is>
          <t>DEV-00052</t>
        </is>
      </c>
      <c r="B20" s="27" t="inlineStr">
        <is>
          <t>Redwood Controls quality-of-earnings normalization</t>
        </is>
      </c>
      <c r="C20" s="27" t="inlineStr">
        <is>
          <t>Remaining risk register</t>
        </is>
      </c>
      <c r="D20" s="27" t="inlineStr">
        <is>
          <t>Top-customer concentration</t>
        </is>
      </c>
      <c r="E20" s="27" t="inlineStr">
        <is>
          <t>Diligence</t>
        </is>
      </c>
      <c r="F20" s="27" t="inlineStr">
        <is>
          <t>Approved case</t>
        </is>
      </c>
      <c r="G20" s="27" t="inlineStr">
        <is>
          <t>Probability</t>
        </is>
      </c>
      <c r="H20" s="46" t="n">
        <v>0.8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DEV-00053</t>
        </is>
      </c>
      <c r="B21" s="27" t="inlineStr">
        <is>
          <t>Redwood Controls quality-of-earnings normalization</t>
        </is>
      </c>
      <c r="C21" s="27" t="inlineStr">
        <is>
          <t>Remaining risk register</t>
        </is>
      </c>
      <c r="D21" s="27" t="inlineStr">
        <is>
          <t>Top-customer concentration</t>
        </is>
      </c>
      <c r="E21" s="27" t="inlineStr">
        <is>
          <t>Diligence</t>
        </is>
      </c>
      <c r="F21" s="27" t="inlineStr">
        <is>
          <t>Approved case</t>
        </is>
      </c>
      <c r="G21" s="27" t="inlineStr">
        <is>
          <t>EBITDA impact</t>
        </is>
      </c>
      <c r="H21" s="46" t="n">
        <v>1200000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DEV-00054</t>
        </is>
      </c>
      <c r="B22" s="27" t="inlineStr">
        <is>
          <t>Redwood Controls quality-of-earnings normalization</t>
        </is>
      </c>
      <c r="C22" s="27" t="inlineStr">
        <is>
          <t>Remaining risk register</t>
        </is>
      </c>
      <c r="D22" s="27" t="inlineStr">
        <is>
          <t>Technician attrition</t>
        </is>
      </c>
      <c r="E22" s="27" t="inlineStr">
        <is>
          <t>Diligence</t>
        </is>
      </c>
      <c r="F22" s="27" t="inlineStr">
        <is>
          <t>Approved case</t>
        </is>
      </c>
      <c r="G22" s="27" t="inlineStr">
        <is>
          <t>Probability</t>
        </is>
      </c>
      <c r="H22" s="46" t="n">
        <v>0.55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DEV-00055</t>
        </is>
      </c>
      <c r="B23" s="27" t="inlineStr">
        <is>
          <t>Redwood Controls quality-of-earnings normalization</t>
        </is>
      </c>
      <c r="C23" s="27" t="inlineStr">
        <is>
          <t>Remaining risk register</t>
        </is>
      </c>
      <c r="D23" s="27" t="inlineStr">
        <is>
          <t>Technician attrition</t>
        </is>
      </c>
      <c r="E23" s="27" t="inlineStr">
        <is>
          <t>Diligence</t>
        </is>
      </c>
      <c r="F23" s="27" t="inlineStr">
        <is>
          <t>Approved case</t>
        </is>
      </c>
      <c r="G23" s="27" t="inlineStr">
        <is>
          <t>EBITDA impact</t>
        </is>
      </c>
      <c r="H23" s="46" t="n">
        <v>780000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DEV-00056</t>
        </is>
      </c>
      <c r="B24" s="27" t="inlineStr">
        <is>
          <t>Redwood Controls quality-of-earnings normalization</t>
        </is>
      </c>
      <c r="C24" s="27" t="inlineStr">
        <is>
          <t>Remaining risk register</t>
        </is>
      </c>
      <c r="D24" s="27" t="inlineStr">
        <is>
          <t>Deferred maintenance</t>
        </is>
      </c>
      <c r="E24" s="27" t="inlineStr">
        <is>
          <t>Diligence</t>
        </is>
      </c>
      <c r="F24" s="27" t="inlineStr">
        <is>
          <t>Approved case</t>
        </is>
      </c>
      <c r="G24" s="27" t="inlineStr">
        <is>
          <t>Probability</t>
        </is>
      </c>
      <c r="H24" s="46" t="n">
        <v>0.45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DEV-00057</t>
        </is>
      </c>
      <c r="B25" s="27" t="inlineStr">
        <is>
          <t>Redwood Controls quality-of-earnings normalization</t>
        </is>
      </c>
      <c r="C25" s="27" t="inlineStr">
        <is>
          <t>Remaining risk register</t>
        </is>
      </c>
      <c r="D25" s="27" t="inlineStr">
        <is>
          <t>Deferred maintenance</t>
        </is>
      </c>
      <c r="E25" s="27" t="inlineStr">
        <is>
          <t>Diligence</t>
        </is>
      </c>
      <c r="F25" s="27" t="inlineStr">
        <is>
          <t>Approved case</t>
        </is>
      </c>
      <c r="G25" s="27" t="inlineStr">
        <is>
          <t>EBITDA impact</t>
        </is>
      </c>
      <c r="H25" s="46" t="n">
        <v>640000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DEV-00058</t>
        </is>
      </c>
      <c r="B26" s="27" t="inlineStr">
        <is>
          <t>Redwood Controls quality-of-earnings normalization</t>
        </is>
      </c>
      <c r="C26" s="27" t="inlineStr">
        <is>
          <t>IC valuation assumptions</t>
        </is>
      </c>
      <c r="D26" s="27" t="inlineStr">
        <is>
          <t>Redwood Controls</t>
        </is>
      </c>
      <c r="E26" s="27" t="inlineStr">
        <is>
          <t>2026-07-05</t>
        </is>
      </c>
      <c r="F26" s="27" t="inlineStr">
        <is>
          <t>Approved case</t>
        </is>
      </c>
      <c r="G26" s="27" t="inlineStr">
        <is>
          <t>Working entry multiple</t>
        </is>
      </c>
      <c r="H26" s="46" t="n">
        <v>7.5</v>
      </c>
      <c r="I26" s="27" t="inlineStr"/>
      <c r="J26" s="27" t="inlineStr">
        <is>
          <t>multiple</t>
        </is>
      </c>
      <c r="K26" s="27" t="inlineStr">
        <is>
          <t>Controller-tied IC case book</t>
        </is>
      </c>
      <c r="L26" s="47" t="inlineStr">
        <is>
          <t>2026-06-30</t>
        </is>
      </c>
      <c r="M26" s="27" t="inlineStr"/>
    </row>
    <row r="27">
      <c r="A27" s="36" t="inlineStr">
        <is>
          <t>DEV-00142</t>
        </is>
      </c>
      <c r="B27" s="27" t="inlineStr">
        <is>
          <t>BluePeak normalized working-capital peg</t>
        </is>
      </c>
      <c r="C27" s="27" t="inlineStr">
        <is>
          <t>Purchase agreement</t>
        </is>
      </c>
      <c r="D27" s="27" t="inlineStr">
        <is>
          <t>BluePeak</t>
        </is>
      </c>
      <c r="E27" s="27" t="inlineStr">
        <is>
          <t>Signing</t>
        </is>
      </c>
      <c r="F27" s="27" t="inlineStr">
        <is>
          <t>Approved case</t>
        </is>
      </c>
      <c r="G27" s="27" t="inlineStr">
        <is>
          <t>Peg collar</t>
        </is>
      </c>
      <c r="H27" s="46" t="n">
        <v>250000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DEV-00143</t>
        </is>
      </c>
      <c r="B28" s="27" t="inlineStr">
        <is>
          <t>BluePeak normalized working-capital peg</t>
        </is>
      </c>
      <c r="C28" s="27" t="inlineStr">
        <is>
          <t>Purchase agreement</t>
        </is>
      </c>
      <c r="D28" s="27" t="inlineStr">
        <is>
          <t>BluePeak</t>
        </is>
      </c>
      <c r="E28" s="27" t="inlineStr">
        <is>
          <t>Signing</t>
        </is>
      </c>
      <c r="F28" s="27" t="inlineStr">
        <is>
          <t>Approved case</t>
        </is>
      </c>
      <c r="G28" s="27" t="inlineStr">
        <is>
          <t>Shortfall adjustment rate</t>
        </is>
      </c>
      <c r="H28" s="46" t="n">
        <v>1</v>
      </c>
      <c r="I28" s="27" t="inlineStr"/>
      <c r="J28" s="27" t="inlineStr">
        <is>
          <t>USD per 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DEV-00144</t>
        </is>
      </c>
      <c r="B29" s="27" t="inlineStr">
        <is>
          <t>BluePeak normalized working-capital peg</t>
        </is>
      </c>
      <c r="C29" s="27" t="inlineStr">
        <is>
          <t>Diligence peg treatment</t>
        </is>
      </c>
      <c r="D29" s="27" t="inlineStr">
        <is>
          <t>2025-12</t>
        </is>
      </c>
      <c r="E29" s="27" t="inlineStr">
        <is>
          <t>Review</t>
        </is>
      </c>
      <c r="F29" s="27" t="inlineStr">
        <is>
          <t>Approved case</t>
        </is>
      </c>
      <c r="G29" s="27" t="inlineStr">
        <is>
          <t>Peg treatment</t>
        </is>
      </c>
      <c r="H29" s="46" t="inlineStr"/>
      <c r="I29" s="27" t="inlineStr">
        <is>
          <t>Exclude</t>
        </is>
      </c>
      <c r="J29" s="27" t="inlineStr">
        <is>
          <t>classification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DEV-00145</t>
        </is>
      </c>
      <c r="B30" s="27" t="inlineStr">
        <is>
          <t>BluePeak normalized working-capital peg</t>
        </is>
      </c>
      <c r="C30" s="27" t="inlineStr">
        <is>
          <t>Diligence peg treatment</t>
        </is>
      </c>
      <c r="D30" s="27" t="inlineStr">
        <is>
          <t>2026-01</t>
        </is>
      </c>
      <c r="E30" s="27" t="inlineStr">
        <is>
          <t>Review</t>
        </is>
      </c>
      <c r="F30" s="27" t="inlineStr">
        <is>
          <t>Approved case</t>
        </is>
      </c>
      <c r="G30" s="27" t="inlineStr">
        <is>
          <t>Peg treatment</t>
        </is>
      </c>
      <c r="H30" s="46" t="inlineStr"/>
      <c r="I30" s="27" t="inlineStr">
        <is>
          <t>Exclude</t>
        </is>
      </c>
      <c r="J30" s="27" t="inlineStr">
        <is>
          <t>classification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DEV-00146</t>
        </is>
      </c>
      <c r="B31" s="27" t="inlineStr">
        <is>
          <t>BluePeak normalized working-capital peg</t>
        </is>
      </c>
      <c r="C31" s="27" t="inlineStr">
        <is>
          <t>Closing eligibility condition</t>
        </is>
      </c>
      <c r="D31" s="27" t="inlineStr">
        <is>
          <t>Disputed change-order receivable</t>
        </is>
      </c>
      <c r="E31" s="27" t="inlineStr">
        <is>
          <t>Estimated closing</t>
        </is>
      </c>
      <c r="F31" s="27" t="inlineStr">
        <is>
          <t>Approved case</t>
        </is>
      </c>
      <c r="G31" s="27" t="inlineStr">
        <is>
          <t>Required support</t>
        </is>
      </c>
      <c r="H31" s="46" t="inlineStr"/>
      <c r="I31" s="27" t="inlineStr">
        <is>
          <t>signed customer acceptance</t>
        </is>
      </c>
      <c r="J31" s="27" t="inlineStr">
        <is>
          <t>classification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DEV-00147</t>
        </is>
      </c>
      <c r="B32" s="27" t="inlineStr">
        <is>
          <t>BluePeak normalized working-capital peg</t>
        </is>
      </c>
      <c r="C32" s="27" t="inlineStr">
        <is>
          <t>Closing eligibility condition</t>
        </is>
      </c>
      <c r="D32" s="27" t="inlineStr">
        <is>
          <t>Disputed change-order receivable</t>
        </is>
      </c>
      <c r="E32" s="27" t="inlineStr">
        <is>
          <t>Estimated closing</t>
        </is>
      </c>
      <c r="F32" s="27" t="inlineStr">
        <is>
          <t>Approved case</t>
        </is>
      </c>
      <c r="G32" s="27" t="inlineStr">
        <is>
          <t>Eligibility with support</t>
        </is>
      </c>
      <c r="H32" s="46" t="inlineStr"/>
      <c r="I32" s="27" t="inlineStr">
        <is>
          <t>Included in operating NWC</t>
        </is>
      </c>
      <c r="J32" s="27" t="inlineStr">
        <is>
          <t>classification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DEV-00409</t>
        </is>
      </c>
      <c r="B33" s="27" t="inlineStr">
        <is>
          <t>Create the Pioneer QoE and purchase-price bridge</t>
        </is>
      </c>
      <c r="C33" s="27" t="inlineStr">
        <is>
          <t>Target reported results</t>
        </is>
      </c>
      <c r="D33" s="27" t="inlineStr">
        <is>
          <t>Pioneer HVAC</t>
        </is>
      </c>
      <c r="E33" s="27" t="inlineStr">
        <is>
          <t>LTM 2026-06-30</t>
        </is>
      </c>
      <c r="F33" s="27" t="inlineStr">
        <is>
          <t>Approved case</t>
        </is>
      </c>
      <c r="G33" s="27" t="inlineStr">
        <is>
          <t>Reported EBITDA</t>
        </is>
      </c>
      <c r="H33" s="46" t="n">
        <v>4860000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DEV-00410</t>
        </is>
      </c>
      <c r="B34" s="27" t="inlineStr">
        <is>
          <t>Create the Pioneer QoE and purchase-price bridge</t>
        </is>
      </c>
      <c r="C34" s="27" t="inlineStr">
        <is>
          <t>QoE adjustments</t>
        </is>
      </c>
      <c r="D34" s="27" t="inlineStr">
        <is>
          <t>Owner compensation normalization</t>
        </is>
      </c>
      <c r="E34" s="27" t="inlineStr">
        <is>
          <t>LTM 2026-06-30</t>
        </is>
      </c>
      <c r="F34" s="27" t="inlineStr">
        <is>
          <t>Approved case</t>
        </is>
      </c>
      <c r="G34" s="27" t="inlineStr">
        <is>
          <t>EBITDA adjustment</t>
        </is>
      </c>
      <c r="H34" s="46" t="n">
        <v>420000</v>
      </c>
      <c r="I34" s="27" t="inlineStr"/>
      <c r="J34" s="27" t="inlineStr">
        <is>
          <t>USD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DEV-00411</t>
        </is>
      </c>
      <c r="B35" s="27" t="inlineStr">
        <is>
          <t>Create the Pioneer QoE and purchase-price bridge</t>
        </is>
      </c>
      <c r="C35" s="27" t="inlineStr">
        <is>
          <t>QoE adjustments</t>
        </is>
      </c>
      <c r="D35" s="27" t="inlineStr">
        <is>
          <t>Owner compensation normalization</t>
        </is>
      </c>
      <c r="E35" s="27" t="inlineStr">
        <is>
          <t>LTM 2026-06-30</t>
        </is>
      </c>
      <c r="F35" s="27" t="inlineStr">
        <is>
          <t>Approved case</t>
        </is>
      </c>
      <c r="G35" s="27" t="inlineStr">
        <is>
          <t>Include in QoE</t>
        </is>
      </c>
      <c r="H35" s="46" t="n">
        <v>1</v>
      </c>
      <c r="I35" s="27" t="inlineStr"/>
      <c r="J35" s="27" t="inlineStr">
        <is>
          <t>boolean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DEV-00412</t>
        </is>
      </c>
      <c r="B36" s="27" t="inlineStr">
        <is>
          <t>Create the Pioneer QoE and purchase-price bridge</t>
        </is>
      </c>
      <c r="C36" s="27" t="inlineStr">
        <is>
          <t>QoE adjustments</t>
        </is>
      </c>
      <c r="D36" s="27" t="inlineStr">
        <is>
          <t>Owner compensation normalization</t>
        </is>
      </c>
      <c r="E36" s="27" t="inlineStr">
        <is>
          <t>LTM 2026-06-30</t>
        </is>
      </c>
      <c r="F36" s="27" t="inlineStr">
        <is>
          <t>Approved case</t>
        </is>
      </c>
      <c r="G36" s="27" t="inlineStr">
        <is>
          <t>Classification</t>
        </is>
      </c>
      <c r="H36" s="46" t="inlineStr"/>
      <c r="I36" s="27" t="inlineStr">
        <is>
          <t>Recurring normalization</t>
        </is>
      </c>
      <c r="J36" s="27" t="inlineStr">
        <is>
          <t>classification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DEV-00413</t>
        </is>
      </c>
      <c r="B37" s="27" t="inlineStr">
        <is>
          <t>Create the Pioneer QoE and purchase-price bridge</t>
        </is>
      </c>
      <c r="C37" s="27" t="inlineStr">
        <is>
          <t>QoE adjustments</t>
        </is>
      </c>
      <c r="D37" s="27" t="inlineStr">
        <is>
          <t>Uninsured storm loss</t>
        </is>
      </c>
      <c r="E37" s="27" t="inlineStr">
        <is>
          <t>LTM 2026-06-30</t>
        </is>
      </c>
      <c r="F37" s="27" t="inlineStr">
        <is>
          <t>Approved case</t>
        </is>
      </c>
      <c r="G37" s="27" t="inlineStr">
        <is>
          <t>EBITDA adjustment</t>
        </is>
      </c>
      <c r="H37" s="46" t="n">
        <v>285000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DEV-00414</t>
        </is>
      </c>
      <c r="B38" s="27" t="inlineStr">
        <is>
          <t>Create the Pioneer QoE and purchase-price bridge</t>
        </is>
      </c>
      <c r="C38" s="27" t="inlineStr">
        <is>
          <t>QoE adjustments</t>
        </is>
      </c>
      <c r="D38" s="27" t="inlineStr">
        <is>
          <t>Uninsured storm loss</t>
        </is>
      </c>
      <c r="E38" s="27" t="inlineStr">
        <is>
          <t>LTM 2026-06-30</t>
        </is>
      </c>
      <c r="F38" s="27" t="inlineStr">
        <is>
          <t>Approved case</t>
        </is>
      </c>
      <c r="G38" s="27" t="inlineStr">
        <is>
          <t>Include in QoE</t>
        </is>
      </c>
      <c r="H38" s="46" t="n">
        <v>1</v>
      </c>
      <c r="I38" s="27" t="inlineStr"/>
      <c r="J38" s="27" t="inlineStr">
        <is>
          <t>boolean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DEV-00415</t>
        </is>
      </c>
      <c r="B39" s="27" t="inlineStr">
        <is>
          <t>Create the Pioneer QoE and purchase-price bridge</t>
        </is>
      </c>
      <c r="C39" s="27" t="inlineStr">
        <is>
          <t>QoE adjustments</t>
        </is>
      </c>
      <c r="D39" s="27" t="inlineStr">
        <is>
          <t>Uninsured storm loss</t>
        </is>
      </c>
      <c r="E39" s="27" t="inlineStr">
        <is>
          <t>LTM 2026-06-30</t>
        </is>
      </c>
      <c r="F39" s="27" t="inlineStr">
        <is>
          <t>Approved case</t>
        </is>
      </c>
      <c r="G39" s="27" t="inlineStr">
        <is>
          <t>Classification</t>
        </is>
      </c>
      <c r="H39" s="46" t="inlineStr"/>
      <c r="I39" s="27" t="inlineStr">
        <is>
          <t>Nonrecurring</t>
        </is>
      </c>
      <c r="J39" s="27" t="inlineStr">
        <is>
          <t>classification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DEV-00416</t>
        </is>
      </c>
      <c r="B40" s="27" t="inlineStr">
        <is>
          <t>Create the Pioneer QoE and purchase-price bridge</t>
        </is>
      </c>
      <c r="C40" s="27" t="inlineStr">
        <is>
          <t>QoE adjustments</t>
        </is>
      </c>
      <c r="D40" s="27" t="inlineStr">
        <is>
          <t>Run-rate sales hires</t>
        </is>
      </c>
      <c r="E40" s="27" t="inlineStr">
        <is>
          <t>LTM 2026-06-30</t>
        </is>
      </c>
      <c r="F40" s="27" t="inlineStr">
        <is>
          <t>Approved case</t>
        </is>
      </c>
      <c r="G40" s="27" t="inlineStr">
        <is>
          <t>EBITDA adjustment</t>
        </is>
      </c>
      <c r="H40" s="46" t="n">
        <v>-360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DEV-00417</t>
        </is>
      </c>
      <c r="B41" s="27" t="inlineStr">
        <is>
          <t>Create the Pioneer QoE and purchase-price bridge</t>
        </is>
      </c>
      <c r="C41" s="27" t="inlineStr">
        <is>
          <t>QoE adjustments</t>
        </is>
      </c>
      <c r="D41" s="27" t="inlineStr">
        <is>
          <t>Run-rate sales hires</t>
        </is>
      </c>
      <c r="E41" s="27" t="inlineStr">
        <is>
          <t>LTM 2026-06-30</t>
        </is>
      </c>
      <c r="F41" s="27" t="inlineStr">
        <is>
          <t>Approved case</t>
        </is>
      </c>
      <c r="G41" s="27" t="inlineStr">
        <is>
          <t>Include in QoE</t>
        </is>
      </c>
      <c r="H41" s="46" t="n">
        <v>1</v>
      </c>
      <c r="I41" s="27" t="inlineStr"/>
      <c r="J41" s="27" t="inlineStr">
        <is>
          <t>boolean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DEV-00418</t>
        </is>
      </c>
      <c r="B42" s="27" t="inlineStr">
        <is>
          <t>Create the Pioneer QoE and purchase-price bridge</t>
        </is>
      </c>
      <c r="C42" s="27" t="inlineStr">
        <is>
          <t>QoE adjustments</t>
        </is>
      </c>
      <c r="D42" s="27" t="inlineStr">
        <is>
          <t>Run-rate sales hires</t>
        </is>
      </c>
      <c r="E42" s="27" t="inlineStr">
        <is>
          <t>LTM 2026-06-30</t>
        </is>
      </c>
      <c r="F42" s="27" t="inlineStr">
        <is>
          <t>Approved case</t>
        </is>
      </c>
      <c r="G42" s="27" t="inlineStr">
        <is>
          <t>Classification</t>
        </is>
      </c>
      <c r="H42" s="46" t="inlineStr"/>
      <c r="I42" s="27" t="inlineStr">
        <is>
          <t>Missing recurring cost</t>
        </is>
      </c>
      <c r="J42" s="27" t="inlineStr">
        <is>
          <t>classification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DEV-00419</t>
        </is>
      </c>
      <c r="B43" s="27" t="inlineStr">
        <is>
          <t>Create the Pioneer QoE and purchase-price bridge</t>
        </is>
      </c>
      <c r="C43" s="27" t="inlineStr">
        <is>
          <t>QoE adjustments</t>
        </is>
      </c>
      <c r="D43" s="27" t="inlineStr">
        <is>
          <t>Proposed procurement synergy</t>
        </is>
      </c>
      <c r="E43" s="27" t="inlineStr">
        <is>
          <t>LTM 2026-06-30</t>
        </is>
      </c>
      <c r="F43" s="27" t="inlineStr">
        <is>
          <t>Approved case</t>
        </is>
      </c>
      <c r="G43" s="27" t="inlineStr">
        <is>
          <t>EBITDA adjustment</t>
        </is>
      </c>
      <c r="H43" s="46" t="n">
        <v>610000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DEV-00420</t>
        </is>
      </c>
      <c r="B44" s="27" t="inlineStr">
        <is>
          <t>Create the Pioneer QoE and purchase-price bridge</t>
        </is>
      </c>
      <c r="C44" s="27" t="inlineStr">
        <is>
          <t>QoE adjustments</t>
        </is>
      </c>
      <c r="D44" s="27" t="inlineStr">
        <is>
          <t>Proposed procurement synergy</t>
        </is>
      </c>
      <c r="E44" s="27" t="inlineStr">
        <is>
          <t>LTM 2026-06-30</t>
        </is>
      </c>
      <c r="F44" s="27" t="inlineStr">
        <is>
          <t>Approved case</t>
        </is>
      </c>
      <c r="G44" s="27" t="inlineStr">
        <is>
          <t>Include in QoE</t>
        </is>
      </c>
      <c r="H44" s="46" t="n">
        <v>0</v>
      </c>
      <c r="I44" s="27" t="inlineStr"/>
      <c r="J44" s="27" t="inlineStr">
        <is>
          <t>boolean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DEV-00421</t>
        </is>
      </c>
      <c r="B45" s="27" t="inlineStr">
        <is>
          <t>Create the Pioneer QoE and purchase-price bridge</t>
        </is>
      </c>
      <c r="C45" s="27" t="inlineStr">
        <is>
          <t>QoE adjustments</t>
        </is>
      </c>
      <c r="D45" s="27" t="inlineStr">
        <is>
          <t>Proposed procurement synergy</t>
        </is>
      </c>
      <c r="E45" s="27" t="inlineStr">
        <is>
          <t>LTM 2026-06-30</t>
        </is>
      </c>
      <c r="F45" s="27" t="inlineStr">
        <is>
          <t>Approved case</t>
        </is>
      </c>
      <c r="G45" s="27" t="inlineStr">
        <is>
          <t>Classification</t>
        </is>
      </c>
      <c r="H45" s="46" t="inlineStr"/>
      <c r="I45" s="27" t="inlineStr">
        <is>
          <t>Buyer synergy</t>
        </is>
      </c>
      <c r="J45" s="27" t="inlineStr">
        <is>
          <t>classification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DEV-00422</t>
        </is>
      </c>
      <c r="B46" s="27" t="inlineStr">
        <is>
          <t>Create the Pioneer QoE and purchase-price bridge</t>
        </is>
      </c>
      <c r="C46" s="27" t="inlineStr">
        <is>
          <t>QoE adjustments</t>
        </is>
      </c>
      <c r="D46" s="27" t="inlineStr">
        <is>
          <t>Discontinued branch losses</t>
        </is>
      </c>
      <c r="E46" s="27" t="inlineStr">
        <is>
          <t>LTM 2026-06-30</t>
        </is>
      </c>
      <c r="F46" s="27" t="inlineStr">
        <is>
          <t>Approved case</t>
        </is>
      </c>
      <c r="G46" s="27" t="inlineStr">
        <is>
          <t>EBITDA adjustment</t>
        </is>
      </c>
      <c r="H46" s="46" t="n">
        <v>175000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DEV-00423</t>
        </is>
      </c>
      <c r="B47" s="27" t="inlineStr">
        <is>
          <t>Create the Pioneer QoE and purchase-price bridge</t>
        </is>
      </c>
      <c r="C47" s="27" t="inlineStr">
        <is>
          <t>QoE adjustments</t>
        </is>
      </c>
      <c r="D47" s="27" t="inlineStr">
        <is>
          <t>Discontinued branch losses</t>
        </is>
      </c>
      <c r="E47" s="27" t="inlineStr">
        <is>
          <t>LTM 2026-06-30</t>
        </is>
      </c>
      <c r="F47" s="27" t="inlineStr">
        <is>
          <t>Approved case</t>
        </is>
      </c>
      <c r="G47" s="27" t="inlineStr">
        <is>
          <t>Include in QoE</t>
        </is>
      </c>
      <c r="H47" s="46" t="n">
        <v>1</v>
      </c>
      <c r="I47" s="27" t="inlineStr"/>
      <c r="J47" s="27" t="inlineStr">
        <is>
          <t>boolean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DEV-00424</t>
        </is>
      </c>
      <c r="B48" s="27" t="inlineStr">
        <is>
          <t>Create the Pioneer QoE and purchase-price bridge</t>
        </is>
      </c>
      <c r="C48" s="27" t="inlineStr">
        <is>
          <t>QoE adjustments</t>
        </is>
      </c>
      <c r="D48" s="27" t="inlineStr">
        <is>
          <t>Discontinued branch losses</t>
        </is>
      </c>
      <c r="E48" s="27" t="inlineStr">
        <is>
          <t>LTM 2026-06-30</t>
        </is>
      </c>
      <c r="F48" s="27" t="inlineStr">
        <is>
          <t>Approved case</t>
        </is>
      </c>
      <c r="G48" s="27" t="inlineStr">
        <is>
          <t>Classification</t>
        </is>
      </c>
      <c r="H48" s="46" t="inlineStr"/>
      <c r="I48" s="27" t="inlineStr">
        <is>
          <t>Disposed before close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DEV-00425</t>
        </is>
      </c>
      <c r="B49" s="27" t="inlineStr">
        <is>
          <t>Create the Pioneer QoE and purchase-price bridge</t>
        </is>
      </c>
      <c r="C49" s="27" t="inlineStr">
        <is>
          <t>QoE adjustments</t>
        </is>
      </c>
      <c r="D49" s="27" t="inlineStr">
        <is>
          <t>Banker revenue uplift</t>
        </is>
      </c>
      <c r="E49" s="27" t="inlineStr">
        <is>
          <t>LTM 2026-06-30</t>
        </is>
      </c>
      <c r="F49" s="27" t="inlineStr">
        <is>
          <t>Approved case</t>
        </is>
      </c>
      <c r="G49" s="27" t="inlineStr">
        <is>
          <t>EBITDA adjustment</t>
        </is>
      </c>
      <c r="H49" s="46" t="n">
        <v>540000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DEV-00426</t>
        </is>
      </c>
      <c r="B50" s="27" t="inlineStr">
        <is>
          <t>Create the Pioneer QoE and purchase-price bridge</t>
        </is>
      </c>
      <c r="C50" s="27" t="inlineStr">
        <is>
          <t>QoE adjustments</t>
        </is>
      </c>
      <c r="D50" s="27" t="inlineStr">
        <is>
          <t>Banker revenue uplift</t>
        </is>
      </c>
      <c r="E50" s="27" t="inlineStr">
        <is>
          <t>LTM 2026-06-30</t>
        </is>
      </c>
      <c r="F50" s="27" t="inlineStr">
        <is>
          <t>Approved case</t>
        </is>
      </c>
      <c r="G50" s="27" t="inlineStr">
        <is>
          <t>Include in QoE</t>
        </is>
      </c>
      <c r="H50" s="46" t="n">
        <v>0</v>
      </c>
      <c r="I50" s="27" t="inlineStr"/>
      <c r="J50" s="27" t="inlineStr">
        <is>
          <t>boolean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DEV-00427</t>
        </is>
      </c>
      <c r="B51" s="27" t="inlineStr">
        <is>
          <t>Create the Pioneer QoE and purchase-price bridge</t>
        </is>
      </c>
      <c r="C51" s="27" t="inlineStr">
        <is>
          <t>QoE adjustments</t>
        </is>
      </c>
      <c r="D51" s="27" t="inlineStr">
        <is>
          <t>Banker revenue uplift</t>
        </is>
      </c>
      <c r="E51" s="27" t="inlineStr">
        <is>
          <t>LTM 2026-06-30</t>
        </is>
      </c>
      <c r="F51" s="27" t="inlineStr">
        <is>
          <t>Approved case</t>
        </is>
      </c>
      <c r="G51" s="27" t="inlineStr">
        <is>
          <t>Classification</t>
        </is>
      </c>
      <c r="H51" s="46" t="inlineStr"/>
      <c r="I51" s="27" t="inlineStr">
        <is>
          <t>Unsupported forecast</t>
        </is>
      </c>
      <c r="J51" s="27" t="inlineStr">
        <is>
          <t>classification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DEV-00428</t>
        </is>
      </c>
      <c r="B52" s="27" t="inlineStr">
        <is>
          <t>Create the Pioneer QoE and purchase-price bridge</t>
        </is>
      </c>
      <c r="C52" s="27" t="inlineStr">
        <is>
          <t>Target monthly working capital</t>
        </is>
      </c>
      <c r="D52" s="27" t="inlineStr">
        <is>
          <t>Pioneer HVAC</t>
        </is>
      </c>
      <c r="E52" s="27" t="inlineStr">
        <is>
          <t>2026-01</t>
        </is>
      </c>
      <c r="F52" s="27" t="inlineStr">
        <is>
          <t>Approved case</t>
        </is>
      </c>
      <c r="G52" s="27" t="inlineStr">
        <is>
          <t>Revenue</t>
        </is>
      </c>
      <c r="H52" s="46" t="n">
        <v>6200</v>
      </c>
      <c r="I52" s="27" t="inlineStr"/>
      <c r="J52" s="27" t="inlineStr">
        <is>
          <t>USD thousands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DEV-00429</t>
        </is>
      </c>
      <c r="B53" s="27" t="inlineStr">
        <is>
          <t>Create the Pioneer QoE and purchase-price bridge</t>
        </is>
      </c>
      <c r="C53" s="27" t="inlineStr">
        <is>
          <t>Target monthly working capital</t>
        </is>
      </c>
      <c r="D53" s="27" t="inlineStr">
        <is>
          <t>Pioneer HVAC</t>
        </is>
      </c>
      <c r="E53" s="27" t="inlineStr">
        <is>
          <t>2026-01</t>
        </is>
      </c>
      <c r="F53" s="27" t="inlineStr">
        <is>
          <t>Approved case</t>
        </is>
      </c>
      <c r="G53" s="27" t="inlineStr">
        <is>
          <t>Accounts receivable</t>
        </is>
      </c>
      <c r="H53" s="46" t="n">
        <v>2050000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DEV-00430</t>
        </is>
      </c>
      <c r="B54" s="27" t="inlineStr">
        <is>
          <t>Create the Pioneer QoE and purchase-price bridge</t>
        </is>
      </c>
      <c r="C54" s="27" t="inlineStr">
        <is>
          <t>Target monthly working capital</t>
        </is>
      </c>
      <c r="D54" s="27" t="inlineStr">
        <is>
          <t>Pioneer HVAC</t>
        </is>
      </c>
      <c r="E54" s="27" t="inlineStr">
        <is>
          <t>2026-01</t>
        </is>
      </c>
      <c r="F54" s="27" t="inlineStr">
        <is>
          <t>Approved case</t>
        </is>
      </c>
      <c r="G54" s="27" t="inlineStr">
        <is>
          <t>Inventory</t>
        </is>
      </c>
      <c r="H54" s="46" t="n">
        <v>2420000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DEV-00431</t>
        </is>
      </c>
      <c r="B55" s="27" t="inlineStr">
        <is>
          <t>Create the Pioneer QoE and purchase-price bridge</t>
        </is>
      </c>
      <c r="C55" s="27" t="inlineStr">
        <is>
          <t>Target monthly working capital</t>
        </is>
      </c>
      <c r="D55" s="27" t="inlineStr">
        <is>
          <t>Pioneer HVAC</t>
        </is>
      </c>
      <c r="E55" s="27" t="inlineStr">
        <is>
          <t>2026-01</t>
        </is>
      </c>
      <c r="F55" s="27" t="inlineStr">
        <is>
          <t>Approved case</t>
        </is>
      </c>
      <c r="G55" s="27" t="inlineStr">
        <is>
          <t>Accounts payable</t>
        </is>
      </c>
      <c r="H55" s="46" t="n">
        <v>1130000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DEV-00432</t>
        </is>
      </c>
      <c r="B56" s="27" t="inlineStr">
        <is>
          <t>Create the Pioneer QoE and purchase-price bridge</t>
        </is>
      </c>
      <c r="C56" s="27" t="inlineStr">
        <is>
          <t>Target monthly working capital</t>
        </is>
      </c>
      <c r="D56" s="27" t="inlineStr">
        <is>
          <t>Pioneer HVAC</t>
        </is>
      </c>
      <c r="E56" s="27" t="inlineStr">
        <is>
          <t>2026-02</t>
        </is>
      </c>
      <c r="F56" s="27" t="inlineStr">
        <is>
          <t>Approved case</t>
        </is>
      </c>
      <c r="G56" s="27" t="inlineStr">
        <is>
          <t>Revenue</t>
        </is>
      </c>
      <c r="H56" s="46" t="n">
        <v>6480</v>
      </c>
      <c r="I56" s="27" t="inlineStr"/>
      <c r="J56" s="27" t="inlineStr">
        <is>
          <t>USD thousands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DEV-00433</t>
        </is>
      </c>
      <c r="B57" s="27" t="inlineStr">
        <is>
          <t>Create the Pioneer QoE and purchase-price bridge</t>
        </is>
      </c>
      <c r="C57" s="27" t="inlineStr">
        <is>
          <t>Target monthly working capital</t>
        </is>
      </c>
      <c r="D57" s="27" t="inlineStr">
        <is>
          <t>Pioneer HVAC</t>
        </is>
      </c>
      <c r="E57" s="27" t="inlineStr">
        <is>
          <t>2026-02</t>
        </is>
      </c>
      <c r="F57" s="27" t="inlineStr">
        <is>
          <t>Approved case</t>
        </is>
      </c>
      <c r="G57" s="27" t="inlineStr">
        <is>
          <t>Accounts receivable</t>
        </is>
      </c>
      <c r="H57" s="46" t="n">
        <v>2210000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DEV-00434</t>
        </is>
      </c>
      <c r="B58" s="27" t="inlineStr">
        <is>
          <t>Create the Pioneer QoE and purchase-price bridge</t>
        </is>
      </c>
      <c r="C58" s="27" t="inlineStr">
        <is>
          <t>Target monthly working capital</t>
        </is>
      </c>
      <c r="D58" s="27" t="inlineStr">
        <is>
          <t>Pioneer HVAC</t>
        </is>
      </c>
      <c r="E58" s="27" t="inlineStr">
        <is>
          <t>2026-02</t>
        </is>
      </c>
      <c r="F58" s="27" t="inlineStr">
        <is>
          <t>Approved case</t>
        </is>
      </c>
      <c r="G58" s="27" t="inlineStr">
        <is>
          <t>Inventory</t>
        </is>
      </c>
      <c r="H58" s="46" t="n">
        <v>2510000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DEV-00435</t>
        </is>
      </c>
      <c r="B59" s="27" t="inlineStr">
        <is>
          <t>Create the Pioneer QoE and purchase-price bridge</t>
        </is>
      </c>
      <c r="C59" s="27" t="inlineStr">
        <is>
          <t>Target monthly working capital</t>
        </is>
      </c>
      <c r="D59" s="27" t="inlineStr">
        <is>
          <t>Pioneer HVAC</t>
        </is>
      </c>
      <c r="E59" s="27" t="inlineStr">
        <is>
          <t>2026-02</t>
        </is>
      </c>
      <c r="F59" s="27" t="inlineStr">
        <is>
          <t>Approved case</t>
        </is>
      </c>
      <c r="G59" s="27" t="inlineStr">
        <is>
          <t>Accounts payable</t>
        </is>
      </c>
      <c r="H59" s="46" t="n">
        <v>1180000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DEV-00436</t>
        </is>
      </c>
      <c r="B60" s="27" t="inlineStr">
        <is>
          <t>Create the Pioneer QoE and purchase-price bridge</t>
        </is>
      </c>
      <c r="C60" s="27" t="inlineStr">
        <is>
          <t>Target monthly working capital</t>
        </is>
      </c>
      <c r="D60" s="27" t="inlineStr">
        <is>
          <t>Pioneer HVAC</t>
        </is>
      </c>
      <c r="E60" s="27" t="inlineStr">
        <is>
          <t>2026-03</t>
        </is>
      </c>
      <c r="F60" s="27" t="inlineStr">
        <is>
          <t>Approved case</t>
        </is>
      </c>
      <c r="G60" s="27" t="inlineStr">
        <is>
          <t>Revenue</t>
        </is>
      </c>
      <c r="H60" s="46" t="n">
        <v>6850</v>
      </c>
      <c r="I60" s="27" t="inlineStr"/>
      <c r="J60" s="27" t="inlineStr">
        <is>
          <t>USD thousands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DEV-00437</t>
        </is>
      </c>
      <c r="B61" s="27" t="inlineStr">
        <is>
          <t>Create the Pioneer QoE and purchase-price bridge</t>
        </is>
      </c>
      <c r="C61" s="27" t="inlineStr">
        <is>
          <t>Target monthly working capital</t>
        </is>
      </c>
      <c r="D61" s="27" t="inlineStr">
        <is>
          <t>Pioneer HVAC</t>
        </is>
      </c>
      <c r="E61" s="27" t="inlineStr">
        <is>
          <t>2026-03</t>
        </is>
      </c>
      <c r="F61" s="27" t="inlineStr">
        <is>
          <t>Approved case</t>
        </is>
      </c>
      <c r="G61" s="27" t="inlineStr">
        <is>
          <t>Accounts receivable</t>
        </is>
      </c>
      <c r="H61" s="46" t="n">
        <v>2380000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DEV-00438</t>
        </is>
      </c>
      <c r="B62" s="27" t="inlineStr">
        <is>
          <t>Create the Pioneer QoE and purchase-price bridge</t>
        </is>
      </c>
      <c r="C62" s="27" t="inlineStr">
        <is>
          <t>Target monthly working capital</t>
        </is>
      </c>
      <c r="D62" s="27" t="inlineStr">
        <is>
          <t>Pioneer HVAC</t>
        </is>
      </c>
      <c r="E62" s="27" t="inlineStr">
        <is>
          <t>2026-03</t>
        </is>
      </c>
      <c r="F62" s="27" t="inlineStr">
        <is>
          <t>Approved case</t>
        </is>
      </c>
      <c r="G62" s="27" t="inlineStr">
        <is>
          <t>Inventory</t>
        </is>
      </c>
      <c r="H62" s="46" t="n">
        <v>2680000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DEV-00439</t>
        </is>
      </c>
      <c r="B63" s="27" t="inlineStr">
        <is>
          <t>Create the Pioneer QoE and purchase-price bridge</t>
        </is>
      </c>
      <c r="C63" s="27" t="inlineStr">
        <is>
          <t>Target monthly working capital</t>
        </is>
      </c>
      <c r="D63" s="27" t="inlineStr">
        <is>
          <t>Pioneer HVAC</t>
        </is>
      </c>
      <c r="E63" s="27" t="inlineStr">
        <is>
          <t>2026-03</t>
        </is>
      </c>
      <c r="F63" s="27" t="inlineStr">
        <is>
          <t>Approved case</t>
        </is>
      </c>
      <c r="G63" s="27" t="inlineStr">
        <is>
          <t>Accounts payable</t>
        </is>
      </c>
      <c r="H63" s="46" t="n">
        <v>1240000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DEV-00440</t>
        </is>
      </c>
      <c r="B64" s="27" t="inlineStr">
        <is>
          <t>Create the Pioneer QoE and purchase-price bridge</t>
        </is>
      </c>
      <c r="C64" s="27" t="inlineStr">
        <is>
          <t>Target monthly working capital</t>
        </is>
      </c>
      <c r="D64" s="27" t="inlineStr">
        <is>
          <t>Pioneer HVAC</t>
        </is>
      </c>
      <c r="E64" s="27" t="inlineStr">
        <is>
          <t>2026-04</t>
        </is>
      </c>
      <c r="F64" s="27" t="inlineStr">
        <is>
          <t>Approved case</t>
        </is>
      </c>
      <c r="G64" s="27" t="inlineStr">
        <is>
          <t>Revenue</t>
        </is>
      </c>
      <c r="H64" s="46" t="n">
        <v>6760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DEV-00441</t>
        </is>
      </c>
      <c r="B65" s="27" t="inlineStr">
        <is>
          <t>Create the Pioneer QoE and purchase-price bridge</t>
        </is>
      </c>
      <c r="C65" s="27" t="inlineStr">
        <is>
          <t>Target monthly working capital</t>
        </is>
      </c>
      <c r="D65" s="27" t="inlineStr">
        <is>
          <t>Pioneer HVAC</t>
        </is>
      </c>
      <c r="E65" s="27" t="inlineStr">
        <is>
          <t>2026-04</t>
        </is>
      </c>
      <c r="F65" s="27" t="inlineStr">
        <is>
          <t>Approved case</t>
        </is>
      </c>
      <c r="G65" s="27" t="inlineStr">
        <is>
          <t>Accounts receivable</t>
        </is>
      </c>
      <c r="H65" s="46" t="n">
        <v>2330000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DEV-00442</t>
        </is>
      </c>
      <c r="B66" s="27" t="inlineStr">
        <is>
          <t>Create the Pioneer QoE and purchase-price bridge</t>
        </is>
      </c>
      <c r="C66" s="27" t="inlineStr">
        <is>
          <t>Target monthly working capital</t>
        </is>
      </c>
      <c r="D66" s="27" t="inlineStr">
        <is>
          <t>Pioneer HVAC</t>
        </is>
      </c>
      <c r="E66" s="27" t="inlineStr">
        <is>
          <t>2026-04</t>
        </is>
      </c>
      <c r="F66" s="27" t="inlineStr">
        <is>
          <t>Approved case</t>
        </is>
      </c>
      <c r="G66" s="27" t="inlineStr">
        <is>
          <t>Inventory</t>
        </is>
      </c>
      <c r="H66" s="46" t="n">
        <v>2720000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DEV-00443</t>
        </is>
      </c>
      <c r="B67" s="27" t="inlineStr">
        <is>
          <t>Create the Pioneer QoE and purchase-price bridge</t>
        </is>
      </c>
      <c r="C67" s="27" t="inlineStr">
        <is>
          <t>Target monthly working capital</t>
        </is>
      </c>
      <c r="D67" s="27" t="inlineStr">
        <is>
          <t>Pioneer HVAC</t>
        </is>
      </c>
      <c r="E67" s="27" t="inlineStr">
        <is>
          <t>2026-04</t>
        </is>
      </c>
      <c r="F67" s="27" t="inlineStr">
        <is>
          <t>Approved case</t>
        </is>
      </c>
      <c r="G67" s="27" t="inlineStr">
        <is>
          <t>Accounts payable</t>
        </is>
      </c>
      <c r="H67" s="46" t="n">
        <v>1290000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DEV-00444</t>
        </is>
      </c>
      <c r="B68" s="27" t="inlineStr">
        <is>
          <t>Create the Pioneer QoE and purchase-price bridge</t>
        </is>
      </c>
      <c r="C68" s="27" t="inlineStr">
        <is>
          <t>Target monthly working capital</t>
        </is>
      </c>
      <c r="D68" s="27" t="inlineStr">
        <is>
          <t>Pioneer HVAC</t>
        </is>
      </c>
      <c r="E68" s="27" t="inlineStr">
        <is>
          <t>2026-05</t>
        </is>
      </c>
      <c r="F68" s="27" t="inlineStr">
        <is>
          <t>Approved case</t>
        </is>
      </c>
      <c r="G68" s="27" t="inlineStr">
        <is>
          <t>Revenue</t>
        </is>
      </c>
      <c r="H68" s="46" t="n">
        <v>7050</v>
      </c>
      <c r="I68" s="27" t="inlineStr"/>
      <c r="J68" s="27" t="inlineStr">
        <is>
          <t>USD thousands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DEV-00445</t>
        </is>
      </c>
      <c r="B69" s="27" t="inlineStr">
        <is>
          <t>Create the Pioneer QoE and purchase-price bridge</t>
        </is>
      </c>
      <c r="C69" s="27" t="inlineStr">
        <is>
          <t>Target monthly working capital</t>
        </is>
      </c>
      <c r="D69" s="27" t="inlineStr">
        <is>
          <t>Pioneer HVAC</t>
        </is>
      </c>
      <c r="E69" s="27" t="inlineStr">
        <is>
          <t>2026-05</t>
        </is>
      </c>
      <c r="F69" s="27" t="inlineStr">
        <is>
          <t>Approved case</t>
        </is>
      </c>
      <c r="G69" s="27" t="inlineStr">
        <is>
          <t>Accounts receivable</t>
        </is>
      </c>
      <c r="H69" s="46" t="n">
        <v>2490000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DEV-00446</t>
        </is>
      </c>
      <c r="B70" s="27" t="inlineStr">
        <is>
          <t>Create the Pioneer QoE and purchase-price bridge</t>
        </is>
      </c>
      <c r="C70" s="27" t="inlineStr">
        <is>
          <t>Target monthly working capital</t>
        </is>
      </c>
      <c r="D70" s="27" t="inlineStr">
        <is>
          <t>Pioneer HVAC</t>
        </is>
      </c>
      <c r="E70" s="27" t="inlineStr">
        <is>
          <t>2026-05</t>
        </is>
      </c>
      <c r="F70" s="27" t="inlineStr">
        <is>
          <t>Approved case</t>
        </is>
      </c>
      <c r="G70" s="27" t="inlineStr">
        <is>
          <t>Inventory</t>
        </is>
      </c>
      <c r="H70" s="46" t="n">
        <v>2820000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DEV-00447</t>
        </is>
      </c>
      <c r="B71" s="27" t="inlineStr">
        <is>
          <t>Create the Pioneer QoE and purchase-price bridge</t>
        </is>
      </c>
      <c r="C71" s="27" t="inlineStr">
        <is>
          <t>Target monthly working capital</t>
        </is>
      </c>
      <c r="D71" s="27" t="inlineStr">
        <is>
          <t>Pioneer HVAC</t>
        </is>
      </c>
      <c r="E71" s="27" t="inlineStr">
        <is>
          <t>2026-05</t>
        </is>
      </c>
      <c r="F71" s="27" t="inlineStr">
        <is>
          <t>Approved case</t>
        </is>
      </c>
      <c r="G71" s="27" t="inlineStr">
        <is>
          <t>Accounts payable</t>
        </is>
      </c>
      <c r="H71" s="46" t="n">
        <v>1330000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DEV-00448</t>
        </is>
      </c>
      <c r="B72" s="27" t="inlineStr">
        <is>
          <t>Create the Pioneer QoE and purchase-price bridge</t>
        </is>
      </c>
      <c r="C72" s="27" t="inlineStr">
        <is>
          <t>Target monthly working capital</t>
        </is>
      </c>
      <c r="D72" s="27" t="inlineStr">
        <is>
          <t>Pioneer HVAC</t>
        </is>
      </c>
      <c r="E72" s="27" t="inlineStr">
        <is>
          <t>2026-06</t>
        </is>
      </c>
      <c r="F72" s="27" t="inlineStr">
        <is>
          <t>Approved case</t>
        </is>
      </c>
      <c r="G72" s="27" t="inlineStr">
        <is>
          <t>Revenue</t>
        </is>
      </c>
      <c r="H72" s="46" t="n">
        <v>7320</v>
      </c>
      <c r="I72" s="27" t="inlineStr"/>
      <c r="J72" s="27" t="inlineStr">
        <is>
          <t>USD thousands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DEV-00449</t>
        </is>
      </c>
      <c r="B73" s="27" t="inlineStr">
        <is>
          <t>Create the Pioneer QoE and purchase-price bridge</t>
        </is>
      </c>
      <c r="C73" s="27" t="inlineStr">
        <is>
          <t>Target monthly working capital</t>
        </is>
      </c>
      <c r="D73" s="27" t="inlineStr">
        <is>
          <t>Pioneer HVAC</t>
        </is>
      </c>
      <c r="E73" s="27" t="inlineStr">
        <is>
          <t>2026-06</t>
        </is>
      </c>
      <c r="F73" s="27" t="inlineStr">
        <is>
          <t>Approved case</t>
        </is>
      </c>
      <c r="G73" s="27" t="inlineStr">
        <is>
          <t>Accounts receivable</t>
        </is>
      </c>
      <c r="H73" s="46" t="n">
        <v>2630000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DEV-00450</t>
        </is>
      </c>
      <c r="B74" s="27" t="inlineStr">
        <is>
          <t>Create the Pioneer QoE and purchase-price bridge</t>
        </is>
      </c>
      <c r="C74" s="27" t="inlineStr">
        <is>
          <t>Target monthly working capital</t>
        </is>
      </c>
      <c r="D74" s="27" t="inlineStr">
        <is>
          <t>Pioneer HVAC</t>
        </is>
      </c>
      <c r="E74" s="27" t="inlineStr">
        <is>
          <t>2026-06</t>
        </is>
      </c>
      <c r="F74" s="27" t="inlineStr">
        <is>
          <t>Approved case</t>
        </is>
      </c>
      <c r="G74" s="27" t="inlineStr">
        <is>
          <t>Inventory</t>
        </is>
      </c>
      <c r="H74" s="46" t="n">
        <v>2910000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DEV-00451</t>
        </is>
      </c>
      <c r="B75" s="27" t="inlineStr">
        <is>
          <t>Create the Pioneer QoE and purchase-price bridge</t>
        </is>
      </c>
      <c r="C75" s="27" t="inlineStr">
        <is>
          <t>Target monthly working capital</t>
        </is>
      </c>
      <c r="D75" s="27" t="inlineStr">
        <is>
          <t>Pioneer HVAC</t>
        </is>
      </c>
      <c r="E75" s="27" t="inlineStr">
        <is>
          <t>2026-06</t>
        </is>
      </c>
      <c r="F75" s="27" t="inlineStr">
        <is>
          <t>Approved case</t>
        </is>
      </c>
      <c r="G75" s="27" t="inlineStr">
        <is>
          <t>Accounts payable</t>
        </is>
      </c>
      <c r="H75" s="46" t="n">
        <v>1360000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DEV-00452</t>
        </is>
      </c>
      <c r="B76" s="27" t="inlineStr">
        <is>
          <t>Create the Pioneer QoE and purchase-price bridge</t>
        </is>
      </c>
      <c r="C76" s="27" t="inlineStr">
        <is>
          <t>Purchase price terms</t>
        </is>
      </c>
      <c r="D76" s="27" t="inlineStr">
        <is>
          <t>Pioneer HVAC</t>
        </is>
      </c>
      <c r="E76" s="27" t="inlineStr">
        <is>
          <t>Signing</t>
        </is>
      </c>
      <c r="F76" s="27" t="inlineStr">
        <is>
          <t>Approved case</t>
        </is>
      </c>
      <c r="G76" s="27" t="inlineStr">
        <is>
          <t>Equity purchase price</t>
        </is>
      </c>
      <c r="H76" s="46" t="n">
        <v>31500</v>
      </c>
      <c r="I76" s="27" t="inlineStr"/>
      <c r="J76" s="27" t="inlineStr">
        <is>
          <t>USD thousands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DEV-00453</t>
        </is>
      </c>
      <c r="B77" s="27" t="inlineStr">
        <is>
          <t>Create the Pioneer QoE and purchase-price bridge</t>
        </is>
      </c>
      <c r="C77" s="27" t="inlineStr">
        <is>
          <t>Purchase price terms</t>
        </is>
      </c>
      <c r="D77" s="27" t="inlineStr">
        <is>
          <t>Pioneer HVAC</t>
        </is>
      </c>
      <c r="E77" s="27" t="inlineStr">
        <is>
          <t>Signing</t>
        </is>
      </c>
      <c r="F77" s="27" t="inlineStr">
        <is>
          <t>Approved case</t>
        </is>
      </c>
      <c r="G77" s="27" t="inlineStr">
        <is>
          <t>Cash</t>
        </is>
      </c>
      <c r="H77" s="46" t="n">
        <v>1250000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DEV-00454</t>
        </is>
      </c>
      <c r="B78" s="27" t="inlineStr">
        <is>
          <t>Create the Pioneer QoE and purchase-price bridge</t>
        </is>
      </c>
      <c r="C78" s="27" t="inlineStr">
        <is>
          <t>Purchase price terms</t>
        </is>
      </c>
      <c r="D78" s="27" t="inlineStr">
        <is>
          <t>Pioneer HVAC</t>
        </is>
      </c>
      <c r="E78" s="27" t="inlineStr">
        <is>
          <t>Signing</t>
        </is>
      </c>
      <c r="F78" s="27" t="inlineStr">
        <is>
          <t>Approved case</t>
        </is>
      </c>
      <c r="G78" s="27" t="inlineStr">
        <is>
          <t>Funded debt</t>
        </is>
      </c>
      <c r="H78" s="46" t="n">
        <v>4700000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DEV-00455</t>
        </is>
      </c>
      <c r="B79" s="27" t="inlineStr">
        <is>
          <t>Create the Pioneer QoE and purchase-price bridge</t>
        </is>
      </c>
      <c r="C79" s="27" t="inlineStr">
        <is>
          <t>Purchase price terms</t>
        </is>
      </c>
      <c r="D79" s="27" t="inlineStr">
        <is>
          <t>Pioneer HVAC</t>
        </is>
      </c>
      <c r="E79" s="27" t="inlineStr">
        <is>
          <t>Signing</t>
        </is>
      </c>
      <c r="F79" s="27" t="inlineStr">
        <is>
          <t>Approved case</t>
        </is>
      </c>
      <c r="G79" s="27" t="inlineStr">
        <is>
          <t>Debt-like transaction bonus</t>
        </is>
      </c>
      <c r="H79" s="46" t="n">
        <v>620000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DEV-00456</t>
        </is>
      </c>
      <c r="B80" s="27" t="inlineStr">
        <is>
          <t>Create the Pioneer QoE and purchase-price bridge</t>
        </is>
      </c>
      <c r="C80" s="27" t="inlineStr">
        <is>
          <t>Purchase price terms</t>
        </is>
      </c>
      <c r="D80" s="27" t="inlineStr">
        <is>
          <t>Pioneer HVAC</t>
        </is>
      </c>
      <c r="E80" s="27" t="inlineStr">
        <is>
          <t>Signing</t>
        </is>
      </c>
      <c r="F80" s="27" t="inlineStr">
        <is>
          <t>Approved case</t>
        </is>
      </c>
      <c r="G80" s="27" t="inlineStr">
        <is>
          <t>Debt-like deferred payroll tax</t>
        </is>
      </c>
      <c r="H80" s="46" t="n">
        <v>310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DEV-00457</t>
        </is>
      </c>
      <c r="B81" s="27" t="inlineStr">
        <is>
          <t>Create the Pioneer QoE and purchase-price bridge</t>
        </is>
      </c>
      <c r="C81" s="27" t="inlineStr">
        <is>
          <t>Purchase price terms</t>
        </is>
      </c>
      <c r="D81" s="27" t="inlineStr">
        <is>
          <t>Pioneer HVAC</t>
        </is>
      </c>
      <c r="E81" s="27" t="inlineStr">
        <is>
          <t>Signing</t>
        </is>
      </c>
      <c r="F81" s="27" t="inlineStr">
        <is>
          <t>Approved case</t>
        </is>
      </c>
      <c r="G81" s="27" t="inlineStr">
        <is>
          <t>Seller retained tax receivable</t>
        </is>
      </c>
      <c r="H81" s="46" t="n">
        <v>240000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DEV-00458</t>
        </is>
      </c>
      <c r="B82" s="27" t="inlineStr">
        <is>
          <t>Create the Pioneer QoE and purchase-price bridge</t>
        </is>
      </c>
      <c r="C82" s="27" t="inlineStr">
        <is>
          <t>Purchase price terms</t>
        </is>
      </c>
      <c r="D82" s="27" t="inlineStr">
        <is>
          <t>Pioneer HVAC</t>
        </is>
      </c>
      <c r="E82" s="27" t="inlineStr">
        <is>
          <t>Signing</t>
        </is>
      </c>
      <c r="F82" s="27" t="inlineStr">
        <is>
          <t>Approved case</t>
        </is>
      </c>
      <c r="G82" s="27" t="inlineStr">
        <is>
          <t>Minimum cash delivered</t>
        </is>
      </c>
      <c r="H82" s="46" t="n">
        <v>750000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DEV-00459</t>
        </is>
      </c>
      <c r="B83" s="27" t="inlineStr">
        <is>
          <t>Create the Pioneer QoE and purchase-price bridge</t>
        </is>
      </c>
      <c r="C83" s="27" t="inlineStr">
        <is>
          <t>Purchase price terms</t>
        </is>
      </c>
      <c r="D83" s="27" t="inlineStr">
        <is>
          <t>Pioneer HVAC</t>
        </is>
      </c>
      <c r="E83" s="27" t="inlineStr">
        <is>
          <t>Signing</t>
        </is>
      </c>
      <c r="F83" s="27" t="inlineStr">
        <is>
          <t>Approved case</t>
        </is>
      </c>
      <c r="G83" s="27" t="inlineStr">
        <is>
          <t>NWC peg lookback months</t>
        </is>
      </c>
      <c r="H83" s="46" t="n">
        <v>6</v>
      </c>
      <c r="I83" s="27" t="inlineStr"/>
      <c r="J83" s="27" t="inlineStr">
        <is>
          <t>count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DEV-00476</t>
        </is>
      </c>
      <c r="B84" s="27" t="inlineStr">
        <is>
          <t>Create the Pioneer QoE and purchase-price bridge</t>
        </is>
      </c>
      <c r="C84" s="27" t="inlineStr">
        <is>
          <t>Locked box leakage review</t>
        </is>
      </c>
      <c r="D84" s="27" t="inlineStr">
        <is>
          <t>Owner dividend</t>
        </is>
      </c>
      <c r="E84" s="27" t="inlineStr">
        <is>
          <t>Signing to close</t>
        </is>
      </c>
      <c r="F84" s="27" t="inlineStr">
        <is>
          <t>Approved case</t>
        </is>
      </c>
      <c r="G84" s="27" t="inlineStr">
        <is>
          <t>Cash outflow</t>
        </is>
      </c>
      <c r="H84" s="46" t="n">
        <v>310000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DEV-00477</t>
        </is>
      </c>
      <c r="B85" s="27" t="inlineStr">
        <is>
          <t>Create the Pioneer QoE and purchase-price bridge</t>
        </is>
      </c>
      <c r="C85" s="27" t="inlineStr">
        <is>
          <t>Locked box leakage review</t>
        </is>
      </c>
      <c r="D85" s="27" t="inlineStr">
        <is>
          <t>Owner dividend</t>
        </is>
      </c>
      <c r="E85" s="27" t="inlineStr">
        <is>
          <t>Signing to close</t>
        </is>
      </c>
      <c r="F85" s="27" t="inlineStr">
        <is>
          <t>Approved case</t>
        </is>
      </c>
      <c r="G85" s="27" t="inlineStr">
        <is>
          <t>Permitted leakage</t>
        </is>
      </c>
      <c r="H85" s="46" t="n">
        <v>0</v>
      </c>
      <c r="I85" s="27" t="inlineStr"/>
      <c r="J85" s="27" t="inlineStr">
        <is>
          <t>boolean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DEV-00478</t>
        </is>
      </c>
      <c r="B86" s="27" t="inlineStr">
        <is>
          <t>Create the Pioneer QoE and purchase-price bridge</t>
        </is>
      </c>
      <c r="C86" s="27" t="inlineStr">
        <is>
          <t>Locked box leakage review</t>
        </is>
      </c>
      <c r="D86" s="27" t="inlineStr">
        <is>
          <t>Tax distribution</t>
        </is>
      </c>
      <c r="E86" s="27" t="inlineStr">
        <is>
          <t>Signing to close</t>
        </is>
      </c>
      <c r="F86" s="27" t="inlineStr">
        <is>
          <t>Approved case</t>
        </is>
      </c>
      <c r="G86" s="27" t="inlineStr">
        <is>
          <t>Cash outflow</t>
        </is>
      </c>
      <c r="H86" s="46" t="n">
        <v>185000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DEV-00479</t>
        </is>
      </c>
      <c r="B87" s="27" t="inlineStr">
        <is>
          <t>Create the Pioneer QoE and purchase-price bridge</t>
        </is>
      </c>
      <c r="C87" s="27" t="inlineStr">
        <is>
          <t>Locked box leakage review</t>
        </is>
      </c>
      <c r="D87" s="27" t="inlineStr">
        <is>
          <t>Tax distribution</t>
        </is>
      </c>
      <c r="E87" s="27" t="inlineStr">
        <is>
          <t>Signing to close</t>
        </is>
      </c>
      <c r="F87" s="27" t="inlineStr">
        <is>
          <t>Approved case</t>
        </is>
      </c>
      <c r="G87" s="27" t="inlineStr">
        <is>
          <t>Permitted leakage</t>
        </is>
      </c>
      <c r="H87" s="46" t="n">
        <v>1</v>
      </c>
      <c r="I87" s="27" t="inlineStr"/>
      <c r="J87" s="27" t="inlineStr">
        <is>
          <t>boolean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DEV-00480</t>
        </is>
      </c>
      <c r="B88" s="27" t="inlineStr">
        <is>
          <t>Create the Pioneer QoE and purchase-price bridge</t>
        </is>
      </c>
      <c r="C88" s="27" t="inlineStr">
        <is>
          <t>Locked box leakage review</t>
        </is>
      </c>
      <c r="D88" s="27" t="inlineStr">
        <is>
          <t>Related-party consulting</t>
        </is>
      </c>
      <c r="E88" s="27" t="inlineStr">
        <is>
          <t>Signing to close</t>
        </is>
      </c>
      <c r="F88" s="27" t="inlineStr">
        <is>
          <t>Approved case</t>
        </is>
      </c>
      <c r="G88" s="27" t="inlineStr">
        <is>
          <t>Cash outflow</t>
        </is>
      </c>
      <c r="H88" s="46" t="n">
        <v>140000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DEV-00481</t>
        </is>
      </c>
      <c r="B89" s="27" t="inlineStr">
        <is>
          <t>Create the Pioneer QoE and purchase-price bridge</t>
        </is>
      </c>
      <c r="C89" s="27" t="inlineStr">
        <is>
          <t>Locked box leakage review</t>
        </is>
      </c>
      <c r="D89" s="27" t="inlineStr">
        <is>
          <t>Related-party consulting</t>
        </is>
      </c>
      <c r="E89" s="27" t="inlineStr">
        <is>
          <t>Signing to close</t>
        </is>
      </c>
      <c r="F89" s="27" t="inlineStr">
        <is>
          <t>Approved case</t>
        </is>
      </c>
      <c r="G89" s="27" t="inlineStr">
        <is>
          <t>Permitted leakage</t>
        </is>
      </c>
      <c r="H89" s="46" t="n">
        <v>0</v>
      </c>
      <c r="I89" s="27" t="inlineStr"/>
      <c r="J89" s="27" t="inlineStr">
        <is>
          <t>boolean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DEV-00482</t>
        </is>
      </c>
      <c r="B90" s="27" t="inlineStr">
        <is>
          <t>Create the Pioneer QoE and purchase-price bridge</t>
        </is>
      </c>
      <c r="C90" s="27" t="inlineStr">
        <is>
          <t>Locked box leakage review</t>
        </is>
      </c>
      <c r="D90" s="27" t="inlineStr">
        <is>
          <t>Ordinary payroll</t>
        </is>
      </c>
      <c r="E90" s="27" t="inlineStr">
        <is>
          <t>Signing to close</t>
        </is>
      </c>
      <c r="F90" s="27" t="inlineStr">
        <is>
          <t>Approved case</t>
        </is>
      </c>
      <c r="G90" s="27" t="inlineStr">
        <is>
          <t>Cash outflow</t>
        </is>
      </c>
      <c r="H90" s="46" t="n">
        <v>95000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DEV-00483</t>
        </is>
      </c>
      <c r="B91" s="27" t="inlineStr">
        <is>
          <t>Create the Pioneer QoE and purchase-price bridge</t>
        </is>
      </c>
      <c r="C91" s="27" t="inlineStr">
        <is>
          <t>Locked box leakage review</t>
        </is>
      </c>
      <c r="D91" s="27" t="inlineStr">
        <is>
          <t>Ordinary payroll</t>
        </is>
      </c>
      <c r="E91" s="27" t="inlineStr">
        <is>
          <t>Signing to close</t>
        </is>
      </c>
      <c r="F91" s="27" t="inlineStr">
        <is>
          <t>Approved case</t>
        </is>
      </c>
      <c r="G91" s="27" t="inlineStr">
        <is>
          <t>Permitted leakage</t>
        </is>
      </c>
      <c r="H91" s="46" t="n">
        <v>1</v>
      </c>
      <c r="I91" s="27" t="inlineStr"/>
      <c r="J91" s="27" t="inlineStr">
        <is>
          <t>boolean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DEV-00484</t>
        </is>
      </c>
      <c r="B92" s="27" t="inlineStr">
        <is>
          <t>Create the Pioneer QoE and purchase-price bridge</t>
        </is>
      </c>
      <c r="C92" s="27" t="inlineStr">
        <is>
          <t>Closing funds flow terms</t>
        </is>
      </c>
      <c r="D92" s="27" t="inlineStr">
        <is>
          <t>Pioneer HVAC</t>
        </is>
      </c>
      <c r="E92" s="27" t="inlineStr">
        <is>
          <t>Closing</t>
        </is>
      </c>
      <c r="F92" s="27" t="inlineStr">
        <is>
          <t>Approved case</t>
        </is>
      </c>
      <c r="G92" s="27" t="inlineStr">
        <is>
          <t>Escrow percent of adjusted equity price</t>
        </is>
      </c>
      <c r="H92" s="46" t="n">
        <v>0.075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DEV-00485</t>
        </is>
      </c>
      <c r="B93" s="27" t="inlineStr">
        <is>
          <t>Create the Pioneer QoE and purchase-price bridge</t>
        </is>
      </c>
      <c r="C93" s="27" t="inlineStr">
        <is>
          <t>Closing funds flow terms</t>
        </is>
      </c>
      <c r="D93" s="27" t="inlineStr">
        <is>
          <t>Pioneer HVAC</t>
        </is>
      </c>
      <c r="E93" s="27" t="inlineStr">
        <is>
          <t>Closing</t>
        </is>
      </c>
      <c r="F93" s="27" t="inlineStr">
        <is>
          <t>Approved case</t>
        </is>
      </c>
      <c r="G93" s="27" t="inlineStr">
        <is>
          <t>Earnout face value</t>
        </is>
      </c>
      <c r="H93" s="46" t="n">
        <v>4500000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DEV-00486</t>
        </is>
      </c>
      <c r="B94" s="27" t="inlineStr">
        <is>
          <t>Create the Pioneer QoE and purchase-price bridge</t>
        </is>
      </c>
      <c r="C94" s="27" t="inlineStr">
        <is>
          <t>Closing funds flow terms</t>
        </is>
      </c>
      <c r="D94" s="27" t="inlineStr">
        <is>
          <t>Pioneer HVAC</t>
        </is>
      </c>
      <c r="E94" s="27" t="inlineStr">
        <is>
          <t>Closing</t>
        </is>
      </c>
      <c r="F94" s="27" t="inlineStr">
        <is>
          <t>Approved case</t>
        </is>
      </c>
      <c r="G94" s="27" t="inlineStr">
        <is>
          <t>Earnout probability</t>
        </is>
      </c>
      <c r="H94" s="46" t="n">
        <v>0.55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DEV-00487</t>
        </is>
      </c>
      <c r="B95" s="27" t="inlineStr">
        <is>
          <t>Create the Pioneer QoE and purchase-price bridge</t>
        </is>
      </c>
      <c r="C95" s="27" t="inlineStr">
        <is>
          <t>Closing funds flow terms</t>
        </is>
      </c>
      <c r="D95" s="27" t="inlineStr">
        <is>
          <t>Pioneer HVAC</t>
        </is>
      </c>
      <c r="E95" s="27" t="inlineStr">
        <is>
          <t>Closing</t>
        </is>
      </c>
      <c r="F95" s="27" t="inlineStr">
        <is>
          <t>Approved case</t>
        </is>
      </c>
      <c r="G95" s="27" t="inlineStr">
        <is>
          <t>Earnout discount factor</t>
        </is>
      </c>
      <c r="H95" s="46" t="n">
        <v>0.89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DEV-00488</t>
        </is>
      </c>
      <c r="B96" s="27" t="inlineStr">
        <is>
          <t>Create the Pioneer QoE and purchase-price bridge</t>
        </is>
      </c>
      <c r="C96" s="27" t="inlineStr">
        <is>
          <t>Closing funds flow terms</t>
        </is>
      </c>
      <c r="D96" s="27" t="inlineStr">
        <is>
          <t>Pioneer HVAC</t>
        </is>
      </c>
      <c r="E96" s="27" t="inlineStr">
        <is>
          <t>Closing</t>
        </is>
      </c>
      <c r="F96" s="27" t="inlineStr">
        <is>
          <t>Approved case</t>
        </is>
      </c>
      <c r="G96" s="27" t="inlineStr">
        <is>
          <t>Transaction expenses paid at close</t>
        </is>
      </c>
      <c r="H96" s="46" t="n">
        <v>780000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</sheetData>
  <autoFilter ref="A4:M96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Valuation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DEV-00184</t>
        </is>
      </c>
      <c r="B5" s="27" t="inlineStr">
        <is>
          <t>Create the Northstar standalone DCF</t>
        </is>
      </c>
      <c r="C5" s="27" t="inlineStr">
        <is>
          <t>DCF assumptions</t>
        </is>
      </c>
      <c r="D5" s="27" t="inlineStr">
        <is>
          <t>Northstar</t>
        </is>
      </c>
      <c r="E5" s="27" t="inlineStr">
        <is>
          <t>2026-07-01</t>
        </is>
      </c>
      <c r="F5" s="27" t="inlineStr">
        <is>
          <t>Approved case</t>
        </is>
      </c>
      <c r="G5" s="27" t="inlineStr">
        <is>
          <t>Tax rate</t>
        </is>
      </c>
      <c r="H5" s="46" t="n">
        <v>0.255</v>
      </c>
      <c r="I5" s="27" t="inlineStr"/>
      <c r="J5" s="27" t="inlineStr">
        <is>
          <t>decimal ratio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DEV-00185</t>
        </is>
      </c>
      <c r="B6" s="27" t="inlineStr">
        <is>
          <t>Create the Northstar standalone DCF</t>
        </is>
      </c>
      <c r="C6" s="27" t="inlineStr">
        <is>
          <t>DCF assumptions</t>
        </is>
      </c>
      <c r="D6" s="27" t="inlineStr">
        <is>
          <t>Northstar</t>
        </is>
      </c>
      <c r="E6" s="27" t="inlineStr">
        <is>
          <t>2026-07-01</t>
        </is>
      </c>
      <c r="F6" s="27" t="inlineStr">
        <is>
          <t>Approved case</t>
        </is>
      </c>
      <c r="G6" s="27" t="inlineStr">
        <is>
          <t>Risk-free rate</t>
        </is>
      </c>
      <c r="H6" s="46" t="n">
        <v>0.043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DEV-00186</t>
        </is>
      </c>
      <c r="B7" s="27" t="inlineStr">
        <is>
          <t>Create the Northstar standalone DCF</t>
        </is>
      </c>
      <c r="C7" s="27" t="inlineStr">
        <is>
          <t>DCF assumptions</t>
        </is>
      </c>
      <c r="D7" s="27" t="inlineStr">
        <is>
          <t>Northstar</t>
        </is>
      </c>
      <c r="E7" s="27" t="inlineStr">
        <is>
          <t>2026-07-01</t>
        </is>
      </c>
      <c r="F7" s="27" t="inlineStr">
        <is>
          <t>Approved case</t>
        </is>
      </c>
      <c r="G7" s="27" t="inlineStr">
        <is>
          <t>Equity risk premium</t>
        </is>
      </c>
      <c r="H7" s="46" t="n">
        <v>0.055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DEV-00187</t>
        </is>
      </c>
      <c r="B8" s="27" t="inlineStr">
        <is>
          <t>Create the Northstar standalone DCF</t>
        </is>
      </c>
      <c r="C8" s="27" t="inlineStr">
        <is>
          <t>DCF assumptions</t>
        </is>
      </c>
      <c r="D8" s="27" t="inlineStr">
        <is>
          <t>Northstar</t>
        </is>
      </c>
      <c r="E8" s="27" t="inlineStr">
        <is>
          <t>2026-07-01</t>
        </is>
      </c>
      <c r="F8" s="27" t="inlineStr">
        <is>
          <t>Approved case</t>
        </is>
      </c>
      <c r="G8" s="27" t="inlineStr">
        <is>
          <t>Relevered beta</t>
        </is>
      </c>
      <c r="H8" s="46" t="n">
        <v>1.08</v>
      </c>
      <c r="I8" s="27" t="inlineStr"/>
      <c r="J8" s="27" t="inlineStr">
        <is>
          <t>beta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DEV-00188</t>
        </is>
      </c>
      <c r="B9" s="27" t="inlineStr">
        <is>
          <t>Create the Northstar standalone DCF</t>
        </is>
      </c>
      <c r="C9" s="27" t="inlineStr">
        <is>
          <t>DCF assumptions</t>
        </is>
      </c>
      <c r="D9" s="27" t="inlineStr">
        <is>
          <t>Northstar</t>
        </is>
      </c>
      <c r="E9" s="27" t="inlineStr">
        <is>
          <t>2026-07-01</t>
        </is>
      </c>
      <c r="F9" s="27" t="inlineStr">
        <is>
          <t>Approved case</t>
        </is>
      </c>
      <c r="G9" s="27" t="inlineStr">
        <is>
          <t>After-tax debt cost</t>
        </is>
      </c>
      <c r="H9" s="46" t="n">
        <v>0.052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DEV-00189</t>
        </is>
      </c>
      <c r="B10" s="27" t="inlineStr">
        <is>
          <t>Create the Northstar standalone DCF</t>
        </is>
      </c>
      <c r="C10" s="27" t="inlineStr">
        <is>
          <t>DCF assumptions</t>
        </is>
      </c>
      <c r="D10" s="27" t="inlineStr">
        <is>
          <t>Northstar</t>
        </is>
      </c>
      <c r="E10" s="27" t="inlineStr">
        <is>
          <t>2026-07-01</t>
        </is>
      </c>
      <c r="F10" s="27" t="inlineStr">
        <is>
          <t>Approved case</t>
        </is>
      </c>
      <c r="G10" s="27" t="inlineStr">
        <is>
          <t>Debt weight</t>
        </is>
      </c>
      <c r="H10" s="46" t="n">
        <v>0.22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DEV-00190</t>
        </is>
      </c>
      <c r="B11" s="27" t="inlineStr">
        <is>
          <t>Create the Northstar standalone DCF</t>
        </is>
      </c>
      <c r="C11" s="27" t="inlineStr">
        <is>
          <t>DCF assumptions</t>
        </is>
      </c>
      <c r="D11" s="27" t="inlineStr">
        <is>
          <t>Northstar</t>
        </is>
      </c>
      <c r="E11" s="27" t="inlineStr">
        <is>
          <t>2026-07-01</t>
        </is>
      </c>
      <c r="F11" s="27" t="inlineStr">
        <is>
          <t>Approved case</t>
        </is>
      </c>
      <c r="G11" s="27" t="inlineStr">
        <is>
          <t>Terminal growth</t>
        </is>
      </c>
      <c r="H11" s="46" t="n">
        <v>0.025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DEV-00191</t>
        </is>
      </c>
      <c r="B12" s="27" t="inlineStr">
        <is>
          <t>Create the Northstar standalone DCF</t>
        </is>
      </c>
      <c r="C12" s="27" t="inlineStr">
        <is>
          <t>DCF assumptions</t>
        </is>
      </c>
      <c r="D12" s="27" t="inlineStr">
        <is>
          <t>Northstar</t>
        </is>
      </c>
      <c r="E12" s="27" t="inlineStr">
        <is>
          <t>2026-07-01</t>
        </is>
      </c>
      <c r="F12" s="27" t="inlineStr">
        <is>
          <t>Approved case</t>
        </is>
      </c>
      <c r="G12" s="27" t="inlineStr">
        <is>
          <t>Net debt</t>
        </is>
      </c>
      <c r="H12" s="46" t="n">
        <v>11700000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DEV-00688</t>
        </is>
      </c>
      <c r="B13" s="27" t="inlineStr">
        <is>
          <t>Valuation triangulation and bid ceiling</t>
        </is>
      </c>
      <c r="C13" s="27" t="inlineStr">
        <is>
          <t>Approved trading peers</t>
        </is>
      </c>
      <c r="D13" s="27" t="inlineStr">
        <is>
          <t>Peer A</t>
        </is>
      </c>
      <c r="E13" s="27" t="inlineStr">
        <is>
          <t>2026-07-05</t>
        </is>
      </c>
      <c r="F13" s="27" t="inlineStr">
        <is>
          <t>Approved case</t>
        </is>
      </c>
      <c r="G13" s="27" t="inlineStr">
        <is>
          <t>EV EBITDA multiple</t>
        </is>
      </c>
      <c r="H13" s="46" t="n">
        <v>7.4</v>
      </c>
      <c r="I13" s="27" t="inlineStr"/>
      <c r="J13" s="27" t="inlineStr">
        <is>
          <t>multiple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DEV-00689</t>
        </is>
      </c>
      <c r="B14" s="27" t="inlineStr">
        <is>
          <t>Valuation triangulation and bid ceiling</t>
        </is>
      </c>
      <c r="C14" s="27" t="inlineStr">
        <is>
          <t>Approved trading peers</t>
        </is>
      </c>
      <c r="D14" s="27" t="inlineStr">
        <is>
          <t>Peer A</t>
        </is>
      </c>
      <c r="E14" s="27" t="inlineStr">
        <is>
          <t>2026-07-05</t>
        </is>
      </c>
      <c r="F14" s="27" t="inlineStr">
        <is>
          <t>Approved case</t>
        </is>
      </c>
      <c r="G14" s="27" t="inlineStr">
        <is>
          <t>EV revenue multiple</t>
        </is>
      </c>
      <c r="H14" s="46" t="n">
        <v>1.12</v>
      </c>
      <c r="I14" s="27" t="inlineStr"/>
      <c r="J14" s="27" t="inlineStr">
        <is>
          <t>multiple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DEV-00690</t>
        </is>
      </c>
      <c r="B15" s="27" t="inlineStr">
        <is>
          <t>Valuation triangulation and bid ceiling</t>
        </is>
      </c>
      <c r="C15" s="27" t="inlineStr">
        <is>
          <t>Approved trading peers</t>
        </is>
      </c>
      <c r="D15" s="27" t="inlineStr">
        <is>
          <t>Peer A</t>
        </is>
      </c>
      <c r="E15" s="27" t="inlineStr">
        <is>
          <t>2026-07-05</t>
        </is>
      </c>
      <c r="F15" s="27" t="inlineStr">
        <is>
          <t>Approved case</t>
        </is>
      </c>
      <c r="G15" s="27" t="inlineStr">
        <is>
          <t>Comparable</t>
        </is>
      </c>
      <c r="H15" s="46" t="n">
        <v>1</v>
      </c>
      <c r="I15" s="27" t="inlineStr"/>
      <c r="J15" s="27" t="inlineStr">
        <is>
          <t>boolean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DEV-00691</t>
        </is>
      </c>
      <c r="B16" s="27" t="inlineStr">
        <is>
          <t>Valuation triangulation and bid ceiling</t>
        </is>
      </c>
      <c r="C16" s="27" t="inlineStr">
        <is>
          <t>Approved trading peers</t>
        </is>
      </c>
      <c r="D16" s="27" t="inlineStr">
        <is>
          <t>Peer B</t>
        </is>
      </c>
      <c r="E16" s="27" t="inlineStr">
        <is>
          <t>2026-07-05</t>
        </is>
      </c>
      <c r="F16" s="27" t="inlineStr">
        <is>
          <t>Approved case</t>
        </is>
      </c>
      <c r="G16" s="27" t="inlineStr">
        <is>
          <t>EV EBITDA multiple</t>
        </is>
      </c>
      <c r="H16" s="46" t="n">
        <v>8.1</v>
      </c>
      <c r="I16" s="27" t="inlineStr"/>
      <c r="J16" s="27" t="inlineStr">
        <is>
          <t>multiple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DEV-00692</t>
        </is>
      </c>
      <c r="B17" s="27" t="inlineStr">
        <is>
          <t>Valuation triangulation and bid ceiling</t>
        </is>
      </c>
      <c r="C17" s="27" t="inlineStr">
        <is>
          <t>Approved trading peers</t>
        </is>
      </c>
      <c r="D17" s="27" t="inlineStr">
        <is>
          <t>Peer B</t>
        </is>
      </c>
      <c r="E17" s="27" t="inlineStr">
        <is>
          <t>2026-07-05</t>
        </is>
      </c>
      <c r="F17" s="27" t="inlineStr">
        <is>
          <t>Approved case</t>
        </is>
      </c>
      <c r="G17" s="27" t="inlineStr">
        <is>
          <t>EV revenue multiple</t>
        </is>
      </c>
      <c r="H17" s="46" t="n">
        <v>1.28</v>
      </c>
      <c r="I17" s="27" t="inlineStr"/>
      <c r="J17" s="27" t="inlineStr">
        <is>
          <t>multiple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DEV-00693</t>
        </is>
      </c>
      <c r="B18" s="27" t="inlineStr">
        <is>
          <t>Valuation triangulation and bid ceiling</t>
        </is>
      </c>
      <c r="C18" s="27" t="inlineStr">
        <is>
          <t>Approved trading peers</t>
        </is>
      </c>
      <c r="D18" s="27" t="inlineStr">
        <is>
          <t>Peer B</t>
        </is>
      </c>
      <c r="E18" s="27" t="inlineStr">
        <is>
          <t>2026-07-05</t>
        </is>
      </c>
      <c r="F18" s="27" t="inlineStr">
        <is>
          <t>Approved case</t>
        </is>
      </c>
      <c r="G18" s="27" t="inlineStr">
        <is>
          <t>Comparable</t>
        </is>
      </c>
      <c r="H18" s="46" t="n">
        <v>1</v>
      </c>
      <c r="I18" s="27" t="inlineStr"/>
      <c r="J18" s="27" t="inlineStr">
        <is>
          <t>boolean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DEV-00694</t>
        </is>
      </c>
      <c r="B19" s="27" t="inlineStr">
        <is>
          <t>Valuation triangulation and bid ceiling</t>
        </is>
      </c>
      <c r="C19" s="27" t="inlineStr">
        <is>
          <t>Approved trading peers</t>
        </is>
      </c>
      <c r="D19" s="27" t="inlineStr">
        <is>
          <t>Peer C</t>
        </is>
      </c>
      <c r="E19" s="27" t="inlineStr">
        <is>
          <t>2026-07-05</t>
        </is>
      </c>
      <c r="F19" s="27" t="inlineStr">
        <is>
          <t>Approved case</t>
        </is>
      </c>
      <c r="G19" s="27" t="inlineStr">
        <is>
          <t>EV EBITDA multiple</t>
        </is>
      </c>
      <c r="H19" s="46" t="n">
        <v>9.6</v>
      </c>
      <c r="I19" s="27" t="inlineStr"/>
      <c r="J19" s="27" t="inlineStr">
        <is>
          <t>multiple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DEV-00695</t>
        </is>
      </c>
      <c r="B20" s="27" t="inlineStr">
        <is>
          <t>Valuation triangulation and bid ceiling</t>
        </is>
      </c>
      <c r="C20" s="27" t="inlineStr">
        <is>
          <t>Approved trading peers</t>
        </is>
      </c>
      <c r="D20" s="27" t="inlineStr">
        <is>
          <t>Peer C</t>
        </is>
      </c>
      <c r="E20" s="27" t="inlineStr">
        <is>
          <t>2026-07-05</t>
        </is>
      </c>
      <c r="F20" s="27" t="inlineStr">
        <is>
          <t>Approved case</t>
        </is>
      </c>
      <c r="G20" s="27" t="inlineStr">
        <is>
          <t>EV revenue multiple</t>
        </is>
      </c>
      <c r="H20" s="46" t="n">
        <v>1.55</v>
      </c>
      <c r="I20" s="27" t="inlineStr"/>
      <c r="J20" s="27" t="inlineStr">
        <is>
          <t>multiple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DEV-00696</t>
        </is>
      </c>
      <c r="B21" s="27" t="inlineStr">
        <is>
          <t>Valuation triangulation and bid ceiling</t>
        </is>
      </c>
      <c r="C21" s="27" t="inlineStr">
        <is>
          <t>Approved trading peers</t>
        </is>
      </c>
      <c r="D21" s="27" t="inlineStr">
        <is>
          <t>Peer C</t>
        </is>
      </c>
      <c r="E21" s="27" t="inlineStr">
        <is>
          <t>2026-07-05</t>
        </is>
      </c>
      <c r="F21" s="27" t="inlineStr">
        <is>
          <t>Approved case</t>
        </is>
      </c>
      <c r="G21" s="27" t="inlineStr">
        <is>
          <t>Comparable</t>
        </is>
      </c>
      <c r="H21" s="46" t="n">
        <v>0</v>
      </c>
      <c r="I21" s="27" t="inlineStr"/>
      <c r="J21" s="27" t="inlineStr">
        <is>
          <t>boolean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DEV-00697</t>
        </is>
      </c>
      <c r="B22" s="27" t="inlineStr">
        <is>
          <t>Valuation triangulation and bid ceiling</t>
        </is>
      </c>
      <c r="C22" s="27" t="inlineStr">
        <is>
          <t>Approved trading peers</t>
        </is>
      </c>
      <c r="D22" s="27" t="inlineStr">
        <is>
          <t>Peer D</t>
        </is>
      </c>
      <c r="E22" s="27" t="inlineStr">
        <is>
          <t>2026-07-05</t>
        </is>
      </c>
      <c r="F22" s="27" t="inlineStr">
        <is>
          <t>Approved case</t>
        </is>
      </c>
      <c r="G22" s="27" t="inlineStr">
        <is>
          <t>EV EBITDA multiple</t>
        </is>
      </c>
      <c r="H22" s="46" t="n">
        <v>6.9</v>
      </c>
      <c r="I22" s="27" t="inlineStr"/>
      <c r="J22" s="27" t="inlineStr">
        <is>
          <t>multiple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DEV-00698</t>
        </is>
      </c>
      <c r="B23" s="27" t="inlineStr">
        <is>
          <t>Valuation triangulation and bid ceiling</t>
        </is>
      </c>
      <c r="C23" s="27" t="inlineStr">
        <is>
          <t>Approved trading peers</t>
        </is>
      </c>
      <c r="D23" s="27" t="inlineStr">
        <is>
          <t>Peer D</t>
        </is>
      </c>
      <c r="E23" s="27" t="inlineStr">
        <is>
          <t>2026-07-05</t>
        </is>
      </c>
      <c r="F23" s="27" t="inlineStr">
        <is>
          <t>Approved case</t>
        </is>
      </c>
      <c r="G23" s="27" t="inlineStr">
        <is>
          <t>EV revenue multiple</t>
        </is>
      </c>
      <c r="H23" s="46" t="n">
        <v>1.04</v>
      </c>
      <c r="I23" s="27" t="inlineStr"/>
      <c r="J23" s="27" t="inlineStr">
        <is>
          <t>multiple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DEV-00699</t>
        </is>
      </c>
      <c r="B24" s="27" t="inlineStr">
        <is>
          <t>Valuation triangulation and bid ceiling</t>
        </is>
      </c>
      <c r="C24" s="27" t="inlineStr">
        <is>
          <t>Approved trading peers</t>
        </is>
      </c>
      <c r="D24" s="27" t="inlineStr">
        <is>
          <t>Peer D</t>
        </is>
      </c>
      <c r="E24" s="27" t="inlineStr">
        <is>
          <t>2026-07-05</t>
        </is>
      </c>
      <c r="F24" s="27" t="inlineStr">
        <is>
          <t>Approved case</t>
        </is>
      </c>
      <c r="G24" s="27" t="inlineStr">
        <is>
          <t>Comparable</t>
        </is>
      </c>
      <c r="H24" s="46" t="n">
        <v>1</v>
      </c>
      <c r="I24" s="27" t="inlineStr"/>
      <c r="J24" s="27" t="inlineStr">
        <is>
          <t>boolean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DEV-00700</t>
        </is>
      </c>
      <c r="B25" s="27" t="inlineStr">
        <is>
          <t>Valuation triangulation and bid ceiling</t>
        </is>
      </c>
      <c r="C25" s="27" t="inlineStr">
        <is>
          <t>Approved trading peers</t>
        </is>
      </c>
      <c r="D25" s="27" t="inlineStr">
        <is>
          <t>Peer E</t>
        </is>
      </c>
      <c r="E25" s="27" t="inlineStr">
        <is>
          <t>2026-07-05</t>
        </is>
      </c>
      <c r="F25" s="27" t="inlineStr">
        <is>
          <t>Approved case</t>
        </is>
      </c>
      <c r="G25" s="27" t="inlineStr">
        <is>
          <t>EV EBITDA multiple</t>
        </is>
      </c>
      <c r="H25" s="46" t="n">
        <v>7.8</v>
      </c>
      <c r="I25" s="27" t="inlineStr"/>
      <c r="J25" s="27" t="inlineStr">
        <is>
          <t>multiple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DEV-00701</t>
        </is>
      </c>
      <c r="B26" s="27" t="inlineStr">
        <is>
          <t>Valuation triangulation and bid ceiling</t>
        </is>
      </c>
      <c r="C26" s="27" t="inlineStr">
        <is>
          <t>Approved trading peers</t>
        </is>
      </c>
      <c r="D26" s="27" t="inlineStr">
        <is>
          <t>Peer E</t>
        </is>
      </c>
      <c r="E26" s="27" t="inlineStr">
        <is>
          <t>2026-07-05</t>
        </is>
      </c>
      <c r="F26" s="27" t="inlineStr">
        <is>
          <t>Approved case</t>
        </is>
      </c>
      <c r="G26" s="27" t="inlineStr">
        <is>
          <t>EV revenue multiple</t>
        </is>
      </c>
      <c r="H26" s="46" t="n">
        <v>1.2</v>
      </c>
      <c r="I26" s="27" t="inlineStr"/>
      <c r="J26" s="27" t="inlineStr">
        <is>
          <t>multiple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DEV-00702</t>
        </is>
      </c>
      <c r="B27" s="27" t="inlineStr">
        <is>
          <t>Valuation triangulation and bid ceiling</t>
        </is>
      </c>
      <c r="C27" s="27" t="inlineStr">
        <is>
          <t>Approved trading peers</t>
        </is>
      </c>
      <c r="D27" s="27" t="inlineStr">
        <is>
          <t>Peer E</t>
        </is>
      </c>
      <c r="E27" s="27" t="inlineStr">
        <is>
          <t>2026-07-05</t>
        </is>
      </c>
      <c r="F27" s="27" t="inlineStr">
        <is>
          <t>Approved case</t>
        </is>
      </c>
      <c r="G27" s="27" t="inlineStr">
        <is>
          <t>Comparable</t>
        </is>
      </c>
      <c r="H27" s="46" t="n">
        <v>1</v>
      </c>
      <c r="I27" s="27" t="inlineStr"/>
      <c r="J27" s="27" t="inlineStr">
        <is>
          <t>boolean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DEV-00703</t>
        </is>
      </c>
      <c r="B28" s="27" t="inlineStr">
        <is>
          <t>Valuation triangulation and bid ceiling</t>
        </is>
      </c>
      <c r="C28" s="27" t="inlineStr">
        <is>
          <t>Precedent transactions</t>
        </is>
      </c>
      <c r="D28" s="27" t="inlineStr">
        <is>
          <t>Northwest Mechanical</t>
        </is>
      </c>
      <c r="E28" s="27" t="inlineStr">
        <is>
          <t>Close date</t>
        </is>
      </c>
      <c r="F28" s="27" t="inlineStr">
        <is>
          <t>Approved case</t>
        </is>
      </c>
      <c r="G28" s="27" t="inlineStr">
        <is>
          <t>EV EBITDA multiple</t>
        </is>
      </c>
      <c r="H28" s="46" t="n">
        <v>8.6</v>
      </c>
      <c r="I28" s="27" t="inlineStr"/>
      <c r="J28" s="27" t="inlineStr">
        <is>
          <t>multiple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DEV-00704</t>
        </is>
      </c>
      <c r="B29" s="27" t="inlineStr">
        <is>
          <t>Valuation triangulation and bid ceiling</t>
        </is>
      </c>
      <c r="C29" s="27" t="inlineStr">
        <is>
          <t>Precedent transactions</t>
        </is>
      </c>
      <c r="D29" s="27" t="inlineStr">
        <is>
          <t>Northwest Mechanical</t>
        </is>
      </c>
      <c r="E29" s="27" t="inlineStr">
        <is>
          <t>Close date</t>
        </is>
      </c>
      <c r="F29" s="27" t="inlineStr">
        <is>
          <t>Approved case</t>
        </is>
      </c>
      <c r="G29" s="27" t="inlineStr">
        <is>
          <t>Comparable</t>
        </is>
      </c>
      <c r="H29" s="46" t="n">
        <v>1</v>
      </c>
      <c r="I29" s="27" t="inlineStr"/>
      <c r="J29" s="27" t="inlineStr">
        <is>
          <t>boolean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DEV-00705</t>
        </is>
      </c>
      <c r="B30" s="27" t="inlineStr">
        <is>
          <t>Valuation triangulation and bid ceiling</t>
        </is>
      </c>
      <c r="C30" s="27" t="inlineStr">
        <is>
          <t>Precedent transactions</t>
        </is>
      </c>
      <c r="D30" s="27" t="inlineStr">
        <is>
          <t>Metro Controls</t>
        </is>
      </c>
      <c r="E30" s="27" t="inlineStr">
        <is>
          <t>Close date</t>
        </is>
      </c>
      <c r="F30" s="27" t="inlineStr">
        <is>
          <t>Approved case</t>
        </is>
      </c>
      <c r="G30" s="27" t="inlineStr">
        <is>
          <t>EV EBITDA multiple</t>
        </is>
      </c>
      <c r="H30" s="46" t="n">
        <v>9.199999999999999</v>
      </c>
      <c r="I30" s="27" t="inlineStr"/>
      <c r="J30" s="27" t="inlineStr">
        <is>
          <t>multiple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DEV-00706</t>
        </is>
      </c>
      <c r="B31" s="27" t="inlineStr">
        <is>
          <t>Valuation triangulation and bid ceiling</t>
        </is>
      </c>
      <c r="C31" s="27" t="inlineStr">
        <is>
          <t>Precedent transactions</t>
        </is>
      </c>
      <c r="D31" s="27" t="inlineStr">
        <is>
          <t>Metro Controls</t>
        </is>
      </c>
      <c r="E31" s="27" t="inlineStr">
        <is>
          <t>Close date</t>
        </is>
      </c>
      <c r="F31" s="27" t="inlineStr">
        <is>
          <t>Approved case</t>
        </is>
      </c>
      <c r="G31" s="27" t="inlineStr">
        <is>
          <t>Comparable</t>
        </is>
      </c>
      <c r="H31" s="46" t="n">
        <v>1</v>
      </c>
      <c r="I31" s="27" t="inlineStr"/>
      <c r="J31" s="27" t="inlineStr">
        <is>
          <t>boolean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DEV-00707</t>
        </is>
      </c>
      <c r="B32" s="27" t="inlineStr">
        <is>
          <t>Valuation triangulation and bid ceiling</t>
        </is>
      </c>
      <c r="C32" s="27" t="inlineStr">
        <is>
          <t>Precedent transactions</t>
        </is>
      </c>
      <c r="D32" s="27" t="inlineStr">
        <is>
          <t>DistressedCo</t>
        </is>
      </c>
      <c r="E32" s="27" t="inlineStr">
        <is>
          <t>Close date</t>
        </is>
      </c>
      <c r="F32" s="27" t="inlineStr">
        <is>
          <t>Approved case</t>
        </is>
      </c>
      <c r="G32" s="27" t="inlineStr">
        <is>
          <t>EV EBITDA multiple</t>
        </is>
      </c>
      <c r="H32" s="46" t="n">
        <v>5.1</v>
      </c>
      <c r="I32" s="27" t="inlineStr"/>
      <c r="J32" s="27" t="inlineStr">
        <is>
          <t>multiple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DEV-00708</t>
        </is>
      </c>
      <c r="B33" s="27" t="inlineStr">
        <is>
          <t>Valuation triangulation and bid ceiling</t>
        </is>
      </c>
      <c r="C33" s="27" t="inlineStr">
        <is>
          <t>Precedent transactions</t>
        </is>
      </c>
      <c r="D33" s="27" t="inlineStr">
        <is>
          <t>DistressedCo</t>
        </is>
      </c>
      <c r="E33" s="27" t="inlineStr">
        <is>
          <t>Close date</t>
        </is>
      </c>
      <c r="F33" s="27" t="inlineStr">
        <is>
          <t>Approved case</t>
        </is>
      </c>
      <c r="G33" s="27" t="inlineStr">
        <is>
          <t>Comparable</t>
        </is>
      </c>
      <c r="H33" s="46" t="n">
        <v>0</v>
      </c>
      <c r="I33" s="27" t="inlineStr"/>
      <c r="J33" s="27" t="inlineStr">
        <is>
          <t>boolean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DEV-00709</t>
        </is>
      </c>
      <c r="B34" s="27" t="inlineStr">
        <is>
          <t>Valuation triangulation and bid ceiling</t>
        </is>
      </c>
      <c r="C34" s="27" t="inlineStr">
        <is>
          <t>Precedent transactions</t>
        </is>
      </c>
      <c r="D34" s="27" t="inlineStr">
        <is>
          <t>Western Services</t>
        </is>
      </c>
      <c r="E34" s="27" t="inlineStr">
        <is>
          <t>Close date</t>
        </is>
      </c>
      <c r="F34" s="27" t="inlineStr">
        <is>
          <t>Approved case</t>
        </is>
      </c>
      <c r="G34" s="27" t="inlineStr">
        <is>
          <t>EV EBITDA multiple</t>
        </is>
      </c>
      <c r="H34" s="46" t="n">
        <v>8.9</v>
      </c>
      <c r="I34" s="27" t="inlineStr"/>
      <c r="J34" s="27" t="inlineStr">
        <is>
          <t>multiple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DEV-00710</t>
        </is>
      </c>
      <c r="B35" s="27" t="inlineStr">
        <is>
          <t>Valuation triangulation and bid ceiling</t>
        </is>
      </c>
      <c r="C35" s="27" t="inlineStr">
        <is>
          <t>Precedent transactions</t>
        </is>
      </c>
      <c r="D35" s="27" t="inlineStr">
        <is>
          <t>Western Services</t>
        </is>
      </c>
      <c r="E35" s="27" t="inlineStr">
        <is>
          <t>Close date</t>
        </is>
      </c>
      <c r="F35" s="27" t="inlineStr">
        <is>
          <t>Approved case</t>
        </is>
      </c>
      <c r="G35" s="27" t="inlineStr">
        <is>
          <t>Comparable</t>
        </is>
      </c>
      <c r="H35" s="46" t="n">
        <v>1</v>
      </c>
      <c r="I35" s="27" t="inlineStr"/>
      <c r="J35" s="27" t="inlineStr">
        <is>
          <t>boolean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DEV-00711</t>
        </is>
      </c>
      <c r="B36" s="27" t="inlineStr">
        <is>
          <t>Valuation triangulation and bid ceiling</t>
        </is>
      </c>
      <c r="C36" s="27" t="inlineStr">
        <is>
          <t>Valuation and bid policy</t>
        </is>
      </c>
      <c r="D36" s="27" t="inlineStr">
        <is>
          <t>Pioneer HVAC</t>
        </is>
      </c>
      <c r="E36" s="27" t="inlineStr">
        <is>
          <t>IC case</t>
        </is>
      </c>
      <c r="F36" s="27" t="inlineStr">
        <is>
          <t>Approved case</t>
        </is>
      </c>
      <c r="G36" s="27" t="inlineStr">
        <is>
          <t>Target revenue</t>
        </is>
      </c>
      <c r="H36" s="46" t="n">
        <v>28400</v>
      </c>
      <c r="I36" s="27" t="inlineStr"/>
      <c r="J36" s="27" t="inlineStr">
        <is>
          <t>USD thousands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DEV-00712</t>
        </is>
      </c>
      <c r="B37" s="27" t="inlineStr">
        <is>
          <t>Valuation triangulation and bid ceiling</t>
        </is>
      </c>
      <c r="C37" s="27" t="inlineStr">
        <is>
          <t>Valuation and bid policy</t>
        </is>
      </c>
      <c r="D37" s="27" t="inlineStr">
        <is>
          <t>Pioneer HVAC</t>
        </is>
      </c>
      <c r="E37" s="27" t="inlineStr">
        <is>
          <t>IC case</t>
        </is>
      </c>
      <c r="F37" s="27" t="inlineStr">
        <is>
          <t>Approved case</t>
        </is>
      </c>
      <c r="G37" s="27" t="inlineStr">
        <is>
          <t>Target adjusted EBITDA</t>
        </is>
      </c>
      <c r="H37" s="46" t="n">
        <v>4150000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DEV-00713</t>
        </is>
      </c>
      <c r="B38" s="27" t="inlineStr">
        <is>
          <t>Valuation triangulation and bid ceiling</t>
        </is>
      </c>
      <c r="C38" s="27" t="inlineStr">
        <is>
          <t>Valuation and bid policy</t>
        </is>
      </c>
      <c r="D38" s="27" t="inlineStr">
        <is>
          <t>Pioneer HVAC</t>
        </is>
      </c>
      <c r="E38" s="27" t="inlineStr">
        <is>
          <t>IC case</t>
        </is>
      </c>
      <c r="F38" s="27" t="inlineStr">
        <is>
          <t>Approved case</t>
        </is>
      </c>
      <c r="G38" s="27" t="inlineStr">
        <is>
          <t>DCF enterprise value</t>
        </is>
      </c>
      <c r="H38" s="46" t="n">
        <v>33800000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DEV-00714</t>
        </is>
      </c>
      <c r="B39" s="27" t="inlineStr">
        <is>
          <t>Valuation triangulation and bid ceiling</t>
        </is>
      </c>
      <c r="C39" s="27" t="inlineStr">
        <is>
          <t>Valuation and bid policy</t>
        </is>
      </c>
      <c r="D39" s="27" t="inlineStr">
        <is>
          <t>Pioneer HVAC</t>
        </is>
      </c>
      <c r="E39" s="27" t="inlineStr">
        <is>
          <t>IC case</t>
        </is>
      </c>
      <c r="F39" s="27" t="inlineStr">
        <is>
          <t>Approved case</t>
        </is>
      </c>
      <c r="G39" s="27" t="inlineStr">
        <is>
          <t>Debt-like items</t>
        </is>
      </c>
      <c r="H39" s="46" t="n">
        <v>4950000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DEV-00715</t>
        </is>
      </c>
      <c r="B40" s="27" t="inlineStr">
        <is>
          <t>Valuation triangulation and bid ceiling</t>
        </is>
      </c>
      <c r="C40" s="27" t="inlineStr">
        <is>
          <t>Valuation and bid policy</t>
        </is>
      </c>
      <c r="D40" s="27" t="inlineStr">
        <is>
          <t>Pioneer HVAC</t>
        </is>
      </c>
      <c r="E40" s="27" t="inlineStr">
        <is>
          <t>IC case</t>
        </is>
      </c>
      <c r="F40" s="27" t="inlineStr">
        <is>
          <t>Approved case</t>
        </is>
      </c>
      <c r="G40" s="27" t="inlineStr">
        <is>
          <t>Cash credit</t>
        </is>
      </c>
      <c r="H40" s="46" t="n">
        <v>500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DEV-00716</t>
        </is>
      </c>
      <c r="B41" s="27" t="inlineStr">
        <is>
          <t>Valuation triangulation and bid ceiling</t>
        </is>
      </c>
      <c r="C41" s="27" t="inlineStr">
        <is>
          <t>Valuation and bid policy</t>
        </is>
      </c>
      <c r="D41" s="27" t="inlineStr">
        <is>
          <t>Pioneer HVAC</t>
        </is>
      </c>
      <c r="E41" s="27" t="inlineStr">
        <is>
          <t>IC case</t>
        </is>
      </c>
      <c r="F41" s="27" t="inlineStr">
        <is>
          <t>Approved case</t>
        </is>
      </c>
      <c r="G41" s="27" t="inlineStr">
        <is>
          <t>Trading EBITDA weight</t>
        </is>
      </c>
      <c r="H41" s="46" t="n">
        <v>0.35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DEV-00717</t>
        </is>
      </c>
      <c r="B42" s="27" t="inlineStr">
        <is>
          <t>Valuation triangulation and bid ceiling</t>
        </is>
      </c>
      <c r="C42" s="27" t="inlineStr">
        <is>
          <t>Valuation and bid policy</t>
        </is>
      </c>
      <c r="D42" s="27" t="inlineStr">
        <is>
          <t>Pioneer HVAC</t>
        </is>
      </c>
      <c r="E42" s="27" t="inlineStr">
        <is>
          <t>IC case</t>
        </is>
      </c>
      <c r="F42" s="27" t="inlineStr">
        <is>
          <t>Approved case</t>
        </is>
      </c>
      <c r="G42" s="27" t="inlineStr">
        <is>
          <t>Trading revenue weight</t>
        </is>
      </c>
      <c r="H42" s="46" t="n">
        <v>0.15</v>
      </c>
      <c r="I42" s="27" t="inlineStr"/>
      <c r="J42" s="27" t="inlineStr">
        <is>
          <t>decimal ratio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DEV-00718</t>
        </is>
      </c>
      <c r="B43" s="27" t="inlineStr">
        <is>
          <t>Valuation triangulation and bid ceiling</t>
        </is>
      </c>
      <c r="C43" s="27" t="inlineStr">
        <is>
          <t>Valuation and bid policy</t>
        </is>
      </c>
      <c r="D43" s="27" t="inlineStr">
        <is>
          <t>Pioneer HVAC</t>
        </is>
      </c>
      <c r="E43" s="27" t="inlineStr">
        <is>
          <t>IC case</t>
        </is>
      </c>
      <c r="F43" s="27" t="inlineStr">
        <is>
          <t>Approved case</t>
        </is>
      </c>
      <c r="G43" s="27" t="inlineStr">
        <is>
          <t>Precedent weight</t>
        </is>
      </c>
      <c r="H43" s="46" t="n">
        <v>0.2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DEV-00719</t>
        </is>
      </c>
      <c r="B44" s="27" t="inlineStr">
        <is>
          <t>Valuation triangulation and bid ceiling</t>
        </is>
      </c>
      <c r="C44" s="27" t="inlineStr">
        <is>
          <t>Valuation and bid policy</t>
        </is>
      </c>
      <c r="D44" s="27" t="inlineStr">
        <is>
          <t>Pioneer HVAC</t>
        </is>
      </c>
      <c r="E44" s="27" t="inlineStr">
        <is>
          <t>IC case</t>
        </is>
      </c>
      <c r="F44" s="27" t="inlineStr">
        <is>
          <t>Approved case</t>
        </is>
      </c>
      <c r="G44" s="27" t="inlineStr">
        <is>
          <t>DCF weight</t>
        </is>
      </c>
      <c r="H44" s="46" t="n">
        <v>0.3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DEV-00720</t>
        </is>
      </c>
      <c r="B45" s="27" t="inlineStr">
        <is>
          <t>Valuation triangulation and bid ceiling</t>
        </is>
      </c>
      <c r="C45" s="27" t="inlineStr">
        <is>
          <t>Valuation and bid policy</t>
        </is>
      </c>
      <c r="D45" s="27" t="inlineStr">
        <is>
          <t>Pioneer HVAC</t>
        </is>
      </c>
      <c r="E45" s="27" t="inlineStr">
        <is>
          <t>IC case</t>
        </is>
      </c>
      <c r="F45" s="27" t="inlineStr">
        <is>
          <t>Approved case</t>
        </is>
      </c>
      <c r="G45" s="27" t="inlineStr">
        <is>
          <t>Minimum acquisition IRR</t>
        </is>
      </c>
      <c r="H45" s="46" t="n">
        <v>0.18</v>
      </c>
      <c r="I45" s="27" t="inlineStr"/>
      <c r="J45" s="27" t="inlineStr">
        <is>
          <t>decimal ratio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DEV-00721</t>
        </is>
      </c>
      <c r="B46" s="27" t="inlineStr">
        <is>
          <t>Valuation triangulation and bid ceiling</t>
        </is>
      </c>
      <c r="C46" s="27" t="inlineStr">
        <is>
          <t>Valuation and bid policy</t>
        </is>
      </c>
      <c r="D46" s="27" t="inlineStr">
        <is>
          <t>Pioneer HVAC</t>
        </is>
      </c>
      <c r="E46" s="27" t="inlineStr">
        <is>
          <t>IC case</t>
        </is>
      </c>
      <c r="F46" s="27" t="inlineStr">
        <is>
          <t>Approved case</t>
        </is>
      </c>
      <c r="G46" s="27" t="inlineStr">
        <is>
          <t>Five-year exit equity value</t>
        </is>
      </c>
      <c r="H46" s="46" t="n">
        <v>48500000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DEV-00736</t>
        </is>
      </c>
      <c r="B47" s="27" t="inlineStr">
        <is>
          <t>Valuation triangulation and bid ceiling</t>
        </is>
      </c>
      <c r="C47" s="27" t="inlineStr">
        <is>
          <t>Pioneer DCF support</t>
        </is>
      </c>
      <c r="D47" s="27" t="inlineStr">
        <is>
          <t>Pioneer HVAC</t>
        </is>
      </c>
      <c r="E47" s="27" t="inlineStr">
        <is>
          <t>Year 1</t>
        </is>
      </c>
      <c r="F47" s="27" t="inlineStr">
        <is>
          <t>Approved case</t>
        </is>
      </c>
      <c r="G47" s="27" t="inlineStr">
        <is>
          <t>Unlevered free cash flow</t>
        </is>
      </c>
      <c r="H47" s="46" t="n">
        <v>2100000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DEV-00737</t>
        </is>
      </c>
      <c r="B48" s="27" t="inlineStr">
        <is>
          <t>Valuation triangulation and bid ceiling</t>
        </is>
      </c>
      <c r="C48" s="27" t="inlineStr">
        <is>
          <t>Pioneer DCF support</t>
        </is>
      </c>
      <c r="D48" s="27" t="inlineStr">
        <is>
          <t>Pioneer HVAC</t>
        </is>
      </c>
      <c r="E48" s="27" t="inlineStr">
        <is>
          <t>Year 2</t>
        </is>
      </c>
      <c r="F48" s="27" t="inlineStr">
        <is>
          <t>Approved case</t>
        </is>
      </c>
      <c r="G48" s="27" t="inlineStr">
        <is>
          <t>Unlevered free cash flow</t>
        </is>
      </c>
      <c r="H48" s="46" t="n">
        <v>2400000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DEV-00738</t>
        </is>
      </c>
      <c r="B49" s="27" t="inlineStr">
        <is>
          <t>Valuation triangulation and bid ceiling</t>
        </is>
      </c>
      <c r="C49" s="27" t="inlineStr">
        <is>
          <t>Pioneer DCF support</t>
        </is>
      </c>
      <c r="D49" s="27" t="inlineStr">
        <is>
          <t>Pioneer HVAC</t>
        </is>
      </c>
      <c r="E49" s="27" t="inlineStr">
        <is>
          <t>Year 3</t>
        </is>
      </c>
      <c r="F49" s="27" t="inlineStr">
        <is>
          <t>Approved case</t>
        </is>
      </c>
      <c r="G49" s="27" t="inlineStr">
        <is>
          <t>Unlevered free cash flow</t>
        </is>
      </c>
      <c r="H49" s="46" t="n">
        <v>2700000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DEV-00739</t>
        </is>
      </c>
      <c r="B50" s="27" t="inlineStr">
        <is>
          <t>Valuation triangulation and bid ceiling</t>
        </is>
      </c>
      <c r="C50" s="27" t="inlineStr">
        <is>
          <t>Pioneer DCF support</t>
        </is>
      </c>
      <c r="D50" s="27" t="inlineStr">
        <is>
          <t>Pioneer HVAC</t>
        </is>
      </c>
      <c r="E50" s="27" t="inlineStr">
        <is>
          <t>Year 4</t>
        </is>
      </c>
      <c r="F50" s="27" t="inlineStr">
        <is>
          <t>Approved case</t>
        </is>
      </c>
      <c r="G50" s="27" t="inlineStr">
        <is>
          <t>Unlevered free cash flow</t>
        </is>
      </c>
      <c r="H50" s="46" t="n">
        <v>3000</v>
      </c>
      <c r="I50" s="27" t="inlineStr"/>
      <c r="J50" s="27" t="inlineStr">
        <is>
          <t>USD thousands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DEV-00740</t>
        </is>
      </c>
      <c r="B51" s="27" t="inlineStr">
        <is>
          <t>Valuation triangulation and bid ceiling</t>
        </is>
      </c>
      <c r="C51" s="27" t="inlineStr">
        <is>
          <t>Pioneer DCF support</t>
        </is>
      </c>
      <c r="D51" s="27" t="inlineStr">
        <is>
          <t>Pioneer HVAC</t>
        </is>
      </c>
      <c r="E51" s="27" t="inlineStr">
        <is>
          <t>Year 5</t>
        </is>
      </c>
      <c r="F51" s="27" t="inlineStr">
        <is>
          <t>Approved case</t>
        </is>
      </c>
      <c r="G51" s="27" t="inlineStr">
        <is>
          <t>Unlevered free cash flow</t>
        </is>
      </c>
      <c r="H51" s="46" t="n">
        <v>3400000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DEV-00741</t>
        </is>
      </c>
      <c r="B52" s="27" t="inlineStr">
        <is>
          <t>Valuation triangulation and bid ceiling</t>
        </is>
      </c>
      <c r="C52" s="27" t="inlineStr">
        <is>
          <t>Pioneer DCF support</t>
        </is>
      </c>
      <c r="D52" s="27" t="inlineStr">
        <is>
          <t>Pioneer HVAC</t>
        </is>
      </c>
      <c r="E52" s="27" t="inlineStr">
        <is>
          <t>IC case</t>
        </is>
      </c>
      <c r="F52" s="27" t="inlineStr">
        <is>
          <t>Approved case</t>
        </is>
      </c>
      <c r="G52" s="27" t="inlineStr">
        <is>
          <t>WACC</t>
        </is>
      </c>
      <c r="H52" s="46" t="n">
        <v>0.11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DEV-00742</t>
        </is>
      </c>
      <c r="B53" s="27" t="inlineStr">
        <is>
          <t>Valuation triangulation and bid ceiling</t>
        </is>
      </c>
      <c r="C53" s="27" t="inlineStr">
        <is>
          <t>Pioneer DCF support</t>
        </is>
      </c>
      <c r="D53" s="27" t="inlineStr">
        <is>
          <t>Pioneer HVAC</t>
        </is>
      </c>
      <c r="E53" s="27" t="inlineStr">
        <is>
          <t>IC case</t>
        </is>
      </c>
      <c r="F53" s="27" t="inlineStr">
        <is>
          <t>Approved case</t>
        </is>
      </c>
      <c r="G53" s="27" t="inlineStr">
        <is>
          <t>Terminal growth</t>
        </is>
      </c>
      <c r="H53" s="46" t="n">
        <v>0.025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DEV-00743</t>
        </is>
      </c>
      <c r="B54" s="27" t="inlineStr">
        <is>
          <t>Valuation triangulation and bid ceiling</t>
        </is>
      </c>
      <c r="C54" s="27" t="inlineStr">
        <is>
          <t>Pioneer DCF support</t>
        </is>
      </c>
      <c r="D54" s="27" t="inlineStr">
        <is>
          <t>Pioneer HVAC</t>
        </is>
      </c>
      <c r="E54" s="27" t="inlineStr">
        <is>
          <t>IC case</t>
        </is>
      </c>
      <c r="F54" s="27" t="inlineStr">
        <is>
          <t>Approved case</t>
        </is>
      </c>
      <c r="G54" s="27" t="inlineStr">
        <is>
          <t>Execution risk deduction</t>
        </is>
      </c>
      <c r="H54" s="46" t="n">
        <v>550</v>
      </c>
      <c r="I54" s="27" t="inlineStr"/>
      <c r="J54" s="27" t="inlineStr">
        <is>
          <t>USD thousands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DEV-091S001</t>
        </is>
      </c>
      <c r="B55" s="27" t="inlineStr">
        <is>
          <t>Valuation triangulation and bid ceiling</t>
        </is>
      </c>
      <c r="C55" s="27" t="inlineStr">
        <is>
          <t>Bid protection register</t>
        </is>
      </c>
      <c r="D55" s="27" t="inlineStr">
        <is>
          <t>Working-capital peg collar</t>
        </is>
      </c>
      <c r="E55" s="27" t="inlineStr">
        <is>
          <t>Management review</t>
        </is>
      </c>
      <c r="F55" s="27" t="inlineStr">
        <is>
          <t>Approved case</t>
        </is>
      </c>
      <c r="G55" s="27" t="inlineStr">
        <is>
          <t>Cash cost</t>
        </is>
      </c>
      <c r="H55" s="46" t="n">
        <v>150000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DEV-091S002</t>
        </is>
      </c>
      <c r="B56" s="27" t="inlineStr">
        <is>
          <t>Valuation triangulation and bid ceiling</t>
        </is>
      </c>
      <c r="C56" s="27" t="inlineStr">
        <is>
          <t>Bid protection register</t>
        </is>
      </c>
      <c r="D56" s="27" t="inlineStr">
        <is>
          <t>Working-capital peg collar</t>
        </is>
      </c>
      <c r="E56" s="27" t="inlineStr">
        <is>
          <t>Management review</t>
        </is>
      </c>
      <c r="F56" s="27" t="inlineStr">
        <is>
          <t>Approved case</t>
        </is>
      </c>
      <c r="G56" s="27" t="inlineStr">
        <is>
          <t>Gross financial effect</t>
        </is>
      </c>
      <c r="H56" s="46" t="n">
        <v>720000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DEV-091S003</t>
        </is>
      </c>
      <c r="B57" s="27" t="inlineStr">
        <is>
          <t>Valuation triangulation and bid ceiling</t>
        </is>
      </c>
      <c r="C57" s="27" t="inlineStr">
        <is>
          <t>Bid protection register</t>
        </is>
      </c>
      <c r="D57" s="27" t="inlineStr">
        <is>
          <t>Working-capital peg collar</t>
        </is>
      </c>
      <c r="E57" s="27" t="inlineStr">
        <is>
          <t>Management review</t>
        </is>
      </c>
      <c r="F57" s="27" t="inlineStr">
        <is>
          <t>Approved case</t>
        </is>
      </c>
      <c r="G57" s="27" t="inlineStr">
        <is>
          <t>Realization probability</t>
        </is>
      </c>
      <c r="H57" s="46" t="n">
        <v>0.86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DEV-091S004</t>
        </is>
      </c>
      <c r="B58" s="27" t="inlineStr">
        <is>
          <t>Valuation triangulation and bid ceiling</t>
        </is>
      </c>
      <c r="C58" s="27" t="inlineStr">
        <is>
          <t>Bid protection register</t>
        </is>
      </c>
      <c r="D58" s="27" t="inlineStr">
        <is>
          <t>Working-capital peg collar</t>
        </is>
      </c>
      <c r="E58" s="27" t="inlineStr">
        <is>
          <t>Management review</t>
        </is>
      </c>
      <c r="F58" s="27" t="inlineStr">
        <is>
          <t>Approved case</t>
        </is>
      </c>
      <c r="G58" s="27" t="inlineStr">
        <is>
          <t>Capacity units</t>
        </is>
      </c>
      <c r="H58" s="46" t="n">
        <v>260</v>
      </c>
      <c r="I58" s="27" t="inlineStr"/>
      <c r="J58" s="27" t="inlineStr">
        <is>
          <t>diligence hours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DEV-091S005</t>
        </is>
      </c>
      <c r="B59" s="27" t="inlineStr">
        <is>
          <t>Valuation triangulation and bid ceiling</t>
        </is>
      </c>
      <c r="C59" s="27" t="inlineStr">
        <is>
          <t>Bid protection register</t>
        </is>
      </c>
      <c r="D59" s="27" t="inlineStr">
        <is>
          <t>Working-capital peg collar</t>
        </is>
      </c>
      <c r="E59" s="27" t="inlineStr">
        <is>
          <t>Management review</t>
        </is>
      </c>
      <c r="F59" s="27" t="inlineStr">
        <is>
          <t>Approved case</t>
        </is>
      </c>
      <c r="G59" s="27" t="inlineStr">
        <is>
          <t>Status</t>
        </is>
      </c>
      <c r="H59" s="46" t="inlineStr"/>
      <c r="I59" s="27" t="inlineStr">
        <is>
          <t>Approved</t>
        </is>
      </c>
      <c r="J59" s="27" t="inlineStr">
        <is>
          <t>classification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DEV-091S006</t>
        </is>
      </c>
      <c r="B60" s="27" t="inlineStr">
        <is>
          <t>Valuation triangulation and bid ceiling</t>
        </is>
      </c>
      <c r="C60" s="27" t="inlineStr">
        <is>
          <t>Bid protection register</t>
        </is>
      </c>
      <c r="D60" s="27" t="inlineStr">
        <is>
          <t>Working-capital peg collar</t>
        </is>
      </c>
      <c r="E60" s="27" t="inlineStr">
        <is>
          <t>Management review</t>
        </is>
      </c>
      <c r="F60" s="27" t="inlineStr">
        <is>
          <t>Approved case</t>
        </is>
      </c>
      <c r="G60" s="27" t="inlineStr">
        <is>
          <t>Dependency</t>
        </is>
      </c>
      <c r="H60" s="46" t="inlineStr"/>
      <c r="I60" s="27" t="inlineStr"/>
      <c r="J60" s="27" t="inlineStr">
        <is>
          <t>classification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DEV-091S007</t>
        </is>
      </c>
      <c r="B61" s="27" t="inlineStr">
        <is>
          <t>Valuation triangulation and bid ceiling</t>
        </is>
      </c>
      <c r="C61" s="27" t="inlineStr">
        <is>
          <t>Bid protection register</t>
        </is>
      </c>
      <c r="D61" s="27" t="inlineStr">
        <is>
          <t>Debt-like item true-up</t>
        </is>
      </c>
      <c r="E61" s="27" t="inlineStr">
        <is>
          <t>Management review</t>
        </is>
      </c>
      <c r="F61" s="27" t="inlineStr">
        <is>
          <t>Approved case</t>
        </is>
      </c>
      <c r="G61" s="27" t="inlineStr">
        <is>
          <t>Cash cost</t>
        </is>
      </c>
      <c r="H61" s="46" t="n">
        <v>130000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DEV-091S008</t>
        </is>
      </c>
      <c r="B62" s="27" t="inlineStr">
        <is>
          <t>Valuation triangulation and bid ceiling</t>
        </is>
      </c>
      <c r="C62" s="27" t="inlineStr">
        <is>
          <t>Bid protection register</t>
        </is>
      </c>
      <c r="D62" s="27" t="inlineStr">
        <is>
          <t>Debt-like item true-up</t>
        </is>
      </c>
      <c r="E62" s="27" t="inlineStr">
        <is>
          <t>Management review</t>
        </is>
      </c>
      <c r="F62" s="27" t="inlineStr">
        <is>
          <t>Approved case</t>
        </is>
      </c>
      <c r="G62" s="27" t="inlineStr">
        <is>
          <t>Gross financial effect</t>
        </is>
      </c>
      <c r="H62" s="46" t="n">
        <v>610</v>
      </c>
      <c r="I62" s="27" t="inlineStr"/>
      <c r="J62" s="27" t="inlineStr">
        <is>
          <t>USD thousands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DEV-091S009</t>
        </is>
      </c>
      <c r="B63" s="27" t="inlineStr">
        <is>
          <t>Valuation triangulation and bid ceiling</t>
        </is>
      </c>
      <c r="C63" s="27" t="inlineStr">
        <is>
          <t>Bid protection register</t>
        </is>
      </c>
      <c r="D63" s="27" t="inlineStr">
        <is>
          <t>Debt-like item true-up</t>
        </is>
      </c>
      <c r="E63" s="27" t="inlineStr">
        <is>
          <t>Management review</t>
        </is>
      </c>
      <c r="F63" s="27" t="inlineStr">
        <is>
          <t>Approved case</t>
        </is>
      </c>
      <c r="G63" s="27" t="inlineStr">
        <is>
          <t>Realization probability</t>
        </is>
      </c>
      <c r="H63" s="46" t="n">
        <v>0.82</v>
      </c>
      <c r="I63" s="27" t="inlineStr"/>
      <c r="J63" s="27" t="inlineStr">
        <is>
          <t>decimal ratio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DEV-091S010</t>
        </is>
      </c>
      <c r="B64" s="27" t="inlineStr">
        <is>
          <t>Valuation triangulation and bid ceiling</t>
        </is>
      </c>
      <c r="C64" s="27" t="inlineStr">
        <is>
          <t>Bid protection register</t>
        </is>
      </c>
      <c r="D64" s="27" t="inlineStr">
        <is>
          <t>Debt-like item true-up</t>
        </is>
      </c>
      <c r="E64" s="27" t="inlineStr">
        <is>
          <t>Management review</t>
        </is>
      </c>
      <c r="F64" s="27" t="inlineStr">
        <is>
          <t>Approved case</t>
        </is>
      </c>
      <c r="G64" s="27" t="inlineStr">
        <is>
          <t>Capacity units</t>
        </is>
      </c>
      <c r="H64" s="46" t="n">
        <v>240</v>
      </c>
      <c r="I64" s="27" t="inlineStr"/>
      <c r="J64" s="27" t="inlineStr">
        <is>
          <t>diligence hours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DEV-091S011</t>
        </is>
      </c>
      <c r="B65" s="27" t="inlineStr">
        <is>
          <t>Valuation triangulation and bid ceiling</t>
        </is>
      </c>
      <c r="C65" s="27" t="inlineStr">
        <is>
          <t>Bid protection register</t>
        </is>
      </c>
      <c r="D65" s="27" t="inlineStr">
        <is>
          <t>Debt-like item true-up</t>
        </is>
      </c>
      <c r="E65" s="27" t="inlineStr">
        <is>
          <t>Management review</t>
        </is>
      </c>
      <c r="F65" s="27" t="inlineStr">
        <is>
          <t>Approved case</t>
        </is>
      </c>
      <c r="G65" s="27" t="inlineStr">
        <is>
          <t>Status</t>
        </is>
      </c>
      <c r="H65" s="46" t="inlineStr"/>
      <c r="I65" s="27" t="inlineStr">
        <is>
          <t>Approved</t>
        </is>
      </c>
      <c r="J65" s="27" t="inlineStr">
        <is>
          <t>classification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DEV-091S012</t>
        </is>
      </c>
      <c r="B66" s="27" t="inlineStr">
        <is>
          <t>Valuation triangulation and bid ceiling</t>
        </is>
      </c>
      <c r="C66" s="27" t="inlineStr">
        <is>
          <t>Bid protection register</t>
        </is>
      </c>
      <c r="D66" s="27" t="inlineStr">
        <is>
          <t>Debt-like item true-up</t>
        </is>
      </c>
      <c r="E66" s="27" t="inlineStr">
        <is>
          <t>Management review</t>
        </is>
      </c>
      <c r="F66" s="27" t="inlineStr">
        <is>
          <t>Approved case</t>
        </is>
      </c>
      <c r="G66" s="27" t="inlineStr">
        <is>
          <t>Dependency</t>
        </is>
      </c>
      <c r="H66" s="46" t="inlineStr"/>
      <c r="I66" s="27" t="inlineStr"/>
      <c r="J66" s="27" t="inlineStr">
        <is>
          <t>classification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DEV-091S013</t>
        </is>
      </c>
      <c r="B67" s="27" t="inlineStr">
        <is>
          <t>Valuation triangulation and bid ceiling</t>
        </is>
      </c>
      <c r="C67" s="27" t="inlineStr">
        <is>
          <t>Bid protection register</t>
        </is>
      </c>
      <c r="D67" s="27" t="inlineStr">
        <is>
          <t>Customer concentration holdback</t>
        </is>
      </c>
      <c r="E67" s="27" t="inlineStr">
        <is>
          <t>Management review</t>
        </is>
      </c>
      <c r="F67" s="27" t="inlineStr">
        <is>
          <t>Approved case</t>
        </is>
      </c>
      <c r="G67" s="27" t="inlineStr">
        <is>
          <t>Cash cost</t>
        </is>
      </c>
      <c r="H67" s="46" t="n">
        <v>220000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DEV-091S014</t>
        </is>
      </c>
      <c r="B68" s="27" t="inlineStr">
        <is>
          <t>Valuation triangulation and bid ceiling</t>
        </is>
      </c>
      <c r="C68" s="27" t="inlineStr">
        <is>
          <t>Bid protection register</t>
        </is>
      </c>
      <c r="D68" s="27" t="inlineStr">
        <is>
          <t>Customer concentration holdback</t>
        </is>
      </c>
      <c r="E68" s="27" t="inlineStr">
        <is>
          <t>Management review</t>
        </is>
      </c>
      <c r="F68" s="27" t="inlineStr">
        <is>
          <t>Approved case</t>
        </is>
      </c>
      <c r="G68" s="27" t="inlineStr">
        <is>
          <t>Gross financial effect</t>
        </is>
      </c>
      <c r="H68" s="46" t="n">
        <v>920000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DEV-091S015</t>
        </is>
      </c>
      <c r="B69" s="27" t="inlineStr">
        <is>
          <t>Valuation triangulation and bid ceiling</t>
        </is>
      </c>
      <c r="C69" s="27" t="inlineStr">
        <is>
          <t>Bid protection register</t>
        </is>
      </c>
      <c r="D69" s="27" t="inlineStr">
        <is>
          <t>Customer concentration holdback</t>
        </is>
      </c>
      <c r="E69" s="27" t="inlineStr">
        <is>
          <t>Management review</t>
        </is>
      </c>
      <c r="F69" s="27" t="inlineStr">
        <is>
          <t>Approved case</t>
        </is>
      </c>
      <c r="G69" s="27" t="inlineStr">
        <is>
          <t>Realization probability</t>
        </is>
      </c>
      <c r="H69" s="46" t="n">
        <v>0.72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DEV-091S016</t>
        </is>
      </c>
      <c r="B70" s="27" t="inlineStr">
        <is>
          <t>Valuation triangulation and bid ceiling</t>
        </is>
      </c>
      <c r="C70" s="27" t="inlineStr">
        <is>
          <t>Bid protection register</t>
        </is>
      </c>
      <c r="D70" s="27" t="inlineStr">
        <is>
          <t>Customer concentration holdback</t>
        </is>
      </c>
      <c r="E70" s="27" t="inlineStr">
        <is>
          <t>Management review</t>
        </is>
      </c>
      <c r="F70" s="27" t="inlineStr">
        <is>
          <t>Approved case</t>
        </is>
      </c>
      <c r="G70" s="27" t="inlineStr">
        <is>
          <t>Capacity units</t>
        </is>
      </c>
      <c r="H70" s="46" t="n">
        <v>390</v>
      </c>
      <c r="I70" s="27" t="inlineStr"/>
      <c r="J70" s="27" t="inlineStr">
        <is>
          <t>diligence hours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DEV-091S017</t>
        </is>
      </c>
      <c r="B71" s="27" t="inlineStr">
        <is>
          <t>Valuation triangulation and bid ceiling</t>
        </is>
      </c>
      <c r="C71" s="27" t="inlineStr">
        <is>
          <t>Bid protection register</t>
        </is>
      </c>
      <c r="D71" s="27" t="inlineStr">
        <is>
          <t>Customer concentration holdback</t>
        </is>
      </c>
      <c r="E71" s="27" t="inlineStr">
        <is>
          <t>Management review</t>
        </is>
      </c>
      <c r="F71" s="27" t="inlineStr">
        <is>
          <t>Approved case</t>
        </is>
      </c>
      <c r="G71" s="27" t="inlineStr">
        <is>
          <t>Status</t>
        </is>
      </c>
      <c r="H71" s="46" t="inlineStr"/>
      <c r="I71" s="27" t="inlineStr">
        <is>
          <t>Approved</t>
        </is>
      </c>
      <c r="J71" s="27" t="inlineStr">
        <is>
          <t>classification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DEV-091S018</t>
        </is>
      </c>
      <c r="B72" s="27" t="inlineStr">
        <is>
          <t>Valuation triangulation and bid ceiling</t>
        </is>
      </c>
      <c r="C72" s="27" t="inlineStr">
        <is>
          <t>Bid protection register</t>
        </is>
      </c>
      <c r="D72" s="27" t="inlineStr">
        <is>
          <t>Customer concentration holdback</t>
        </is>
      </c>
      <c r="E72" s="27" t="inlineStr">
        <is>
          <t>Management review</t>
        </is>
      </c>
      <c r="F72" s="27" t="inlineStr">
        <is>
          <t>Approved case</t>
        </is>
      </c>
      <c r="G72" s="27" t="inlineStr">
        <is>
          <t>Dependency</t>
        </is>
      </c>
      <c r="H72" s="46" t="inlineStr"/>
      <c r="I72" s="27" t="inlineStr"/>
      <c r="J72" s="27" t="inlineStr">
        <is>
          <t>classification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DEV-091S019</t>
        </is>
      </c>
      <c r="B73" s="27" t="inlineStr">
        <is>
          <t>Valuation triangulation and bid ceiling</t>
        </is>
      </c>
      <c r="C73" s="27" t="inlineStr">
        <is>
          <t>Bid protection register</t>
        </is>
      </c>
      <c r="D73" s="27" t="inlineStr">
        <is>
          <t>QoE earnings collar</t>
        </is>
      </c>
      <c r="E73" s="27" t="inlineStr">
        <is>
          <t>Management review</t>
        </is>
      </c>
      <c r="F73" s="27" t="inlineStr">
        <is>
          <t>Approved case</t>
        </is>
      </c>
      <c r="G73" s="27" t="inlineStr">
        <is>
          <t>Cash cost</t>
        </is>
      </c>
      <c r="H73" s="46" t="n">
        <v>180000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DEV-091S020</t>
        </is>
      </c>
      <c r="B74" s="27" t="inlineStr">
        <is>
          <t>Valuation triangulation and bid ceiling</t>
        </is>
      </c>
      <c r="C74" s="27" t="inlineStr">
        <is>
          <t>Bid protection register</t>
        </is>
      </c>
      <c r="D74" s="27" t="inlineStr">
        <is>
          <t>QoE earnings collar</t>
        </is>
      </c>
      <c r="E74" s="27" t="inlineStr">
        <is>
          <t>Management review</t>
        </is>
      </c>
      <c r="F74" s="27" t="inlineStr">
        <is>
          <t>Approved case</t>
        </is>
      </c>
      <c r="G74" s="27" t="inlineStr">
        <is>
          <t>Gross financial effect</t>
        </is>
      </c>
      <c r="H74" s="46" t="n">
        <v>780</v>
      </c>
      <c r="I74" s="27" t="inlineStr"/>
      <c r="J74" s="27" t="inlineStr">
        <is>
          <t>USD thousands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DEV-091S021</t>
        </is>
      </c>
      <c r="B75" s="27" t="inlineStr">
        <is>
          <t>Valuation triangulation and bid ceiling</t>
        </is>
      </c>
      <c r="C75" s="27" t="inlineStr">
        <is>
          <t>Bid protection register</t>
        </is>
      </c>
      <c r="D75" s="27" t="inlineStr">
        <is>
          <t>QoE earnings collar</t>
        </is>
      </c>
      <c r="E75" s="27" t="inlineStr">
        <is>
          <t>Management review</t>
        </is>
      </c>
      <c r="F75" s="27" t="inlineStr">
        <is>
          <t>Approved case</t>
        </is>
      </c>
      <c r="G75" s="27" t="inlineStr">
        <is>
          <t>Realization probability</t>
        </is>
      </c>
      <c r="H75" s="46" t="n">
        <v>0.77</v>
      </c>
      <c r="I75" s="27" t="inlineStr"/>
      <c r="J75" s="27" t="inlineStr">
        <is>
          <t>decimal ratio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DEV-091S022</t>
        </is>
      </c>
      <c r="B76" s="27" t="inlineStr">
        <is>
          <t>Valuation triangulation and bid ceiling</t>
        </is>
      </c>
      <c r="C76" s="27" t="inlineStr">
        <is>
          <t>Bid protection register</t>
        </is>
      </c>
      <c r="D76" s="27" t="inlineStr">
        <is>
          <t>QoE earnings collar</t>
        </is>
      </c>
      <c r="E76" s="27" t="inlineStr">
        <is>
          <t>Management review</t>
        </is>
      </c>
      <c r="F76" s="27" t="inlineStr">
        <is>
          <t>Approved case</t>
        </is>
      </c>
      <c r="G76" s="27" t="inlineStr">
        <is>
          <t>Capacity units</t>
        </is>
      </c>
      <c r="H76" s="46" t="n">
        <v>330</v>
      </c>
      <c r="I76" s="27" t="inlineStr"/>
      <c r="J76" s="27" t="inlineStr">
        <is>
          <t>diligence hours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DEV-091S023</t>
        </is>
      </c>
      <c r="B77" s="27" t="inlineStr">
        <is>
          <t>Valuation triangulation and bid ceiling</t>
        </is>
      </c>
      <c r="C77" s="27" t="inlineStr">
        <is>
          <t>Bid protection register</t>
        </is>
      </c>
      <c r="D77" s="27" t="inlineStr">
        <is>
          <t>QoE earnings collar</t>
        </is>
      </c>
      <c r="E77" s="27" t="inlineStr">
        <is>
          <t>Management review</t>
        </is>
      </c>
      <c r="F77" s="27" t="inlineStr">
        <is>
          <t>Approved case</t>
        </is>
      </c>
      <c r="G77" s="27" t="inlineStr">
        <is>
          <t>Status</t>
        </is>
      </c>
      <c r="H77" s="46" t="inlineStr"/>
      <c r="I77" s="27" t="inlineStr">
        <is>
          <t>Approved</t>
        </is>
      </c>
      <c r="J77" s="27" t="inlineStr">
        <is>
          <t>classification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DEV-091S024</t>
        </is>
      </c>
      <c r="B78" s="27" t="inlineStr">
        <is>
          <t>Valuation triangulation and bid ceiling</t>
        </is>
      </c>
      <c r="C78" s="27" t="inlineStr">
        <is>
          <t>Bid protection register</t>
        </is>
      </c>
      <c r="D78" s="27" t="inlineStr">
        <is>
          <t>QoE earnings collar</t>
        </is>
      </c>
      <c r="E78" s="27" t="inlineStr">
        <is>
          <t>Management review</t>
        </is>
      </c>
      <c r="F78" s="27" t="inlineStr">
        <is>
          <t>Approved case</t>
        </is>
      </c>
      <c r="G78" s="27" t="inlineStr">
        <is>
          <t>Dependency</t>
        </is>
      </c>
      <c r="H78" s="46" t="inlineStr"/>
      <c r="I78" s="27" t="inlineStr"/>
      <c r="J78" s="27" t="inlineStr">
        <is>
          <t>classification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DEV-091S025</t>
        </is>
      </c>
      <c r="B79" s="27" t="inlineStr">
        <is>
          <t>Valuation triangulation and bid ceiling</t>
        </is>
      </c>
      <c r="C79" s="27" t="inlineStr">
        <is>
          <t>Bid protection register</t>
        </is>
      </c>
      <c r="D79" s="27" t="inlineStr">
        <is>
          <t>Synergy-contingent earnout</t>
        </is>
      </c>
      <c r="E79" s="27" t="inlineStr">
        <is>
          <t>Management review</t>
        </is>
      </c>
      <c r="F79" s="27" t="inlineStr">
        <is>
          <t>Approved case</t>
        </is>
      </c>
      <c r="G79" s="27" t="inlineStr">
        <is>
          <t>Cash cost</t>
        </is>
      </c>
      <c r="H79" s="46" t="n">
        <v>260000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DEV-091S026</t>
        </is>
      </c>
      <c r="B80" s="27" t="inlineStr">
        <is>
          <t>Valuation triangulation and bid ceiling</t>
        </is>
      </c>
      <c r="C80" s="27" t="inlineStr">
        <is>
          <t>Bid protection register</t>
        </is>
      </c>
      <c r="D80" s="27" t="inlineStr">
        <is>
          <t>Synergy-contingent earnout</t>
        </is>
      </c>
      <c r="E80" s="27" t="inlineStr">
        <is>
          <t>Management review</t>
        </is>
      </c>
      <c r="F80" s="27" t="inlineStr">
        <is>
          <t>Approved case</t>
        </is>
      </c>
      <c r="G80" s="27" t="inlineStr">
        <is>
          <t>Gross financial effect</t>
        </is>
      </c>
      <c r="H80" s="46" t="n">
        <v>1080000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DEV-091S027</t>
        </is>
      </c>
      <c r="B81" s="27" t="inlineStr">
        <is>
          <t>Valuation triangulation and bid ceiling</t>
        </is>
      </c>
      <c r="C81" s="27" t="inlineStr">
        <is>
          <t>Bid protection register</t>
        </is>
      </c>
      <c r="D81" s="27" t="inlineStr">
        <is>
          <t>Synergy-contingent earnout</t>
        </is>
      </c>
      <c r="E81" s="27" t="inlineStr">
        <is>
          <t>Management review</t>
        </is>
      </c>
      <c r="F81" s="27" t="inlineStr">
        <is>
          <t>Approved case</t>
        </is>
      </c>
      <c r="G81" s="27" t="inlineStr">
        <is>
          <t>Realization probability</t>
        </is>
      </c>
      <c r="H81" s="46" t="n">
        <v>0.62</v>
      </c>
      <c r="I81" s="27" t="inlineStr"/>
      <c r="J81" s="27" t="inlineStr">
        <is>
          <t>decimal ratio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DEV-091S028</t>
        </is>
      </c>
      <c r="B82" s="27" t="inlineStr">
        <is>
          <t>Valuation triangulation and bid ceiling</t>
        </is>
      </c>
      <c r="C82" s="27" t="inlineStr">
        <is>
          <t>Bid protection register</t>
        </is>
      </c>
      <c r="D82" s="27" t="inlineStr">
        <is>
          <t>Synergy-contingent earnout</t>
        </is>
      </c>
      <c r="E82" s="27" t="inlineStr">
        <is>
          <t>Management review</t>
        </is>
      </c>
      <c r="F82" s="27" t="inlineStr">
        <is>
          <t>Approved case</t>
        </is>
      </c>
      <c r="G82" s="27" t="inlineStr">
        <is>
          <t>Capacity units</t>
        </is>
      </c>
      <c r="H82" s="46" t="n">
        <v>450</v>
      </c>
      <c r="I82" s="27" t="inlineStr"/>
      <c r="J82" s="27" t="inlineStr">
        <is>
          <t>diligence hours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DEV-091S029</t>
        </is>
      </c>
      <c r="B83" s="27" t="inlineStr">
        <is>
          <t>Valuation triangulation and bid ceiling</t>
        </is>
      </c>
      <c r="C83" s="27" t="inlineStr">
        <is>
          <t>Bid protection register</t>
        </is>
      </c>
      <c r="D83" s="27" t="inlineStr">
        <is>
          <t>Synergy-contingent earnout</t>
        </is>
      </c>
      <c r="E83" s="27" t="inlineStr">
        <is>
          <t>Management review</t>
        </is>
      </c>
      <c r="F83" s="27" t="inlineStr">
        <is>
          <t>Approved case</t>
        </is>
      </c>
      <c r="G83" s="27" t="inlineStr">
        <is>
          <t>Status</t>
        </is>
      </c>
      <c r="H83" s="46" t="inlineStr"/>
      <c r="I83" s="27" t="inlineStr">
        <is>
          <t>Conditional</t>
        </is>
      </c>
      <c r="J83" s="27" t="inlineStr">
        <is>
          <t>classification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DEV-091S030</t>
        </is>
      </c>
      <c r="B84" s="27" t="inlineStr">
        <is>
          <t>Valuation triangulation and bid ceiling</t>
        </is>
      </c>
      <c r="C84" s="27" t="inlineStr">
        <is>
          <t>Bid protection register</t>
        </is>
      </c>
      <c r="D84" s="27" t="inlineStr">
        <is>
          <t>Synergy-contingent earnout</t>
        </is>
      </c>
      <c r="E84" s="27" t="inlineStr">
        <is>
          <t>Management review</t>
        </is>
      </c>
      <c r="F84" s="27" t="inlineStr">
        <is>
          <t>Approved case</t>
        </is>
      </c>
      <c r="G84" s="27" t="inlineStr">
        <is>
          <t>Dependency</t>
        </is>
      </c>
      <c r="H84" s="46" t="inlineStr"/>
      <c r="I84" s="27" t="inlineStr">
        <is>
          <t>QoE earnings collar</t>
        </is>
      </c>
      <c r="J84" s="27" t="inlineStr">
        <is>
          <t>classification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DEV-091S031</t>
        </is>
      </c>
      <c r="B85" s="27" t="inlineStr">
        <is>
          <t>Valuation triangulation and bid ceiling</t>
        </is>
      </c>
      <c r="C85" s="27" t="inlineStr">
        <is>
          <t>Bid protection register</t>
        </is>
      </c>
      <c r="D85" s="27" t="inlineStr">
        <is>
          <t>Portfolio policy</t>
        </is>
      </c>
      <c r="E85" s="27" t="inlineStr">
        <is>
          <t>Management review</t>
        </is>
      </c>
      <c r="F85" s="27" t="inlineStr">
        <is>
          <t>Approved case</t>
        </is>
      </c>
      <c r="G85" s="27" t="inlineStr">
        <is>
          <t>Cash budget</t>
        </is>
      </c>
      <c r="H85" s="46" t="n">
        <v>760000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DEV-091S032</t>
        </is>
      </c>
      <c r="B86" s="27" t="inlineStr">
        <is>
          <t>Valuation triangulation and bid ceiling</t>
        </is>
      </c>
      <c r="C86" s="27" t="inlineStr">
        <is>
          <t>Bid protection register</t>
        </is>
      </c>
      <c r="D86" s="27" t="inlineStr">
        <is>
          <t>Portfolio policy</t>
        </is>
      </c>
      <c r="E86" s="27" t="inlineStr">
        <is>
          <t>Management review</t>
        </is>
      </c>
      <c r="F86" s="27" t="inlineStr">
        <is>
          <t>Approved case</t>
        </is>
      </c>
      <c r="G86" s="27" t="inlineStr">
        <is>
          <t>Capacity limit</t>
        </is>
      </c>
      <c r="H86" s="46" t="n">
        <v>1250</v>
      </c>
      <c r="I86" s="27" t="inlineStr"/>
      <c r="J86" s="27" t="inlineStr">
        <is>
          <t>diligence hours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DEV-091S033</t>
        </is>
      </c>
      <c r="B87" s="27" t="inlineStr">
        <is>
          <t>Valuation triangulation and bid ceiling</t>
        </is>
      </c>
      <c r="C87" s="27" t="inlineStr">
        <is>
          <t>Bid protection register</t>
        </is>
      </c>
      <c r="D87" s="27" t="inlineStr">
        <is>
          <t>Portfolio policy</t>
        </is>
      </c>
      <c r="E87" s="27" t="inlineStr">
        <is>
          <t>Management review</t>
        </is>
      </c>
      <c r="F87" s="27" t="inlineStr">
        <is>
          <t>Approved case</t>
        </is>
      </c>
      <c r="G87" s="27" t="inlineStr">
        <is>
          <t>Maximum actions</t>
        </is>
      </c>
      <c r="H87" s="46" t="n">
        <v>3</v>
      </c>
      <c r="I87" s="27" t="inlineStr"/>
      <c r="J87" s="27" t="inlineStr">
        <is>
          <t>count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DEV-091S034</t>
        </is>
      </c>
      <c r="B88" s="27" t="inlineStr">
        <is>
          <t>Valuation triangulation and bid ceiling</t>
        </is>
      </c>
      <c r="C88" s="27" t="inlineStr">
        <is>
          <t>Bid protection register</t>
        </is>
      </c>
      <c r="D88" s="27" t="inlineStr">
        <is>
          <t>Portfolio policy</t>
        </is>
      </c>
      <c r="E88" s="27" t="inlineStr">
        <is>
          <t>Management review</t>
        </is>
      </c>
      <c r="F88" s="27" t="inlineStr">
        <is>
          <t>Approved case</t>
        </is>
      </c>
      <c r="G88" s="27" t="inlineStr">
        <is>
          <t>Minimum expected net effect</t>
        </is>
      </c>
      <c r="H88" s="46" t="n">
        <v>600000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DEV-091S035</t>
        </is>
      </c>
      <c r="B89" s="27" t="inlineStr">
        <is>
          <t>Valuation triangulation and bid ceiling</t>
        </is>
      </c>
      <c r="C89" s="27" t="inlineStr">
        <is>
          <t>Bid protection register</t>
        </is>
      </c>
      <c r="D89" s="27" t="inlineStr">
        <is>
          <t>Portfolio policy</t>
        </is>
      </c>
      <c r="E89" s="27" t="inlineStr">
        <is>
          <t>Management review</t>
        </is>
      </c>
      <c r="F89" s="27" t="inlineStr">
        <is>
          <t>Approved case</t>
        </is>
      </c>
      <c r="G89" s="27" t="inlineStr">
        <is>
          <t>Effect basis</t>
        </is>
      </c>
      <c r="H89" s="46" t="inlineStr"/>
      <c r="I89" s="27" t="inlineStr">
        <is>
          <t>protected purchase-price value</t>
        </is>
      </c>
      <c r="J89" s="27" t="inlineStr">
        <is>
          <t>classification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DEV-091S036</t>
        </is>
      </c>
      <c r="B90" s="27" t="inlineStr">
        <is>
          <t>Valuation triangulation and bid ceiling</t>
        </is>
      </c>
      <c r="C90" s="27" t="inlineStr">
        <is>
          <t>Bid protection register</t>
        </is>
      </c>
      <c r="D90" s="27" t="inlineStr">
        <is>
          <t>Portfolio policy</t>
        </is>
      </c>
      <c r="E90" s="27" t="inlineStr">
        <is>
          <t>Management review</t>
        </is>
      </c>
      <c r="F90" s="27" t="inlineStr">
        <is>
          <t>Approved case</t>
        </is>
      </c>
      <c r="G90" s="27" t="inlineStr">
        <is>
          <t>Eligible statuses</t>
        </is>
      </c>
      <c r="H90" s="46" t="inlineStr"/>
      <c r="I90" s="27" t="inlineStr">
        <is>
          <t>Approved; Conditional</t>
        </is>
      </c>
      <c r="J90" s="27" t="inlineStr">
        <is>
          <t>classification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DEV-091S047</t>
        </is>
      </c>
      <c r="B91" s="27" t="inlineStr">
        <is>
          <t>Valuation triangulation and bid ceiling</t>
        </is>
      </c>
      <c r="C91" s="27" t="inlineStr">
        <is>
          <t>Bid protection register scenario controls</t>
        </is>
      </c>
      <c r="D91" s="27" t="inlineStr">
        <is>
          <t>Steering base</t>
        </is>
      </c>
      <c r="E91" s="27" t="inlineStr">
        <is>
          <t>Management review</t>
        </is>
      </c>
      <c r="F91" s="27" t="inlineStr">
        <is>
          <t>Approved case</t>
        </is>
      </c>
      <c r="G91" s="27" t="inlineStr">
        <is>
          <t>Gross effect factor</t>
        </is>
      </c>
      <c r="H91" s="46" t="n">
        <v>1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DEV-091S048</t>
        </is>
      </c>
      <c r="B92" s="27" t="inlineStr">
        <is>
          <t>Valuation triangulation and bid ceiling</t>
        </is>
      </c>
      <c r="C92" s="27" t="inlineStr">
        <is>
          <t>Bid protection register scenario controls</t>
        </is>
      </c>
      <c r="D92" s="27" t="inlineStr">
        <is>
          <t>Steering base</t>
        </is>
      </c>
      <c r="E92" s="27" t="inlineStr">
        <is>
          <t>Management review</t>
        </is>
      </c>
      <c r="F92" s="27" t="inlineStr">
        <is>
          <t>Approved case</t>
        </is>
      </c>
      <c r="G92" s="27" t="inlineStr">
        <is>
          <t>Probability factor</t>
        </is>
      </c>
      <c r="H92" s="46" t="n">
        <v>1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DEV-091S049</t>
        </is>
      </c>
      <c r="B93" s="27" t="inlineStr">
        <is>
          <t>Valuation triangulation and bid ceiling</t>
        </is>
      </c>
      <c r="C93" s="27" t="inlineStr">
        <is>
          <t>Bid protection register scenario controls</t>
        </is>
      </c>
      <c r="D93" s="27" t="inlineStr">
        <is>
          <t>Steering base</t>
        </is>
      </c>
      <c r="E93" s="27" t="inlineStr">
        <is>
          <t>Management review</t>
        </is>
      </c>
      <c r="F93" s="27" t="inlineStr">
        <is>
          <t>Approved case</t>
        </is>
      </c>
      <c r="G93" s="27" t="inlineStr">
        <is>
          <t>Cash cost factor</t>
        </is>
      </c>
      <c r="H93" s="46" t="n">
        <v>1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DEV-091S050</t>
        </is>
      </c>
      <c r="B94" s="27" t="inlineStr">
        <is>
          <t>Valuation triangulation and bid ceiling</t>
        </is>
      </c>
      <c r="C94" s="27" t="inlineStr">
        <is>
          <t>Bid protection register scenario controls</t>
        </is>
      </c>
      <c r="D94" s="27" t="inlineStr">
        <is>
          <t>Steering base</t>
        </is>
      </c>
      <c r="E94" s="27" t="inlineStr">
        <is>
          <t>Management review</t>
        </is>
      </c>
      <c r="F94" s="27" t="inlineStr">
        <is>
          <t>Approved case</t>
        </is>
      </c>
      <c r="G94" s="27" t="inlineStr">
        <is>
          <t>Capacity factor</t>
        </is>
      </c>
      <c r="H94" s="46" t="n">
        <v>1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DEV-091S051</t>
        </is>
      </c>
      <c r="B95" s="27" t="inlineStr">
        <is>
          <t>Valuation triangulation and bid ceiling</t>
        </is>
      </c>
      <c r="C95" s="27" t="inlineStr">
        <is>
          <t>Bid protection register scenario controls</t>
        </is>
      </c>
      <c r="D95" s="27" t="inlineStr">
        <is>
          <t>Steering base</t>
        </is>
      </c>
      <c r="E95" s="27" t="inlineStr">
        <is>
          <t>Management review</t>
        </is>
      </c>
      <c r="F95" s="27" t="inlineStr">
        <is>
          <t>Approved case</t>
        </is>
      </c>
      <c r="G95" s="27" t="inlineStr">
        <is>
          <t>Cash budget factor</t>
        </is>
      </c>
      <c r="H95" s="46" t="n">
        <v>1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DEV-091S052</t>
        </is>
      </c>
      <c r="B96" s="27" t="inlineStr">
        <is>
          <t>Valuation triangulation and bid ceiling</t>
        </is>
      </c>
      <c r="C96" s="27" t="inlineStr">
        <is>
          <t>Bid protection register scenario controls</t>
        </is>
      </c>
      <c r="D96" s="27" t="inlineStr">
        <is>
          <t>Steering base</t>
        </is>
      </c>
      <c r="E96" s="27" t="inlineStr">
        <is>
          <t>Management review</t>
        </is>
      </c>
      <c r="F96" s="27" t="inlineStr">
        <is>
          <t>Approved case</t>
        </is>
      </c>
      <c r="G96" s="27" t="inlineStr">
        <is>
          <t>Capacity limit factor</t>
        </is>
      </c>
      <c r="H96" s="46" t="n">
        <v>1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DEV-091S053</t>
        </is>
      </c>
      <c r="B97" s="27" t="inlineStr">
        <is>
          <t>Valuation triangulation and bid ceiling</t>
        </is>
      </c>
      <c r="C97" s="27" t="inlineStr">
        <is>
          <t>Bid protection register scenario controls</t>
        </is>
      </c>
      <c r="D97" s="27" t="inlineStr">
        <is>
          <t>Steering base</t>
        </is>
      </c>
      <c r="E97" s="27" t="inlineStr">
        <is>
          <t>Management review</t>
        </is>
      </c>
      <c r="F97" s="27" t="inlineStr">
        <is>
          <t>Approved case</t>
        </is>
      </c>
      <c r="G97" s="27" t="inlineStr">
        <is>
          <t>Maximum actions</t>
        </is>
      </c>
      <c r="H97" s="46" t="n">
        <v>3</v>
      </c>
      <c r="I97" s="27" t="inlineStr"/>
      <c r="J97" s="27" t="inlineStr">
        <is>
          <t>count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DEV-091S054</t>
        </is>
      </c>
      <c r="B98" s="27" t="inlineStr">
        <is>
          <t>Valuation triangulation and bid ceiling</t>
        </is>
      </c>
      <c r="C98" s="27" t="inlineStr">
        <is>
          <t>Bid protection register scenario controls</t>
        </is>
      </c>
      <c r="D98" s="27" t="inlineStr">
        <is>
          <t>Steering base</t>
        </is>
      </c>
      <c r="E98" s="27" t="inlineStr">
        <is>
          <t>Management review</t>
        </is>
      </c>
      <c r="F98" s="27" t="inlineStr">
        <is>
          <t>Approved case</t>
        </is>
      </c>
      <c r="G98" s="27" t="inlineStr">
        <is>
          <t>Conditional actions allowed</t>
        </is>
      </c>
      <c r="H98" s="46" t="inlineStr"/>
      <c r="I98" s="27" t="inlineStr">
        <is>
          <t>Yes</t>
        </is>
      </c>
      <c r="J98" s="27" t="inlineStr">
        <is>
          <t>classification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DEV-091S055</t>
        </is>
      </c>
      <c r="B99" s="27" t="inlineStr">
        <is>
          <t>Valuation triangulation and bid ceiling</t>
        </is>
      </c>
      <c r="C99" s="27" t="inlineStr">
        <is>
          <t>Bid protection register scenario controls</t>
        </is>
      </c>
      <c r="D99" s="27" t="inlineStr">
        <is>
          <t>Debt-like and working-capital shock</t>
        </is>
      </c>
      <c r="E99" s="27" t="inlineStr">
        <is>
          <t>Management review</t>
        </is>
      </c>
      <c r="F99" s="27" t="inlineStr">
        <is>
          <t>Approved case</t>
        </is>
      </c>
      <c r="G99" s="27" t="inlineStr">
        <is>
          <t>Gross effect factor</t>
        </is>
      </c>
      <c r="H99" s="46" t="n">
        <v>0.8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DEV-091S056</t>
        </is>
      </c>
      <c r="B100" s="27" t="inlineStr">
        <is>
          <t>Valuation triangulation and bid ceiling</t>
        </is>
      </c>
      <c r="C100" s="27" t="inlineStr">
        <is>
          <t>Bid protection register scenario controls</t>
        </is>
      </c>
      <c r="D100" s="27" t="inlineStr">
        <is>
          <t>Debt-like and working-capital shock</t>
        </is>
      </c>
      <c r="E100" s="27" t="inlineStr">
        <is>
          <t>Management review</t>
        </is>
      </c>
      <c r="F100" s="27" t="inlineStr">
        <is>
          <t>Approved case</t>
        </is>
      </c>
      <c r="G100" s="27" t="inlineStr">
        <is>
          <t>Probability factor</t>
        </is>
      </c>
      <c r="H100" s="46" t="n">
        <v>0.76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DEV-091S057</t>
        </is>
      </c>
      <c r="B101" s="27" t="inlineStr">
        <is>
          <t>Valuation triangulation and bid ceiling</t>
        </is>
      </c>
      <c r="C101" s="27" t="inlineStr">
        <is>
          <t>Bid protection register scenario controls</t>
        </is>
      </c>
      <c r="D101" s="27" t="inlineStr">
        <is>
          <t>Debt-like and working-capital shock</t>
        </is>
      </c>
      <c r="E101" s="27" t="inlineStr">
        <is>
          <t>Management review</t>
        </is>
      </c>
      <c r="F101" s="27" t="inlineStr">
        <is>
          <t>Approved case</t>
        </is>
      </c>
      <c r="G101" s="27" t="inlineStr">
        <is>
          <t>Cash cost factor</t>
        </is>
      </c>
      <c r="H101" s="46" t="n">
        <v>1.12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DEV-091S058</t>
        </is>
      </c>
      <c r="B102" s="27" t="inlineStr">
        <is>
          <t>Valuation triangulation and bid ceiling</t>
        </is>
      </c>
      <c r="C102" s="27" t="inlineStr">
        <is>
          <t>Bid protection register scenario controls</t>
        </is>
      </c>
      <c r="D102" s="27" t="inlineStr">
        <is>
          <t>Debt-like and working-capital shock</t>
        </is>
      </c>
      <c r="E102" s="27" t="inlineStr">
        <is>
          <t>Management review</t>
        </is>
      </c>
      <c r="F102" s="27" t="inlineStr">
        <is>
          <t>Approved case</t>
        </is>
      </c>
      <c r="G102" s="27" t="inlineStr">
        <is>
          <t>Capacity factor</t>
        </is>
      </c>
      <c r="H102" s="46" t="n">
        <v>1.08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DEV-091S059</t>
        </is>
      </c>
      <c r="B103" s="27" t="inlineStr">
        <is>
          <t>Valuation triangulation and bid ceiling</t>
        </is>
      </c>
      <c r="C103" s="27" t="inlineStr">
        <is>
          <t>Bid protection register scenario controls</t>
        </is>
      </c>
      <c r="D103" s="27" t="inlineStr">
        <is>
          <t>Debt-like and working-capital shock</t>
        </is>
      </c>
      <c r="E103" s="27" t="inlineStr">
        <is>
          <t>Management review</t>
        </is>
      </c>
      <c r="F103" s="27" t="inlineStr">
        <is>
          <t>Approved case</t>
        </is>
      </c>
      <c r="G103" s="27" t="inlineStr">
        <is>
          <t>Cash budget factor</t>
        </is>
      </c>
      <c r="H103" s="46" t="n">
        <v>0.82</v>
      </c>
      <c r="I103" s="27" t="inlineStr"/>
      <c r="J103" s="27" t="inlineStr">
        <is>
          <t>decimal ratio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DEV-091S060</t>
        </is>
      </c>
      <c r="B104" s="27" t="inlineStr">
        <is>
          <t>Valuation triangulation and bid ceiling</t>
        </is>
      </c>
      <c r="C104" s="27" t="inlineStr">
        <is>
          <t>Bid protection register scenario controls</t>
        </is>
      </c>
      <c r="D104" s="27" t="inlineStr">
        <is>
          <t>Debt-like and working-capital shock</t>
        </is>
      </c>
      <c r="E104" s="27" t="inlineStr">
        <is>
          <t>Management review</t>
        </is>
      </c>
      <c r="F104" s="27" t="inlineStr">
        <is>
          <t>Approved case</t>
        </is>
      </c>
      <c r="G104" s="27" t="inlineStr">
        <is>
          <t>Capacity limit factor</t>
        </is>
      </c>
      <c r="H104" s="46" t="n">
        <v>0.84</v>
      </c>
      <c r="I104" s="27" t="inlineStr"/>
      <c r="J104" s="27" t="inlineStr">
        <is>
          <t>decimal ratio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DEV-091S061</t>
        </is>
      </c>
      <c r="B105" s="27" t="inlineStr">
        <is>
          <t>Valuation triangulation and bid ceiling</t>
        </is>
      </c>
      <c r="C105" s="27" t="inlineStr">
        <is>
          <t>Bid protection register scenario controls</t>
        </is>
      </c>
      <c r="D105" s="27" t="inlineStr">
        <is>
          <t>Debt-like and working-capital shock</t>
        </is>
      </c>
      <c r="E105" s="27" t="inlineStr">
        <is>
          <t>Management review</t>
        </is>
      </c>
      <c r="F105" s="27" t="inlineStr">
        <is>
          <t>Approved case</t>
        </is>
      </c>
      <c r="G105" s="27" t="inlineStr">
        <is>
          <t>Maximum actions</t>
        </is>
      </c>
      <c r="H105" s="46" t="n">
        <v>2</v>
      </c>
      <c r="I105" s="27" t="inlineStr"/>
      <c r="J105" s="27" t="inlineStr">
        <is>
          <t>count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DEV-091S062</t>
        </is>
      </c>
      <c r="B106" s="27" t="inlineStr">
        <is>
          <t>Valuation triangulation and bid ceiling</t>
        </is>
      </c>
      <c r="C106" s="27" t="inlineStr">
        <is>
          <t>Bid protection register scenario controls</t>
        </is>
      </c>
      <c r="D106" s="27" t="inlineStr">
        <is>
          <t>Debt-like and working-capital shock</t>
        </is>
      </c>
      <c r="E106" s="27" t="inlineStr">
        <is>
          <t>Management review</t>
        </is>
      </c>
      <c r="F106" s="27" t="inlineStr">
        <is>
          <t>Approved case</t>
        </is>
      </c>
      <c r="G106" s="27" t="inlineStr">
        <is>
          <t>Conditional actions allowed</t>
        </is>
      </c>
      <c r="H106" s="46" t="inlineStr"/>
      <c r="I106" s="27" t="inlineStr">
        <is>
          <t>No</t>
        </is>
      </c>
      <c r="J106" s="27" t="inlineStr">
        <is>
          <t>classification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DEV-091S063</t>
        </is>
      </c>
      <c r="B107" s="27" t="inlineStr">
        <is>
          <t>Valuation triangulation and bid ceiling</t>
        </is>
      </c>
      <c r="C107" s="27" t="inlineStr">
        <is>
          <t>Bid protection register scenario controls</t>
        </is>
      </c>
      <c r="D107" s="27" t="inlineStr">
        <is>
          <t>Combined bid downside</t>
        </is>
      </c>
      <c r="E107" s="27" t="inlineStr">
        <is>
          <t>Management review</t>
        </is>
      </c>
      <c r="F107" s="27" t="inlineStr">
        <is>
          <t>Approved case</t>
        </is>
      </c>
      <c r="G107" s="27" t="inlineStr">
        <is>
          <t>Gross effect factor</t>
        </is>
      </c>
      <c r="H107" s="46" t="n">
        <v>0.64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DEV-091S064</t>
        </is>
      </c>
      <c r="B108" s="27" t="inlineStr">
        <is>
          <t>Valuation triangulation and bid ceiling</t>
        </is>
      </c>
      <c r="C108" s="27" t="inlineStr">
        <is>
          <t>Bid protection register scenario controls</t>
        </is>
      </c>
      <c r="D108" s="27" t="inlineStr">
        <is>
          <t>Combined bid downside</t>
        </is>
      </c>
      <c r="E108" s="27" t="inlineStr">
        <is>
          <t>Management review</t>
        </is>
      </c>
      <c r="F108" s="27" t="inlineStr">
        <is>
          <t>Approved case</t>
        </is>
      </c>
      <c r="G108" s="27" t="inlineStr">
        <is>
          <t>Probability factor</t>
        </is>
      </c>
      <c r="H108" s="46" t="n">
        <v>0.68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DEV-091S065</t>
        </is>
      </c>
      <c r="B109" s="27" t="inlineStr">
        <is>
          <t>Valuation triangulation and bid ceiling</t>
        </is>
      </c>
      <c r="C109" s="27" t="inlineStr">
        <is>
          <t>Bid protection register scenario controls</t>
        </is>
      </c>
      <c r="D109" s="27" t="inlineStr">
        <is>
          <t>Combined bid downside</t>
        </is>
      </c>
      <c r="E109" s="27" t="inlineStr">
        <is>
          <t>Management review</t>
        </is>
      </c>
      <c r="F109" s="27" t="inlineStr">
        <is>
          <t>Approved case</t>
        </is>
      </c>
      <c r="G109" s="27" t="inlineStr">
        <is>
          <t>Cash cost factor</t>
        </is>
      </c>
      <c r="H109" s="46" t="n">
        <v>1.2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DEV-091S066</t>
        </is>
      </c>
      <c r="B110" s="27" t="inlineStr">
        <is>
          <t>Valuation triangulation and bid ceiling</t>
        </is>
      </c>
      <c r="C110" s="27" t="inlineStr">
        <is>
          <t>Bid protection register scenario controls</t>
        </is>
      </c>
      <c r="D110" s="27" t="inlineStr">
        <is>
          <t>Combined bid downside</t>
        </is>
      </c>
      <c r="E110" s="27" t="inlineStr">
        <is>
          <t>Management review</t>
        </is>
      </c>
      <c r="F110" s="27" t="inlineStr">
        <is>
          <t>Approved case</t>
        </is>
      </c>
      <c r="G110" s="27" t="inlineStr">
        <is>
          <t>Capacity factor</t>
        </is>
      </c>
      <c r="H110" s="46" t="n">
        <v>1.18</v>
      </c>
      <c r="I110" s="27" t="inlineStr"/>
      <c r="J110" s="27" t="inlineStr">
        <is>
          <t>decimal ratio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DEV-091S067</t>
        </is>
      </c>
      <c r="B111" s="27" t="inlineStr">
        <is>
          <t>Valuation triangulation and bid ceiling</t>
        </is>
      </c>
      <c r="C111" s="27" t="inlineStr">
        <is>
          <t>Bid protection register scenario controls</t>
        </is>
      </c>
      <c r="D111" s="27" t="inlineStr">
        <is>
          <t>Combined bid downside</t>
        </is>
      </c>
      <c r="E111" s="27" t="inlineStr">
        <is>
          <t>Management review</t>
        </is>
      </c>
      <c r="F111" s="27" t="inlineStr">
        <is>
          <t>Approved case</t>
        </is>
      </c>
      <c r="G111" s="27" t="inlineStr">
        <is>
          <t>Cash budget factor</t>
        </is>
      </c>
      <c r="H111" s="46" t="n">
        <v>0.72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DEV-091S068</t>
        </is>
      </c>
      <c r="B112" s="27" t="inlineStr">
        <is>
          <t>Valuation triangulation and bid ceiling</t>
        </is>
      </c>
      <c r="C112" s="27" t="inlineStr">
        <is>
          <t>Bid protection register scenario controls</t>
        </is>
      </c>
      <c r="D112" s="27" t="inlineStr">
        <is>
          <t>Combined bid downside</t>
        </is>
      </c>
      <c r="E112" s="27" t="inlineStr">
        <is>
          <t>Management review</t>
        </is>
      </c>
      <c r="F112" s="27" t="inlineStr">
        <is>
          <t>Approved case</t>
        </is>
      </c>
      <c r="G112" s="27" t="inlineStr">
        <is>
          <t>Capacity limit factor</t>
        </is>
      </c>
      <c r="H112" s="46" t="n">
        <v>0.66</v>
      </c>
      <c r="I112" s="27" t="inlineStr"/>
      <c r="J112" s="27" t="inlineStr">
        <is>
          <t>decimal ratio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DEV-091S069</t>
        </is>
      </c>
      <c r="B113" s="27" t="inlineStr">
        <is>
          <t>Valuation triangulation and bid ceiling</t>
        </is>
      </c>
      <c r="C113" s="27" t="inlineStr">
        <is>
          <t>Bid protection register scenario controls</t>
        </is>
      </c>
      <c r="D113" s="27" t="inlineStr">
        <is>
          <t>Combined bid downside</t>
        </is>
      </c>
      <c r="E113" s="27" t="inlineStr">
        <is>
          <t>Management review</t>
        </is>
      </c>
      <c r="F113" s="27" t="inlineStr">
        <is>
          <t>Approved case</t>
        </is>
      </c>
      <c r="G113" s="27" t="inlineStr">
        <is>
          <t>Maximum actions</t>
        </is>
      </c>
      <c r="H113" s="46" t="n">
        <v>1</v>
      </c>
      <c r="I113" s="27" t="inlineStr"/>
      <c r="J113" s="27" t="inlineStr">
        <is>
          <t>count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DEV-091S070</t>
        </is>
      </c>
      <c r="B114" s="27" t="inlineStr">
        <is>
          <t>Valuation triangulation and bid ceiling</t>
        </is>
      </c>
      <c r="C114" s="27" t="inlineStr">
        <is>
          <t>Bid protection register scenario controls</t>
        </is>
      </c>
      <c r="D114" s="27" t="inlineStr">
        <is>
          <t>Combined bid downside</t>
        </is>
      </c>
      <c r="E114" s="27" t="inlineStr">
        <is>
          <t>Management review</t>
        </is>
      </c>
      <c r="F114" s="27" t="inlineStr">
        <is>
          <t>Approved case</t>
        </is>
      </c>
      <c r="G114" s="27" t="inlineStr">
        <is>
          <t>Conditional actions allowed</t>
        </is>
      </c>
      <c r="H114" s="46" t="inlineStr"/>
      <c r="I114" s="27" t="inlineStr">
        <is>
          <t>No</t>
        </is>
      </c>
      <c r="J114" s="27" t="inlineStr">
        <is>
          <t>classification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</sheetData>
  <autoFilter ref="A4:M114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Transaction Models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DEV-00202</t>
        </is>
      </c>
      <c r="B5" s="27" t="inlineStr">
        <is>
          <t>Create the Horizon acquisition accretion model</t>
        </is>
      </c>
      <c r="C5" s="27" t="inlineStr">
        <is>
          <t>Accretion inputs</t>
        </is>
      </c>
      <c r="D5" s="27" t="inlineStr">
        <is>
          <t>Horizon transaction</t>
        </is>
      </c>
      <c r="E5" s="27" t="inlineStr">
        <is>
          <t>Closing</t>
        </is>
      </c>
      <c r="F5" s="27" t="inlineStr">
        <is>
          <t>Approved case</t>
        </is>
      </c>
      <c r="G5" s="27" t="inlineStr">
        <is>
          <t>Buyer net income</t>
        </is>
      </c>
      <c r="H5" s="46" t="n">
        <v>8900000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DEV-00203</t>
        </is>
      </c>
      <c r="B6" s="27" t="inlineStr">
        <is>
          <t>Create the Horizon acquisition accretion model</t>
        </is>
      </c>
      <c r="C6" s="27" t="inlineStr">
        <is>
          <t>Accretion inputs</t>
        </is>
      </c>
      <c r="D6" s="27" t="inlineStr">
        <is>
          <t>Horizon transaction</t>
        </is>
      </c>
      <c r="E6" s="27" t="inlineStr">
        <is>
          <t>Closing</t>
        </is>
      </c>
      <c r="F6" s="27" t="inlineStr">
        <is>
          <t>Approved case</t>
        </is>
      </c>
      <c r="G6" s="27" t="inlineStr">
        <is>
          <t>Buyer diluted shares</t>
        </is>
      </c>
      <c r="H6" s="46" t="n">
        <v>12500000</v>
      </c>
      <c r="I6" s="27" t="inlineStr"/>
      <c r="J6" s="27" t="inlineStr">
        <is>
          <t>count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DEV-00204</t>
        </is>
      </c>
      <c r="B7" s="27" t="inlineStr">
        <is>
          <t>Create the Horizon acquisition accretion model</t>
        </is>
      </c>
      <c r="C7" s="27" t="inlineStr">
        <is>
          <t>Accretion inputs</t>
        </is>
      </c>
      <c r="D7" s="27" t="inlineStr">
        <is>
          <t>Horizon transaction</t>
        </is>
      </c>
      <c r="E7" s="27" t="inlineStr">
        <is>
          <t>Closing</t>
        </is>
      </c>
      <c r="F7" s="27" t="inlineStr">
        <is>
          <t>Approved case</t>
        </is>
      </c>
      <c r="G7" s="27" t="inlineStr">
        <is>
          <t>Target EBITDA</t>
        </is>
      </c>
      <c r="H7" s="46" t="n">
        <v>4600000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DEV-00205</t>
        </is>
      </c>
      <c r="B8" s="27" t="inlineStr">
        <is>
          <t>Create the Horizon acquisition accretion model</t>
        </is>
      </c>
      <c r="C8" s="27" t="inlineStr">
        <is>
          <t>Accretion inputs</t>
        </is>
      </c>
      <c r="D8" s="27" t="inlineStr">
        <is>
          <t>Horizon transaction</t>
        </is>
      </c>
      <c r="E8" s="27" t="inlineStr">
        <is>
          <t>Closing</t>
        </is>
      </c>
      <c r="F8" s="27" t="inlineStr">
        <is>
          <t>Approved case</t>
        </is>
      </c>
      <c r="G8" s="27" t="inlineStr">
        <is>
          <t>Target D&amp;A</t>
        </is>
      </c>
      <c r="H8" s="46" t="n">
        <v>720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DEV-00206</t>
        </is>
      </c>
      <c r="B9" s="27" t="inlineStr">
        <is>
          <t>Create the Horizon acquisition accretion model</t>
        </is>
      </c>
      <c r="C9" s="27" t="inlineStr">
        <is>
          <t>Accretion inputs</t>
        </is>
      </c>
      <c r="D9" s="27" t="inlineStr">
        <is>
          <t>Horizon transaction</t>
        </is>
      </c>
      <c r="E9" s="27" t="inlineStr">
        <is>
          <t>Closing</t>
        </is>
      </c>
      <c r="F9" s="27" t="inlineStr">
        <is>
          <t>Approved case</t>
        </is>
      </c>
      <c r="G9" s="27" t="inlineStr">
        <is>
          <t>Purchase enterprise value</t>
        </is>
      </c>
      <c r="H9" s="46" t="n">
        <v>54000000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DEV-00207</t>
        </is>
      </c>
      <c r="B10" s="27" t="inlineStr">
        <is>
          <t>Create the Horizon acquisition accretion model</t>
        </is>
      </c>
      <c r="C10" s="27" t="inlineStr">
        <is>
          <t>Accretion inputs</t>
        </is>
      </c>
      <c r="D10" s="27" t="inlineStr">
        <is>
          <t>Horizon transaction</t>
        </is>
      </c>
      <c r="E10" s="27" t="inlineStr">
        <is>
          <t>Closing</t>
        </is>
      </c>
      <c r="F10" s="27" t="inlineStr">
        <is>
          <t>Approved case</t>
        </is>
      </c>
      <c r="G10" s="27" t="inlineStr">
        <is>
          <t>Target net debt assumed</t>
        </is>
      </c>
      <c r="H10" s="46" t="n">
        <v>6500000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DEV-00208</t>
        </is>
      </c>
      <c r="B11" s="27" t="inlineStr">
        <is>
          <t>Create the Horizon acquisition accretion model</t>
        </is>
      </c>
      <c r="C11" s="27" t="inlineStr">
        <is>
          <t>Accretion inputs</t>
        </is>
      </c>
      <c r="D11" s="27" t="inlineStr">
        <is>
          <t>Horizon transaction</t>
        </is>
      </c>
      <c r="E11" s="27" t="inlineStr">
        <is>
          <t>Closing</t>
        </is>
      </c>
      <c r="F11" s="27" t="inlineStr">
        <is>
          <t>Approved case</t>
        </is>
      </c>
      <c r="G11" s="27" t="inlineStr">
        <is>
          <t>Cash consideration</t>
        </is>
      </c>
      <c r="H11" s="46" t="n">
        <v>12000000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DEV-00209</t>
        </is>
      </c>
      <c r="B12" s="27" t="inlineStr">
        <is>
          <t>Create the Horizon acquisition accretion model</t>
        </is>
      </c>
      <c r="C12" s="27" t="inlineStr">
        <is>
          <t>Accretion inputs</t>
        </is>
      </c>
      <c r="D12" s="27" t="inlineStr">
        <is>
          <t>Horizon transaction</t>
        </is>
      </c>
      <c r="E12" s="27" t="inlineStr">
        <is>
          <t>Closing</t>
        </is>
      </c>
      <c r="F12" s="27" t="inlineStr">
        <is>
          <t>Approved case</t>
        </is>
      </c>
      <c r="G12" s="27" t="inlineStr">
        <is>
          <t>Foregone cash yield</t>
        </is>
      </c>
      <c r="H12" s="46" t="n">
        <v>0.042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DEV-00210</t>
        </is>
      </c>
      <c r="B13" s="27" t="inlineStr">
        <is>
          <t>Create the Horizon acquisition accretion model</t>
        </is>
      </c>
      <c r="C13" s="27" t="inlineStr">
        <is>
          <t>Accretion inputs</t>
        </is>
      </c>
      <c r="D13" s="27" t="inlineStr">
        <is>
          <t>Horizon transaction</t>
        </is>
      </c>
      <c r="E13" s="27" t="inlineStr">
        <is>
          <t>Closing</t>
        </is>
      </c>
      <c r="F13" s="27" t="inlineStr">
        <is>
          <t>Approved case</t>
        </is>
      </c>
      <c r="G13" s="27" t="inlineStr">
        <is>
          <t>New debt</t>
        </is>
      </c>
      <c r="H13" s="46" t="n">
        <v>38000000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DEV-00211</t>
        </is>
      </c>
      <c r="B14" s="27" t="inlineStr">
        <is>
          <t>Create the Horizon acquisition accretion model</t>
        </is>
      </c>
      <c r="C14" s="27" t="inlineStr">
        <is>
          <t>Accretion inputs</t>
        </is>
      </c>
      <c r="D14" s="27" t="inlineStr">
        <is>
          <t>Horizon transaction</t>
        </is>
      </c>
      <c r="E14" s="27" t="inlineStr">
        <is>
          <t>Closing</t>
        </is>
      </c>
      <c r="F14" s="27" t="inlineStr">
        <is>
          <t>Approved case</t>
        </is>
      </c>
      <c r="G14" s="27" t="inlineStr">
        <is>
          <t>Seller equity issued</t>
        </is>
      </c>
      <c r="H14" s="46" t="n">
        <v>10500000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DEV-00212</t>
        </is>
      </c>
      <c r="B15" s="27" t="inlineStr">
        <is>
          <t>Create the Horizon acquisition accretion model</t>
        </is>
      </c>
      <c r="C15" s="27" t="inlineStr">
        <is>
          <t>Accretion inputs</t>
        </is>
      </c>
      <c r="D15" s="27" t="inlineStr">
        <is>
          <t>Horizon transaction</t>
        </is>
      </c>
      <c r="E15" s="27" t="inlineStr">
        <is>
          <t>Closing</t>
        </is>
      </c>
      <c r="F15" s="27" t="inlineStr">
        <is>
          <t>Approved case</t>
        </is>
      </c>
      <c r="G15" s="27" t="inlineStr">
        <is>
          <t>Issue price</t>
        </is>
      </c>
      <c r="H15" s="46" t="n">
        <v>17.5</v>
      </c>
      <c r="I15" s="27" t="inlineStr"/>
      <c r="J15" s="27" t="inlineStr">
        <is>
          <t>USD per share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DEV-00213</t>
        </is>
      </c>
      <c r="B16" s="27" t="inlineStr">
        <is>
          <t>Create the Horizon acquisition accretion model</t>
        </is>
      </c>
      <c r="C16" s="27" t="inlineStr">
        <is>
          <t>Accretion inputs</t>
        </is>
      </c>
      <c r="D16" s="27" t="inlineStr">
        <is>
          <t>Horizon transaction</t>
        </is>
      </c>
      <c r="E16" s="27" t="inlineStr">
        <is>
          <t>Closing</t>
        </is>
      </c>
      <c r="F16" s="27" t="inlineStr">
        <is>
          <t>Approved case</t>
        </is>
      </c>
      <c r="G16" s="27" t="inlineStr">
        <is>
          <t>New debt rate</t>
        </is>
      </c>
      <c r="H16" s="46" t="n">
        <v>0.07099999999999999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DEV-00214</t>
        </is>
      </c>
      <c r="B17" s="27" t="inlineStr">
        <is>
          <t>Create the Horizon acquisition accretion model</t>
        </is>
      </c>
      <c r="C17" s="27" t="inlineStr">
        <is>
          <t>Accretion inputs</t>
        </is>
      </c>
      <c r="D17" s="27" t="inlineStr">
        <is>
          <t>Horizon transaction</t>
        </is>
      </c>
      <c r="E17" s="27" t="inlineStr">
        <is>
          <t>Closing</t>
        </is>
      </c>
      <c r="F17" s="27" t="inlineStr">
        <is>
          <t>Approved case</t>
        </is>
      </c>
      <c r="G17" s="27" t="inlineStr">
        <is>
          <t>Tax rate</t>
        </is>
      </c>
      <c r="H17" s="46" t="n">
        <v>0.25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DEV-00215</t>
        </is>
      </c>
      <c r="B18" s="27" t="inlineStr">
        <is>
          <t>Create the Horizon acquisition accretion model</t>
        </is>
      </c>
      <c r="C18" s="27" t="inlineStr">
        <is>
          <t>Accretion inputs</t>
        </is>
      </c>
      <c r="D18" s="27" t="inlineStr">
        <is>
          <t>Horizon transaction</t>
        </is>
      </c>
      <c r="E18" s="27" t="inlineStr">
        <is>
          <t>Closing</t>
        </is>
      </c>
      <c r="F18" s="27" t="inlineStr">
        <is>
          <t>Approved case</t>
        </is>
      </c>
      <c r="G18" s="27" t="inlineStr">
        <is>
          <t>Year 1 run-rate synergy</t>
        </is>
      </c>
      <c r="H18" s="46" t="n">
        <v>1400000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DEV-00216</t>
        </is>
      </c>
      <c r="B19" s="27" t="inlineStr">
        <is>
          <t>Create the Horizon acquisition accretion model</t>
        </is>
      </c>
      <c r="C19" s="27" t="inlineStr">
        <is>
          <t>Accretion inputs</t>
        </is>
      </c>
      <c r="D19" s="27" t="inlineStr">
        <is>
          <t>Horizon transaction</t>
        </is>
      </c>
      <c r="E19" s="27" t="inlineStr">
        <is>
          <t>Closing</t>
        </is>
      </c>
      <c r="F19" s="27" t="inlineStr">
        <is>
          <t>Approved case</t>
        </is>
      </c>
      <c r="G19" s="27" t="inlineStr">
        <is>
          <t>Year 2 run-rate synergy</t>
        </is>
      </c>
      <c r="H19" s="46" t="n">
        <v>2500000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DEV-00217</t>
        </is>
      </c>
      <c r="B20" s="27" t="inlineStr">
        <is>
          <t>Create the Horizon acquisition accretion model</t>
        </is>
      </c>
      <c r="C20" s="27" t="inlineStr">
        <is>
          <t>Accretion inputs</t>
        </is>
      </c>
      <c r="D20" s="27" t="inlineStr">
        <is>
          <t>Horizon transaction</t>
        </is>
      </c>
      <c r="E20" s="27" t="inlineStr">
        <is>
          <t>Closing</t>
        </is>
      </c>
      <c r="F20" s="27" t="inlineStr">
        <is>
          <t>Approved case</t>
        </is>
      </c>
      <c r="G20" s="27" t="inlineStr">
        <is>
          <t>Incremental amortization</t>
        </is>
      </c>
      <c r="H20" s="46" t="n">
        <v>1050</v>
      </c>
      <c r="I20" s="27" t="inlineStr"/>
      <c r="J20" s="27" t="inlineStr">
        <is>
          <t>USD thousands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DEV-00218</t>
        </is>
      </c>
      <c r="B21" s="27" t="inlineStr">
        <is>
          <t>Create the Horizon acquisition accretion model</t>
        </is>
      </c>
      <c r="C21" s="27" t="inlineStr">
        <is>
          <t>Accretion inputs</t>
        </is>
      </c>
      <c r="D21" s="27" t="inlineStr">
        <is>
          <t>Horizon transaction</t>
        </is>
      </c>
      <c r="E21" s="27" t="inlineStr">
        <is>
          <t>Closing</t>
        </is>
      </c>
      <c r="F21" s="27" t="inlineStr">
        <is>
          <t>Approved case</t>
        </is>
      </c>
      <c r="G21" s="27" t="inlineStr">
        <is>
          <t>One-time integration expense Year 1</t>
        </is>
      </c>
      <c r="H21" s="46" t="n">
        <v>1800000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DEV-00219</t>
        </is>
      </c>
      <c r="B22" s="27" t="inlineStr">
        <is>
          <t>Create the Horizon acquisition accretion model</t>
        </is>
      </c>
      <c r="C22" s="27" t="inlineStr">
        <is>
          <t>Accretion inputs</t>
        </is>
      </c>
      <c r="D22" s="27" t="inlineStr">
        <is>
          <t>Horizon transaction</t>
        </is>
      </c>
      <c r="E22" s="27" t="inlineStr">
        <is>
          <t>Closing</t>
        </is>
      </c>
      <c r="F22" s="27" t="inlineStr">
        <is>
          <t>Approved case</t>
        </is>
      </c>
      <c r="G22" s="27" t="inlineStr">
        <is>
          <t>One-time integration expense Year 2</t>
        </is>
      </c>
      <c r="H22" s="46" t="n">
        <v>350000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DEV-00230</t>
        </is>
      </c>
      <c r="B23" s="27" t="inlineStr">
        <is>
          <t>Summit acquisition synergy breakeven</t>
        </is>
      </c>
      <c r="C23" s="27" t="inlineStr">
        <is>
          <t>Year 2 synergy register</t>
        </is>
      </c>
      <c r="D23" s="27" t="inlineStr">
        <is>
          <t>Branch consolidation</t>
        </is>
      </c>
      <c r="E23" s="27" t="inlineStr">
        <is>
          <t>Year 2</t>
        </is>
      </c>
      <c r="F23" s="27" t="inlineStr">
        <is>
          <t>Approved case</t>
        </is>
      </c>
      <c r="G23" s="27" t="inlineStr">
        <is>
          <t>Gross run-rate synergy</t>
        </is>
      </c>
      <c r="H23" s="46" t="n">
        <v>780000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DEV-00231</t>
        </is>
      </c>
      <c r="B24" s="27" t="inlineStr">
        <is>
          <t>Summit acquisition synergy breakeven</t>
        </is>
      </c>
      <c r="C24" s="27" t="inlineStr">
        <is>
          <t>Year 2 synergy register</t>
        </is>
      </c>
      <c r="D24" s="27" t="inlineStr">
        <is>
          <t>Branch consolidation</t>
        </is>
      </c>
      <c r="E24" s="27" t="inlineStr">
        <is>
          <t>Year 2</t>
        </is>
      </c>
      <c r="F24" s="27" t="inlineStr">
        <is>
          <t>Approved case</t>
        </is>
      </c>
      <c r="G24" s="27" t="inlineStr">
        <is>
          <t>Realization probability</t>
        </is>
      </c>
      <c r="H24" s="46" t="n">
        <v>0.9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DEV-00232</t>
        </is>
      </c>
      <c r="B25" s="27" t="inlineStr">
        <is>
          <t>Summit acquisition synergy breakeven</t>
        </is>
      </c>
      <c r="C25" s="27" t="inlineStr">
        <is>
          <t>Year 2 synergy register</t>
        </is>
      </c>
      <c r="D25" s="27" t="inlineStr">
        <is>
          <t>Branch consolidation</t>
        </is>
      </c>
      <c r="E25" s="27" t="inlineStr">
        <is>
          <t>Year 2</t>
        </is>
      </c>
      <c r="F25" s="27" t="inlineStr">
        <is>
          <t>Approved case</t>
        </is>
      </c>
      <c r="G25" s="27" t="inlineStr">
        <is>
          <t>Diligence status</t>
        </is>
      </c>
      <c r="H25" s="46" t="inlineStr"/>
      <c r="I25" s="27" t="inlineStr">
        <is>
          <t>Approved</t>
        </is>
      </c>
      <c r="J25" s="27" t="inlineStr">
        <is>
          <t>classification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DEV-00233</t>
        </is>
      </c>
      <c r="B26" s="27" t="inlineStr">
        <is>
          <t>Summit acquisition synergy breakeven</t>
        </is>
      </c>
      <c r="C26" s="27" t="inlineStr">
        <is>
          <t>Year 2 synergy register</t>
        </is>
      </c>
      <c r="D26" s="27" t="inlineStr">
        <is>
          <t>Dispatch optimization</t>
        </is>
      </c>
      <c r="E26" s="27" t="inlineStr">
        <is>
          <t>Year 2</t>
        </is>
      </c>
      <c r="F26" s="27" t="inlineStr">
        <is>
          <t>Approved case</t>
        </is>
      </c>
      <c r="G26" s="27" t="inlineStr">
        <is>
          <t>Gross run-rate synergy</t>
        </is>
      </c>
      <c r="H26" s="46" t="n">
        <v>640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DEV-00234</t>
        </is>
      </c>
      <c r="B27" s="27" t="inlineStr">
        <is>
          <t>Summit acquisition synergy breakeven</t>
        </is>
      </c>
      <c r="C27" s="27" t="inlineStr">
        <is>
          <t>Year 2 synergy register</t>
        </is>
      </c>
      <c r="D27" s="27" t="inlineStr">
        <is>
          <t>Dispatch optimization</t>
        </is>
      </c>
      <c r="E27" s="27" t="inlineStr">
        <is>
          <t>Year 2</t>
        </is>
      </c>
      <c r="F27" s="27" t="inlineStr">
        <is>
          <t>Approved case</t>
        </is>
      </c>
      <c r="G27" s="27" t="inlineStr">
        <is>
          <t>Realization probability</t>
        </is>
      </c>
      <c r="H27" s="46" t="n">
        <v>0.8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DEV-00235</t>
        </is>
      </c>
      <c r="B28" s="27" t="inlineStr">
        <is>
          <t>Summit acquisition synergy breakeven</t>
        </is>
      </c>
      <c r="C28" s="27" t="inlineStr">
        <is>
          <t>Year 2 synergy register</t>
        </is>
      </c>
      <c r="D28" s="27" t="inlineStr">
        <is>
          <t>Dispatch optimization</t>
        </is>
      </c>
      <c r="E28" s="27" t="inlineStr">
        <is>
          <t>Year 2</t>
        </is>
      </c>
      <c r="F28" s="27" t="inlineStr">
        <is>
          <t>Approved case</t>
        </is>
      </c>
      <c r="G28" s="27" t="inlineStr">
        <is>
          <t>Diligence status</t>
        </is>
      </c>
      <c r="H28" s="46" t="inlineStr"/>
      <c r="I28" s="27" t="inlineStr">
        <is>
          <t>Approved</t>
        </is>
      </c>
      <c r="J28" s="27" t="inlineStr">
        <is>
          <t>classification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DEV-00236</t>
        </is>
      </c>
      <c r="B29" s="27" t="inlineStr">
        <is>
          <t>Summit acquisition synergy breakeven</t>
        </is>
      </c>
      <c r="C29" s="27" t="inlineStr">
        <is>
          <t>Year 2 synergy register</t>
        </is>
      </c>
      <c r="D29" s="27" t="inlineStr">
        <is>
          <t>Vendor terms</t>
        </is>
      </c>
      <c r="E29" s="27" t="inlineStr">
        <is>
          <t>Year 2</t>
        </is>
      </c>
      <c r="F29" s="27" t="inlineStr">
        <is>
          <t>Approved case</t>
        </is>
      </c>
      <c r="G29" s="27" t="inlineStr">
        <is>
          <t>Gross run-rate synergy</t>
        </is>
      </c>
      <c r="H29" s="46" t="n">
        <v>520000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DEV-00237</t>
        </is>
      </c>
      <c r="B30" s="27" t="inlineStr">
        <is>
          <t>Summit acquisition synergy breakeven</t>
        </is>
      </c>
      <c r="C30" s="27" t="inlineStr">
        <is>
          <t>Year 2 synergy register</t>
        </is>
      </c>
      <c r="D30" s="27" t="inlineStr">
        <is>
          <t>Vendor terms</t>
        </is>
      </c>
      <c r="E30" s="27" t="inlineStr">
        <is>
          <t>Year 2</t>
        </is>
      </c>
      <c r="F30" s="27" t="inlineStr">
        <is>
          <t>Approved case</t>
        </is>
      </c>
      <c r="G30" s="27" t="inlineStr">
        <is>
          <t>Realization probability</t>
        </is>
      </c>
      <c r="H30" s="46" t="n">
        <v>0.75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DEV-00238</t>
        </is>
      </c>
      <c r="B31" s="27" t="inlineStr">
        <is>
          <t>Summit acquisition synergy breakeven</t>
        </is>
      </c>
      <c r="C31" s="27" t="inlineStr">
        <is>
          <t>Year 2 synergy register</t>
        </is>
      </c>
      <c r="D31" s="27" t="inlineStr">
        <is>
          <t>Vendor terms</t>
        </is>
      </c>
      <c r="E31" s="27" t="inlineStr">
        <is>
          <t>Year 2</t>
        </is>
      </c>
      <c r="F31" s="27" t="inlineStr">
        <is>
          <t>Approved case</t>
        </is>
      </c>
      <c r="G31" s="27" t="inlineStr">
        <is>
          <t>Diligence status</t>
        </is>
      </c>
      <c r="H31" s="46" t="inlineStr"/>
      <c r="I31" s="27" t="inlineStr">
        <is>
          <t>Approved</t>
        </is>
      </c>
      <c r="J31" s="27" t="inlineStr">
        <is>
          <t>classification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DEV-00239</t>
        </is>
      </c>
      <c r="B32" s="27" t="inlineStr">
        <is>
          <t>Summit acquisition synergy breakeven</t>
        </is>
      </c>
      <c r="C32" s="27" t="inlineStr">
        <is>
          <t>Year 2 synergy register</t>
        </is>
      </c>
      <c r="D32" s="27" t="inlineStr">
        <is>
          <t>Cross-sell</t>
        </is>
      </c>
      <c r="E32" s="27" t="inlineStr">
        <is>
          <t>Year 2</t>
        </is>
      </c>
      <c r="F32" s="27" t="inlineStr">
        <is>
          <t>Approved case</t>
        </is>
      </c>
      <c r="G32" s="27" t="inlineStr">
        <is>
          <t>Gross run-rate synergy</t>
        </is>
      </c>
      <c r="H32" s="46" t="n">
        <v>1050000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DEV-00240</t>
        </is>
      </c>
      <c r="B33" s="27" t="inlineStr">
        <is>
          <t>Summit acquisition synergy breakeven</t>
        </is>
      </c>
      <c r="C33" s="27" t="inlineStr">
        <is>
          <t>Year 2 synergy register</t>
        </is>
      </c>
      <c r="D33" s="27" t="inlineStr">
        <is>
          <t>Cross-sell</t>
        </is>
      </c>
      <c r="E33" s="27" t="inlineStr">
        <is>
          <t>Year 2</t>
        </is>
      </c>
      <c r="F33" s="27" t="inlineStr">
        <is>
          <t>Approved case</t>
        </is>
      </c>
      <c r="G33" s="27" t="inlineStr">
        <is>
          <t>Realization probability</t>
        </is>
      </c>
      <c r="H33" s="46" t="n">
        <v>0.55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DEV-00241</t>
        </is>
      </c>
      <c r="B34" s="27" t="inlineStr">
        <is>
          <t>Summit acquisition synergy breakeven</t>
        </is>
      </c>
      <c r="C34" s="27" t="inlineStr">
        <is>
          <t>Year 2 synergy register</t>
        </is>
      </c>
      <c r="D34" s="27" t="inlineStr">
        <is>
          <t>Cross-sell</t>
        </is>
      </c>
      <c r="E34" s="27" t="inlineStr">
        <is>
          <t>Year 2</t>
        </is>
      </c>
      <c r="F34" s="27" t="inlineStr">
        <is>
          <t>Approved case</t>
        </is>
      </c>
      <c r="G34" s="27" t="inlineStr">
        <is>
          <t>Diligence status</t>
        </is>
      </c>
      <c r="H34" s="46" t="inlineStr"/>
      <c r="I34" s="27" t="inlineStr">
        <is>
          <t>Revenue synergy - excluded</t>
        </is>
      </c>
      <c r="J34" s="27" t="inlineStr">
        <is>
          <t>classification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DEV-00242</t>
        </is>
      </c>
      <c r="B35" s="27" t="inlineStr">
        <is>
          <t>Summit acquisition synergy breakeven</t>
        </is>
      </c>
      <c r="C35" s="27" t="inlineStr">
        <is>
          <t>Year 2 synergy register</t>
        </is>
      </c>
      <c r="D35" s="27" t="inlineStr">
        <is>
          <t>Future pricing concept</t>
        </is>
      </c>
      <c r="E35" s="27" t="inlineStr">
        <is>
          <t>Year 2</t>
        </is>
      </c>
      <c r="F35" s="27" t="inlineStr">
        <is>
          <t>Approved case</t>
        </is>
      </c>
      <c r="G35" s="27" t="inlineStr">
        <is>
          <t>Gross run-rate synergy</t>
        </is>
      </c>
      <c r="H35" s="46" t="n">
        <v>900000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DEV-00243</t>
        </is>
      </c>
      <c r="B36" s="27" t="inlineStr">
        <is>
          <t>Summit acquisition synergy breakeven</t>
        </is>
      </c>
      <c r="C36" s="27" t="inlineStr">
        <is>
          <t>Year 2 synergy register</t>
        </is>
      </c>
      <c r="D36" s="27" t="inlineStr">
        <is>
          <t>Future pricing concept</t>
        </is>
      </c>
      <c r="E36" s="27" t="inlineStr">
        <is>
          <t>Year 2</t>
        </is>
      </c>
      <c r="F36" s="27" t="inlineStr">
        <is>
          <t>Approved case</t>
        </is>
      </c>
      <c r="G36" s="27" t="inlineStr">
        <is>
          <t>Realization probability</t>
        </is>
      </c>
      <c r="H36" s="46" t="n">
        <v>0.35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DEV-00244</t>
        </is>
      </c>
      <c r="B37" s="27" t="inlineStr">
        <is>
          <t>Summit acquisition synergy breakeven</t>
        </is>
      </c>
      <c r="C37" s="27" t="inlineStr">
        <is>
          <t>Year 2 synergy register</t>
        </is>
      </c>
      <c r="D37" s="27" t="inlineStr">
        <is>
          <t>Future pricing concept</t>
        </is>
      </c>
      <c r="E37" s="27" t="inlineStr">
        <is>
          <t>Year 2</t>
        </is>
      </c>
      <c r="F37" s="27" t="inlineStr">
        <is>
          <t>Approved case</t>
        </is>
      </c>
      <c r="G37" s="27" t="inlineStr">
        <is>
          <t>Diligence status</t>
        </is>
      </c>
      <c r="H37" s="46" t="inlineStr"/>
      <c r="I37" s="27" t="inlineStr">
        <is>
          <t>Unapproved</t>
        </is>
      </c>
      <c r="J37" s="27" t="inlineStr">
        <is>
          <t>classification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DEV-00245</t>
        </is>
      </c>
      <c r="B38" s="27" t="inlineStr">
        <is>
          <t>Summit acquisition synergy breakeven</t>
        </is>
      </c>
      <c r="C38" s="27" t="inlineStr">
        <is>
          <t>Transaction hurdle inputs</t>
        </is>
      </c>
      <c r="D38" s="27" t="inlineStr">
        <is>
          <t>Summit</t>
        </is>
      </c>
      <c r="E38" s="27" t="inlineStr">
        <is>
          <t>Closing</t>
        </is>
      </c>
      <c r="F38" s="27" t="inlineStr">
        <is>
          <t>Approved case</t>
        </is>
      </c>
      <c r="G38" s="27" t="inlineStr">
        <is>
          <t>Buyer standalone net income</t>
        </is>
      </c>
      <c r="H38" s="46" t="n">
        <v>8900</v>
      </c>
      <c r="I38" s="27" t="inlineStr"/>
      <c r="J38" s="27" t="inlineStr">
        <is>
          <t>USD thousands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DEV-00246</t>
        </is>
      </c>
      <c r="B39" s="27" t="inlineStr">
        <is>
          <t>Summit acquisition synergy breakeven</t>
        </is>
      </c>
      <c r="C39" s="27" t="inlineStr">
        <is>
          <t>Transaction hurdle inputs</t>
        </is>
      </c>
      <c r="D39" s="27" t="inlineStr">
        <is>
          <t>Summit</t>
        </is>
      </c>
      <c r="E39" s="27" t="inlineStr">
        <is>
          <t>Closing</t>
        </is>
      </c>
      <c r="F39" s="27" t="inlineStr">
        <is>
          <t>Approved case</t>
        </is>
      </c>
      <c r="G39" s="27" t="inlineStr">
        <is>
          <t>Buyer diluted shares</t>
        </is>
      </c>
      <c r="H39" s="46" t="n">
        <v>12500000</v>
      </c>
      <c r="I39" s="27" t="inlineStr"/>
      <c r="J39" s="27" t="inlineStr">
        <is>
          <t>count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DEV-00247</t>
        </is>
      </c>
      <c r="B40" s="27" t="inlineStr">
        <is>
          <t>Summit acquisition synergy breakeven</t>
        </is>
      </c>
      <c r="C40" s="27" t="inlineStr">
        <is>
          <t>Transaction hurdle inputs</t>
        </is>
      </c>
      <c r="D40" s="27" t="inlineStr">
        <is>
          <t>Summit</t>
        </is>
      </c>
      <c r="E40" s="27" t="inlineStr">
        <is>
          <t>Closing</t>
        </is>
      </c>
      <c r="F40" s="27" t="inlineStr">
        <is>
          <t>Approved case</t>
        </is>
      </c>
      <c r="G40" s="27" t="inlineStr">
        <is>
          <t>New shares</t>
        </is>
      </c>
      <c r="H40" s="46" t="n">
        <v>600000</v>
      </c>
      <c r="I40" s="27" t="inlineStr"/>
      <c r="J40" s="27" t="inlineStr">
        <is>
          <t>count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DEV-00248</t>
        </is>
      </c>
      <c r="B41" s="27" t="inlineStr">
        <is>
          <t>Summit acquisition synergy breakeven</t>
        </is>
      </c>
      <c r="C41" s="27" t="inlineStr">
        <is>
          <t>Transaction hurdle inputs</t>
        </is>
      </c>
      <c r="D41" s="27" t="inlineStr">
        <is>
          <t>Summit</t>
        </is>
      </c>
      <c r="E41" s="27" t="inlineStr">
        <is>
          <t>Closing</t>
        </is>
      </c>
      <c r="F41" s="27" t="inlineStr">
        <is>
          <t>Approved case</t>
        </is>
      </c>
      <c r="G41" s="27" t="inlineStr">
        <is>
          <t>Target after-tax earnings before synergy</t>
        </is>
      </c>
      <c r="H41" s="46" t="n">
        <v>2050000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DEV-00249</t>
        </is>
      </c>
      <c r="B42" s="27" t="inlineStr">
        <is>
          <t>Summit acquisition synergy breakeven</t>
        </is>
      </c>
      <c r="C42" s="27" t="inlineStr">
        <is>
          <t>Transaction hurdle inputs</t>
        </is>
      </c>
      <c r="D42" s="27" t="inlineStr">
        <is>
          <t>Summit</t>
        </is>
      </c>
      <c r="E42" s="27" t="inlineStr">
        <is>
          <t>Closing</t>
        </is>
      </c>
      <c r="F42" s="27" t="inlineStr">
        <is>
          <t>Approved case</t>
        </is>
      </c>
      <c r="G42" s="27" t="inlineStr">
        <is>
          <t>Incremental after-tax financing cost</t>
        </is>
      </c>
      <c r="H42" s="46" t="n">
        <v>2360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DEV-00250</t>
        </is>
      </c>
      <c r="B43" s="27" t="inlineStr">
        <is>
          <t>Summit acquisition synergy breakeven</t>
        </is>
      </c>
      <c r="C43" s="27" t="inlineStr">
        <is>
          <t>Transaction hurdle inputs</t>
        </is>
      </c>
      <c r="D43" s="27" t="inlineStr">
        <is>
          <t>Summit</t>
        </is>
      </c>
      <c r="E43" s="27" t="inlineStr">
        <is>
          <t>Closing</t>
        </is>
      </c>
      <c r="F43" s="27" t="inlineStr">
        <is>
          <t>Approved case</t>
        </is>
      </c>
      <c r="G43" s="27" t="inlineStr">
        <is>
          <t>Tax rate</t>
        </is>
      </c>
      <c r="H43" s="46" t="n">
        <v>0.25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DEV-00251</t>
        </is>
      </c>
      <c r="B44" s="27" t="inlineStr">
        <is>
          <t>Summit acquisition synergy breakeven</t>
        </is>
      </c>
      <c r="C44" s="27" t="inlineStr">
        <is>
          <t>Transaction hurdle inputs</t>
        </is>
      </c>
      <c r="D44" s="27" t="inlineStr">
        <is>
          <t>Summit</t>
        </is>
      </c>
      <c r="E44" s="27" t="inlineStr">
        <is>
          <t>Closing</t>
        </is>
      </c>
      <c r="F44" s="27" t="inlineStr">
        <is>
          <t>Approved case</t>
        </is>
      </c>
      <c r="G44" s="27" t="inlineStr">
        <is>
          <t>Purchase equity investment</t>
        </is>
      </c>
      <c r="H44" s="46" t="n">
        <v>38000000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DEV-00252</t>
        </is>
      </c>
      <c r="B45" s="27" t="inlineStr">
        <is>
          <t>Summit acquisition synergy breakeven</t>
        </is>
      </c>
      <c r="C45" s="27" t="inlineStr">
        <is>
          <t>Transaction hurdle inputs</t>
        </is>
      </c>
      <c r="D45" s="27" t="inlineStr">
        <is>
          <t>Summit</t>
        </is>
      </c>
      <c r="E45" s="27" t="inlineStr">
        <is>
          <t>Closing</t>
        </is>
      </c>
      <c r="F45" s="27" t="inlineStr">
        <is>
          <t>Approved case</t>
        </is>
      </c>
      <c r="G45" s="27" t="inlineStr">
        <is>
          <t>Base annual after-tax target cash flow</t>
        </is>
      </c>
      <c r="H45" s="46" t="n">
        <v>4200000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DEV-00253</t>
        </is>
      </c>
      <c r="B46" s="27" t="inlineStr">
        <is>
          <t>Summit acquisition synergy breakeven</t>
        </is>
      </c>
      <c r="C46" s="27" t="inlineStr">
        <is>
          <t>Transaction hurdle inputs</t>
        </is>
      </c>
      <c r="D46" s="27" t="inlineStr">
        <is>
          <t>Summit</t>
        </is>
      </c>
      <c r="E46" s="27" t="inlineStr">
        <is>
          <t>Closing</t>
        </is>
      </c>
      <c r="F46" s="27" t="inlineStr">
        <is>
          <t>Approved case</t>
        </is>
      </c>
      <c r="G46" s="27" t="inlineStr">
        <is>
          <t>Year 5 terminal proceeds</t>
        </is>
      </c>
      <c r="H46" s="46" t="n">
        <v>34000</v>
      </c>
      <c r="I46" s="27" t="inlineStr"/>
      <c r="J46" s="27" t="inlineStr">
        <is>
          <t>USD thousands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DEV-00254</t>
        </is>
      </c>
      <c r="B47" s="27" t="inlineStr">
        <is>
          <t>Summit acquisition synergy breakeven</t>
        </is>
      </c>
      <c r="C47" s="27" t="inlineStr">
        <is>
          <t>Transaction hurdle inputs</t>
        </is>
      </c>
      <c r="D47" s="27" t="inlineStr">
        <is>
          <t>Summit</t>
        </is>
      </c>
      <c r="E47" s="27" t="inlineStr">
        <is>
          <t>Closing</t>
        </is>
      </c>
      <c r="F47" s="27" t="inlineStr">
        <is>
          <t>Approved case</t>
        </is>
      </c>
      <c r="G47" s="27" t="inlineStr">
        <is>
          <t>IRR hurdle</t>
        </is>
      </c>
      <c r="H47" s="46" t="n">
        <v>0.12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DEV-00265</t>
        </is>
      </c>
      <c r="B48" s="27" t="inlineStr">
        <is>
          <t>Evergreen acquisition sources and uses</t>
        </is>
      </c>
      <c r="C48" s="27" t="inlineStr">
        <is>
          <t>Transaction uses</t>
        </is>
      </c>
      <c r="D48" s="27" t="inlineStr">
        <is>
          <t>Evergreen</t>
        </is>
      </c>
      <c r="E48" s="27" t="inlineStr">
        <is>
          <t>Closing</t>
        </is>
      </c>
      <c r="F48" s="27" t="inlineStr">
        <is>
          <t>Approved case</t>
        </is>
      </c>
      <c r="G48" s="27" t="inlineStr">
        <is>
          <t>Purchase of equity</t>
        </is>
      </c>
      <c r="H48" s="46" t="n">
        <v>52000000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DEV-00266</t>
        </is>
      </c>
      <c r="B49" s="27" t="inlineStr">
        <is>
          <t>Evergreen acquisition sources and uses</t>
        </is>
      </c>
      <c r="C49" s="27" t="inlineStr">
        <is>
          <t>Transaction uses</t>
        </is>
      </c>
      <c r="D49" s="27" t="inlineStr">
        <is>
          <t>Evergreen</t>
        </is>
      </c>
      <c r="E49" s="27" t="inlineStr">
        <is>
          <t>Closing</t>
        </is>
      </c>
      <c r="F49" s="27" t="inlineStr">
        <is>
          <t>Approved case</t>
        </is>
      </c>
      <c r="G49" s="27" t="inlineStr">
        <is>
          <t>Refinance target debt</t>
        </is>
      </c>
      <c r="H49" s="46" t="n">
        <v>6500000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DEV-00267</t>
        </is>
      </c>
      <c r="B50" s="27" t="inlineStr">
        <is>
          <t>Evergreen acquisition sources and uses</t>
        </is>
      </c>
      <c r="C50" s="27" t="inlineStr">
        <is>
          <t>Transaction uses</t>
        </is>
      </c>
      <c r="D50" s="27" t="inlineStr">
        <is>
          <t>Evergreen</t>
        </is>
      </c>
      <c r="E50" s="27" t="inlineStr">
        <is>
          <t>Closing</t>
        </is>
      </c>
      <c r="F50" s="27" t="inlineStr">
        <is>
          <t>Approved case</t>
        </is>
      </c>
      <c r="G50" s="27" t="inlineStr">
        <is>
          <t>Transaction fees</t>
        </is>
      </c>
      <c r="H50" s="46" t="n">
        <v>1650000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DEV-00268</t>
        </is>
      </c>
      <c r="B51" s="27" t="inlineStr">
        <is>
          <t>Evergreen acquisition sources and uses</t>
        </is>
      </c>
      <c r="C51" s="27" t="inlineStr">
        <is>
          <t>Transaction uses</t>
        </is>
      </c>
      <c r="D51" s="27" t="inlineStr">
        <is>
          <t>Evergreen</t>
        </is>
      </c>
      <c r="E51" s="27" t="inlineStr">
        <is>
          <t>Closing</t>
        </is>
      </c>
      <c r="F51" s="27" t="inlineStr">
        <is>
          <t>Approved case</t>
        </is>
      </c>
      <c r="G51" s="27" t="inlineStr">
        <is>
          <t>Financing fees</t>
        </is>
      </c>
      <c r="H51" s="46" t="n">
        <v>850</v>
      </c>
      <c r="I51" s="27" t="inlineStr"/>
      <c r="J51" s="27" t="inlineStr">
        <is>
          <t>USD thousands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DEV-00269</t>
        </is>
      </c>
      <c r="B52" s="27" t="inlineStr">
        <is>
          <t>Evergreen acquisition sources and uses</t>
        </is>
      </c>
      <c r="C52" s="27" t="inlineStr">
        <is>
          <t>Transaction uses</t>
        </is>
      </c>
      <c r="D52" s="27" t="inlineStr">
        <is>
          <t>Evergreen</t>
        </is>
      </c>
      <c r="E52" s="27" t="inlineStr">
        <is>
          <t>Closing</t>
        </is>
      </c>
      <c r="F52" s="27" t="inlineStr">
        <is>
          <t>Approved case</t>
        </is>
      </c>
      <c r="G52" s="27" t="inlineStr">
        <is>
          <t>Minimum target cash delivered</t>
        </is>
      </c>
      <c r="H52" s="46" t="n">
        <v>1400000</v>
      </c>
      <c r="I52" s="27" t="inlineStr"/>
      <c r="J52" s="27" t="inlineStr">
        <is>
          <t>USD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DEV-00270</t>
        </is>
      </c>
      <c r="B53" s="27" t="inlineStr">
        <is>
          <t>Evergreen acquisition sources and uses</t>
        </is>
      </c>
      <c r="C53" s="27" t="inlineStr">
        <is>
          <t>Buyer liquidity</t>
        </is>
      </c>
      <c r="D53" s="27" t="inlineStr">
        <is>
          <t>Alder Ridge</t>
        </is>
      </c>
      <c r="E53" s="27" t="inlineStr">
        <is>
          <t>2026-06-30</t>
        </is>
      </c>
      <c r="F53" s="27" t="inlineStr">
        <is>
          <t>Approved case</t>
        </is>
      </c>
      <c r="G53" s="27" t="inlineStr">
        <is>
          <t>Posted unrestricted cash</t>
        </is>
      </c>
      <c r="H53" s="46" t="n">
        <v>1</v>
      </c>
      <c r="I53" s="27" t="inlineStr"/>
      <c r="J53" s="27" t="inlineStr">
        <is>
          <t>ledger allocation factor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>
        <is>
          <t>Vista ERP cash detail as of 2026-06-30; unrestricted company cash accounts</t>
        </is>
      </c>
    </row>
    <row r="54">
      <c r="A54" s="36" t="inlineStr">
        <is>
          <t>DEV-00271</t>
        </is>
      </c>
      <c r="B54" s="27" t="inlineStr">
        <is>
          <t>Evergreen acquisition sources and uses</t>
        </is>
      </c>
      <c r="C54" s="27" t="inlineStr">
        <is>
          <t>Funding sources</t>
        </is>
      </c>
      <c r="D54" s="27" t="inlineStr">
        <is>
          <t>Alder Ridge</t>
        </is>
      </c>
      <c r="E54" s="27" t="inlineStr">
        <is>
          <t>Closing</t>
        </is>
      </c>
      <c r="F54" s="27" t="inlineStr">
        <is>
          <t>Approved case</t>
        </is>
      </c>
      <c r="G54" s="27" t="inlineStr">
        <is>
          <t>Minimum buyer cash retained</t>
        </is>
      </c>
      <c r="H54" s="46" t="n">
        <v>2250000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DEV-00272</t>
        </is>
      </c>
      <c r="B55" s="27" t="inlineStr">
        <is>
          <t>Evergreen acquisition sources and uses</t>
        </is>
      </c>
      <c r="C55" s="27" t="inlineStr">
        <is>
          <t>Funding sources</t>
        </is>
      </c>
      <c r="D55" s="27" t="inlineStr">
        <is>
          <t>Alder Ridge</t>
        </is>
      </c>
      <c r="E55" s="27" t="inlineStr">
        <is>
          <t>Closing</t>
        </is>
      </c>
      <c r="F55" s="27" t="inlineStr">
        <is>
          <t>Approved case</t>
        </is>
      </c>
      <c r="G55" s="27" t="inlineStr">
        <is>
          <t>Board cash-use cap</t>
        </is>
      </c>
      <c r="H55" s="46" t="n">
        <v>1200</v>
      </c>
      <c r="I55" s="27" t="inlineStr"/>
      <c r="J55" s="27" t="inlineStr">
        <is>
          <t>USD thousands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DEV-00273</t>
        </is>
      </c>
      <c r="B56" s="27" t="inlineStr">
        <is>
          <t>Evergreen acquisition sources and uses</t>
        </is>
      </c>
      <c r="C56" s="27" t="inlineStr">
        <is>
          <t>Funding sources</t>
        </is>
      </c>
      <c r="D56" s="27" t="inlineStr">
        <is>
          <t>Alder Ridge</t>
        </is>
      </c>
      <c r="E56" s="27" t="inlineStr">
        <is>
          <t>Closing</t>
        </is>
      </c>
      <c r="F56" s="27" t="inlineStr">
        <is>
          <t>Approved case</t>
        </is>
      </c>
      <c r="G56" s="27" t="inlineStr">
        <is>
          <t>Revolver availability</t>
        </is>
      </c>
      <c r="H56" s="46" t="n">
        <v>8000000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DEV-00274</t>
        </is>
      </c>
      <c r="B57" s="27" t="inlineStr">
        <is>
          <t>Evergreen acquisition sources and uses</t>
        </is>
      </c>
      <c r="C57" s="27" t="inlineStr">
        <is>
          <t>Funding sources</t>
        </is>
      </c>
      <c r="D57" s="27" t="inlineStr">
        <is>
          <t>Alder Ridge</t>
        </is>
      </c>
      <c r="E57" s="27" t="inlineStr">
        <is>
          <t>Closing</t>
        </is>
      </c>
      <c r="F57" s="27" t="inlineStr">
        <is>
          <t>Approved case</t>
        </is>
      </c>
      <c r="G57" s="27" t="inlineStr">
        <is>
          <t>Term loan commitment</t>
        </is>
      </c>
      <c r="H57" s="46" t="n">
        <v>45000000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DEV-00275</t>
        </is>
      </c>
      <c r="B58" s="27" t="inlineStr">
        <is>
          <t>Evergreen acquisition sources and uses</t>
        </is>
      </c>
      <c r="C58" s="27" t="inlineStr">
        <is>
          <t>Funding sources</t>
        </is>
      </c>
      <c r="D58" s="27" t="inlineStr">
        <is>
          <t>Alder Ridge</t>
        </is>
      </c>
      <c r="E58" s="27" t="inlineStr">
        <is>
          <t>Closing</t>
        </is>
      </c>
      <c r="F58" s="27" t="inlineStr">
        <is>
          <t>Approved case</t>
        </is>
      </c>
      <c r="G58" s="27" t="inlineStr">
        <is>
          <t>Seller note committed</t>
        </is>
      </c>
      <c r="H58" s="46" t="n">
        <v>7000000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DEV-00276</t>
        </is>
      </c>
      <c r="B59" s="27" t="inlineStr">
        <is>
          <t>Evergreen acquisition sources and uses</t>
        </is>
      </c>
      <c r="C59" s="27" t="inlineStr">
        <is>
          <t>Funding sources</t>
        </is>
      </c>
      <c r="D59" s="27" t="inlineStr">
        <is>
          <t>Alder Ridge</t>
        </is>
      </c>
      <c r="E59" s="27" t="inlineStr">
        <is>
          <t>Closing</t>
        </is>
      </c>
      <c r="F59" s="27" t="inlineStr">
        <is>
          <t>Approved case</t>
        </is>
      </c>
      <c r="G59" s="27" t="inlineStr">
        <is>
          <t>Opening funded debt</t>
        </is>
      </c>
      <c r="H59" s="46" t="n">
        <v>1</v>
      </c>
      <c r="I59" s="27" t="inlineStr"/>
      <c r="J59" s="27" t="inlineStr">
        <is>
          <t>ledger allocation factor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>
        <is>
          <t>Vista ERP balance sheet as of 2026-06-30; accounts 2200, 2210, and 2300</t>
        </is>
      </c>
    </row>
    <row r="60">
      <c r="A60" s="36" t="inlineStr">
        <is>
          <t>DEV-00277</t>
        </is>
      </c>
      <c r="B60" s="27" t="inlineStr">
        <is>
          <t>Evergreen acquisition sources and uses</t>
        </is>
      </c>
      <c r="C60" s="27" t="inlineStr">
        <is>
          <t>Funding sources</t>
        </is>
      </c>
      <c r="D60" s="27" t="inlineStr">
        <is>
          <t>Alder Ridge</t>
        </is>
      </c>
      <c r="E60" s="27" t="inlineStr">
        <is>
          <t>Closing</t>
        </is>
      </c>
      <c r="F60" s="27" t="inlineStr">
        <is>
          <t>Approved case</t>
        </is>
      </c>
      <c r="G60" s="27" t="inlineStr">
        <is>
          <t>Pro forma covenant EBITDA</t>
        </is>
      </c>
      <c r="H60" s="46" t="n">
        <v>15800000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DEV-00288</t>
        </is>
      </c>
      <c r="B61" s="27" t="inlineStr">
        <is>
          <t>Atlas acquisition earnout valuation</t>
        </is>
      </c>
      <c r="C61" s="27" t="inlineStr">
        <is>
          <t>Earnout scenarios</t>
        </is>
      </c>
      <c r="D61" s="27" t="inlineStr">
        <is>
          <t>S1</t>
        </is>
      </c>
      <c r="E61" s="27" t="inlineStr">
        <is>
          <t>Measurement period</t>
        </is>
      </c>
      <c r="F61" s="27" t="inlineStr">
        <is>
          <t>Approved case</t>
        </is>
      </c>
      <c r="G61" s="27" t="inlineStr">
        <is>
          <t>Probability</t>
        </is>
      </c>
      <c r="H61" s="46" t="n">
        <v>0.18</v>
      </c>
      <c r="I61" s="27" t="inlineStr"/>
      <c r="J61" s="27" t="inlineStr">
        <is>
          <t>decimal ratio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DEV-00289</t>
        </is>
      </c>
      <c r="B62" s="27" t="inlineStr">
        <is>
          <t>Atlas acquisition earnout valuation</t>
        </is>
      </c>
      <c r="C62" s="27" t="inlineStr">
        <is>
          <t>Earnout scenarios</t>
        </is>
      </c>
      <c r="D62" s="27" t="inlineStr">
        <is>
          <t>S1</t>
        </is>
      </c>
      <c r="E62" s="27" t="inlineStr">
        <is>
          <t>Measurement period</t>
        </is>
      </c>
      <c r="F62" s="27" t="inlineStr">
        <is>
          <t>Approved case</t>
        </is>
      </c>
      <c r="G62" s="27" t="inlineStr">
        <is>
          <t>Contractual payout</t>
        </is>
      </c>
      <c r="H62" s="46" t="n">
        <v>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DEV-00290</t>
        </is>
      </c>
      <c r="B63" s="27" t="inlineStr">
        <is>
          <t>Atlas acquisition earnout valuation</t>
        </is>
      </c>
      <c r="C63" s="27" t="inlineStr">
        <is>
          <t>Earnout scenarios</t>
        </is>
      </c>
      <c r="D63" s="27" t="inlineStr">
        <is>
          <t>S1</t>
        </is>
      </c>
      <c r="E63" s="27" t="inlineStr">
        <is>
          <t>Measurement period</t>
        </is>
      </c>
      <c r="F63" s="27" t="inlineStr">
        <is>
          <t>Approved case</t>
        </is>
      </c>
      <c r="G63" s="27" t="inlineStr">
        <is>
          <t>Cumulative EBITDA above threshold</t>
        </is>
      </c>
      <c r="H63" s="46" t="n">
        <v>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DEV-00291</t>
        </is>
      </c>
      <c r="B64" s="27" t="inlineStr">
        <is>
          <t>Atlas acquisition earnout valuation</t>
        </is>
      </c>
      <c r="C64" s="27" t="inlineStr">
        <is>
          <t>Earnout scenarios</t>
        </is>
      </c>
      <c r="D64" s="27" t="inlineStr">
        <is>
          <t>S1</t>
        </is>
      </c>
      <c r="E64" s="27" t="inlineStr">
        <is>
          <t>Measurement period</t>
        </is>
      </c>
      <c r="F64" s="27" t="inlineStr">
        <is>
          <t>Approved case</t>
        </is>
      </c>
      <c r="G64" s="27" t="inlineStr">
        <is>
          <t>Revenue attainment score</t>
        </is>
      </c>
      <c r="H64" s="46" t="n">
        <v>0.77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DEV-00292</t>
        </is>
      </c>
      <c r="B65" s="27" t="inlineStr">
        <is>
          <t>Atlas acquisition earnout valuation</t>
        </is>
      </c>
      <c r="C65" s="27" t="inlineStr">
        <is>
          <t>Earnout scenarios</t>
        </is>
      </c>
      <c r="D65" s="27" t="inlineStr">
        <is>
          <t>S2</t>
        </is>
      </c>
      <c r="E65" s="27" t="inlineStr">
        <is>
          <t>Measurement period</t>
        </is>
      </c>
      <c r="F65" s="27" t="inlineStr">
        <is>
          <t>Approved case</t>
        </is>
      </c>
      <c r="G65" s="27" t="inlineStr">
        <is>
          <t>Probability</t>
        </is>
      </c>
      <c r="H65" s="46" t="n">
        <v>0.22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DEV-00293</t>
        </is>
      </c>
      <c r="B66" s="27" t="inlineStr">
        <is>
          <t>Atlas acquisition earnout valuation</t>
        </is>
      </c>
      <c r="C66" s="27" t="inlineStr">
        <is>
          <t>Earnout scenarios</t>
        </is>
      </c>
      <c r="D66" s="27" t="inlineStr">
        <is>
          <t>S2</t>
        </is>
      </c>
      <c r="E66" s="27" t="inlineStr">
        <is>
          <t>Measurement period</t>
        </is>
      </c>
      <c r="F66" s="27" t="inlineStr">
        <is>
          <t>Approved case</t>
        </is>
      </c>
      <c r="G66" s="27" t="inlineStr">
        <is>
          <t>Contractual payout</t>
        </is>
      </c>
      <c r="H66" s="46" t="n">
        <v>2500000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DEV-00294</t>
        </is>
      </c>
      <c r="B67" s="27" t="inlineStr">
        <is>
          <t>Atlas acquisition earnout valuation</t>
        </is>
      </c>
      <c r="C67" s="27" t="inlineStr">
        <is>
          <t>Earnout scenarios</t>
        </is>
      </c>
      <c r="D67" s="27" t="inlineStr">
        <is>
          <t>S2</t>
        </is>
      </c>
      <c r="E67" s="27" t="inlineStr">
        <is>
          <t>Measurement period</t>
        </is>
      </c>
      <c r="F67" s="27" t="inlineStr">
        <is>
          <t>Approved case</t>
        </is>
      </c>
      <c r="G67" s="27" t="inlineStr">
        <is>
          <t>Cumulative EBITDA above threshold</t>
        </is>
      </c>
      <c r="H67" s="46" t="n">
        <v>1000000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DEV-00295</t>
        </is>
      </c>
      <c r="B68" s="27" t="inlineStr">
        <is>
          <t>Atlas acquisition earnout valuation</t>
        </is>
      </c>
      <c r="C68" s="27" t="inlineStr">
        <is>
          <t>Earnout scenarios</t>
        </is>
      </c>
      <c r="D68" s="27" t="inlineStr">
        <is>
          <t>S2</t>
        </is>
      </c>
      <c r="E68" s="27" t="inlineStr">
        <is>
          <t>Measurement period</t>
        </is>
      </c>
      <c r="F68" s="27" t="inlineStr">
        <is>
          <t>Approved case</t>
        </is>
      </c>
      <c r="G68" s="27" t="inlineStr">
        <is>
          <t>Revenue attainment score</t>
        </is>
      </c>
      <c r="H68" s="46" t="n">
        <v>0.84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DEV-00296</t>
        </is>
      </c>
      <c r="B69" s="27" t="inlineStr">
        <is>
          <t>Atlas acquisition earnout valuation</t>
        </is>
      </c>
      <c r="C69" s="27" t="inlineStr">
        <is>
          <t>Earnout scenarios</t>
        </is>
      </c>
      <c r="D69" s="27" t="inlineStr">
        <is>
          <t>S3</t>
        </is>
      </c>
      <c r="E69" s="27" t="inlineStr">
        <is>
          <t>Measurement period</t>
        </is>
      </c>
      <c r="F69" s="27" t="inlineStr">
        <is>
          <t>Approved case</t>
        </is>
      </c>
      <c r="G69" s="27" t="inlineStr">
        <is>
          <t>Probability</t>
        </is>
      </c>
      <c r="H69" s="46" t="n">
        <v>0.28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DEV-00297</t>
        </is>
      </c>
      <c r="B70" s="27" t="inlineStr">
        <is>
          <t>Atlas acquisition earnout valuation</t>
        </is>
      </c>
      <c r="C70" s="27" t="inlineStr">
        <is>
          <t>Earnout scenarios</t>
        </is>
      </c>
      <c r="D70" s="27" t="inlineStr">
        <is>
          <t>S3</t>
        </is>
      </c>
      <c r="E70" s="27" t="inlineStr">
        <is>
          <t>Measurement period</t>
        </is>
      </c>
      <c r="F70" s="27" t="inlineStr">
        <is>
          <t>Approved case</t>
        </is>
      </c>
      <c r="G70" s="27" t="inlineStr">
        <is>
          <t>Contractual payout</t>
        </is>
      </c>
      <c r="H70" s="46" t="n">
        <v>5000000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DEV-00298</t>
        </is>
      </c>
      <c r="B71" s="27" t="inlineStr">
        <is>
          <t>Atlas acquisition earnout valuation</t>
        </is>
      </c>
      <c r="C71" s="27" t="inlineStr">
        <is>
          <t>Earnout scenarios</t>
        </is>
      </c>
      <c r="D71" s="27" t="inlineStr">
        <is>
          <t>S3</t>
        </is>
      </c>
      <c r="E71" s="27" t="inlineStr">
        <is>
          <t>Measurement period</t>
        </is>
      </c>
      <c r="F71" s="27" t="inlineStr">
        <is>
          <t>Approved case</t>
        </is>
      </c>
      <c r="G71" s="27" t="inlineStr">
        <is>
          <t>Cumulative EBITDA above threshold</t>
        </is>
      </c>
      <c r="H71" s="46" t="n">
        <v>2500000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DEV-00299</t>
        </is>
      </c>
      <c r="B72" s="27" t="inlineStr">
        <is>
          <t>Atlas acquisition earnout valuation</t>
        </is>
      </c>
      <c r="C72" s="27" t="inlineStr">
        <is>
          <t>Earnout scenarios</t>
        </is>
      </c>
      <c r="D72" s="27" t="inlineStr">
        <is>
          <t>S3</t>
        </is>
      </c>
      <c r="E72" s="27" t="inlineStr">
        <is>
          <t>Measurement period</t>
        </is>
      </c>
      <c r="F72" s="27" t="inlineStr">
        <is>
          <t>Approved case</t>
        </is>
      </c>
      <c r="G72" s="27" t="inlineStr">
        <is>
          <t>Revenue attainment score</t>
        </is>
      </c>
      <c r="H72" s="46" t="n">
        <v>0.9099999999999999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DEV-00300</t>
        </is>
      </c>
      <c r="B73" s="27" t="inlineStr">
        <is>
          <t>Atlas acquisition earnout valuation</t>
        </is>
      </c>
      <c r="C73" s="27" t="inlineStr">
        <is>
          <t>Earnout scenarios</t>
        </is>
      </c>
      <c r="D73" s="27" t="inlineStr">
        <is>
          <t>S4</t>
        </is>
      </c>
      <c r="E73" s="27" t="inlineStr">
        <is>
          <t>Measurement period</t>
        </is>
      </c>
      <c r="F73" s="27" t="inlineStr">
        <is>
          <t>Approved case</t>
        </is>
      </c>
      <c r="G73" s="27" t="inlineStr">
        <is>
          <t>Probability</t>
        </is>
      </c>
      <c r="H73" s="46" t="n">
        <v>0.2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DEV-00301</t>
        </is>
      </c>
      <c r="B74" s="27" t="inlineStr">
        <is>
          <t>Atlas acquisition earnout valuation</t>
        </is>
      </c>
      <c r="C74" s="27" t="inlineStr">
        <is>
          <t>Earnout scenarios</t>
        </is>
      </c>
      <c r="D74" s="27" t="inlineStr">
        <is>
          <t>S4</t>
        </is>
      </c>
      <c r="E74" s="27" t="inlineStr">
        <is>
          <t>Measurement period</t>
        </is>
      </c>
      <c r="F74" s="27" t="inlineStr">
        <is>
          <t>Approved case</t>
        </is>
      </c>
      <c r="G74" s="27" t="inlineStr">
        <is>
          <t>Contractual payout</t>
        </is>
      </c>
      <c r="H74" s="46" t="n">
        <v>7500000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DEV-00302</t>
        </is>
      </c>
      <c r="B75" s="27" t="inlineStr">
        <is>
          <t>Atlas acquisition earnout valuation</t>
        </is>
      </c>
      <c r="C75" s="27" t="inlineStr">
        <is>
          <t>Earnout scenarios</t>
        </is>
      </c>
      <c r="D75" s="27" t="inlineStr">
        <is>
          <t>S4</t>
        </is>
      </c>
      <c r="E75" s="27" t="inlineStr">
        <is>
          <t>Measurement period</t>
        </is>
      </c>
      <c r="F75" s="27" t="inlineStr">
        <is>
          <t>Approved case</t>
        </is>
      </c>
      <c r="G75" s="27" t="inlineStr">
        <is>
          <t>Cumulative EBITDA above threshold</t>
        </is>
      </c>
      <c r="H75" s="46" t="n">
        <v>4000000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DEV-00303</t>
        </is>
      </c>
      <c r="B76" s="27" t="inlineStr">
        <is>
          <t>Atlas acquisition earnout valuation</t>
        </is>
      </c>
      <c r="C76" s="27" t="inlineStr">
        <is>
          <t>Earnout scenarios</t>
        </is>
      </c>
      <c r="D76" s="27" t="inlineStr">
        <is>
          <t>S4</t>
        </is>
      </c>
      <c r="E76" s="27" t="inlineStr">
        <is>
          <t>Measurement period</t>
        </is>
      </c>
      <c r="F76" s="27" t="inlineStr">
        <is>
          <t>Approved case</t>
        </is>
      </c>
      <c r="G76" s="27" t="inlineStr">
        <is>
          <t>Revenue attainment score</t>
        </is>
      </c>
      <c r="H76" s="46" t="n">
        <v>0.98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DEV-00304</t>
        </is>
      </c>
      <c r="B77" s="27" t="inlineStr">
        <is>
          <t>Atlas acquisition earnout valuation</t>
        </is>
      </c>
      <c r="C77" s="27" t="inlineStr">
        <is>
          <t>Earnout scenarios</t>
        </is>
      </c>
      <c r="D77" s="27" t="inlineStr">
        <is>
          <t>S5</t>
        </is>
      </c>
      <c r="E77" s="27" t="inlineStr">
        <is>
          <t>Measurement period</t>
        </is>
      </c>
      <c r="F77" s="27" t="inlineStr">
        <is>
          <t>Approved case</t>
        </is>
      </c>
      <c r="G77" s="27" t="inlineStr">
        <is>
          <t>Probability</t>
        </is>
      </c>
      <c r="H77" s="46" t="n">
        <v>0.12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DEV-00305</t>
        </is>
      </c>
      <c r="B78" s="27" t="inlineStr">
        <is>
          <t>Atlas acquisition earnout valuation</t>
        </is>
      </c>
      <c r="C78" s="27" t="inlineStr">
        <is>
          <t>Earnout scenarios</t>
        </is>
      </c>
      <c r="D78" s="27" t="inlineStr">
        <is>
          <t>S5</t>
        </is>
      </c>
      <c r="E78" s="27" t="inlineStr">
        <is>
          <t>Measurement period</t>
        </is>
      </c>
      <c r="F78" s="27" t="inlineStr">
        <is>
          <t>Approved case</t>
        </is>
      </c>
      <c r="G78" s="27" t="inlineStr">
        <is>
          <t>Contractual payout</t>
        </is>
      </c>
      <c r="H78" s="46" t="n">
        <v>10000000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DEV-00306</t>
        </is>
      </c>
      <c r="B79" s="27" t="inlineStr">
        <is>
          <t>Atlas acquisition earnout valuation</t>
        </is>
      </c>
      <c r="C79" s="27" t="inlineStr">
        <is>
          <t>Earnout scenarios</t>
        </is>
      </c>
      <c r="D79" s="27" t="inlineStr">
        <is>
          <t>S5</t>
        </is>
      </c>
      <c r="E79" s="27" t="inlineStr">
        <is>
          <t>Measurement period</t>
        </is>
      </c>
      <c r="F79" s="27" t="inlineStr">
        <is>
          <t>Approved case</t>
        </is>
      </c>
      <c r="G79" s="27" t="inlineStr">
        <is>
          <t>Cumulative EBITDA above threshold</t>
        </is>
      </c>
      <c r="H79" s="46" t="n">
        <v>5500000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DEV-00307</t>
        </is>
      </c>
      <c r="B80" s="27" t="inlineStr">
        <is>
          <t>Atlas acquisition earnout valuation</t>
        </is>
      </c>
      <c r="C80" s="27" t="inlineStr">
        <is>
          <t>Earnout scenarios</t>
        </is>
      </c>
      <c r="D80" s="27" t="inlineStr">
        <is>
          <t>S5</t>
        </is>
      </c>
      <c r="E80" s="27" t="inlineStr">
        <is>
          <t>Measurement period</t>
        </is>
      </c>
      <c r="F80" s="27" t="inlineStr">
        <is>
          <t>Approved case</t>
        </is>
      </c>
      <c r="G80" s="27" t="inlineStr">
        <is>
          <t>Revenue attainment score</t>
        </is>
      </c>
      <c r="H80" s="46" t="n">
        <v>1.05</v>
      </c>
      <c r="I80" s="27" t="inlineStr"/>
      <c r="J80" s="27" t="inlineStr">
        <is>
          <t>decimal ratio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DEV-00308</t>
        </is>
      </c>
      <c r="B81" s="27" t="inlineStr">
        <is>
          <t>Atlas acquisition earnout valuation</t>
        </is>
      </c>
      <c r="C81" s="27" t="inlineStr">
        <is>
          <t>Earnout terms</t>
        </is>
      </c>
      <c r="D81" s="27" t="inlineStr">
        <is>
          <t>Atlas</t>
        </is>
      </c>
      <c r="E81" s="27" t="inlineStr">
        <is>
          <t>Valuation date</t>
        </is>
      </c>
      <c r="F81" s="27" t="inlineStr">
        <is>
          <t>Approved case</t>
        </is>
      </c>
      <c r="G81" s="27" t="inlineStr">
        <is>
          <t>Settlement years</t>
        </is>
      </c>
      <c r="H81" s="46" t="n">
        <v>2</v>
      </c>
      <c r="I81" s="27" t="inlineStr"/>
      <c r="J81" s="27" t="inlineStr">
        <is>
          <t>years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DEV-00309</t>
        </is>
      </c>
      <c r="B82" s="27" t="inlineStr">
        <is>
          <t>Atlas acquisition earnout valuation</t>
        </is>
      </c>
      <c r="C82" s="27" t="inlineStr">
        <is>
          <t>Earnout terms</t>
        </is>
      </c>
      <c r="D82" s="27" t="inlineStr">
        <is>
          <t>Atlas</t>
        </is>
      </c>
      <c r="E82" s="27" t="inlineStr">
        <is>
          <t>Valuation date</t>
        </is>
      </c>
      <c r="F82" s="27" t="inlineStr">
        <is>
          <t>Approved case</t>
        </is>
      </c>
      <c r="G82" s="27" t="inlineStr">
        <is>
          <t>Earnout discount rate</t>
        </is>
      </c>
      <c r="H82" s="46" t="n">
        <v>0.08500000000000001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DEV-00310</t>
        </is>
      </c>
      <c r="B83" s="27" t="inlineStr">
        <is>
          <t>Atlas acquisition earnout valuation</t>
        </is>
      </c>
      <c r="C83" s="27" t="inlineStr">
        <is>
          <t>Earnout terms</t>
        </is>
      </c>
      <c r="D83" s="27" t="inlineStr">
        <is>
          <t>Atlas</t>
        </is>
      </c>
      <c r="E83" s="27" t="inlineStr">
        <is>
          <t>Valuation date</t>
        </is>
      </c>
      <c r="F83" s="27" t="inlineStr">
        <is>
          <t>Approved case</t>
        </is>
      </c>
      <c r="G83" s="27" t="inlineStr">
        <is>
          <t>Contractual maximum payout</t>
        </is>
      </c>
      <c r="H83" s="46" t="n">
        <v>10000000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DEV-00311</t>
        </is>
      </c>
      <c r="B84" s="27" t="inlineStr">
        <is>
          <t>Atlas acquisition earnout valuation</t>
        </is>
      </c>
      <c r="C84" s="27" t="inlineStr">
        <is>
          <t>Sensitivity diagnostics</t>
        </is>
      </c>
      <c r="D84" s="27" t="inlineStr">
        <is>
          <t>Cumulative EBITDA</t>
        </is>
      </c>
      <c r="E84" s="27" t="inlineStr">
        <is>
          <t>Valuation date</t>
        </is>
      </c>
      <c r="F84" s="27" t="inlineStr">
        <is>
          <t>Approved case</t>
        </is>
      </c>
      <c r="G84" s="27" t="inlineStr">
        <is>
          <t>One-standard-deviation fair-value change</t>
        </is>
      </c>
      <c r="H84" s="46" t="n">
        <v>920</v>
      </c>
      <c r="I84" s="27" t="inlineStr"/>
      <c r="J84" s="27" t="inlineStr">
        <is>
          <t>USD thousands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DEV-00312</t>
        </is>
      </c>
      <c r="B85" s="27" t="inlineStr">
        <is>
          <t>Atlas acquisition earnout valuation</t>
        </is>
      </c>
      <c r="C85" s="27" t="inlineStr">
        <is>
          <t>Sensitivity diagnostics</t>
        </is>
      </c>
      <c r="D85" s="27" t="inlineStr">
        <is>
          <t>Revenue attainment</t>
        </is>
      </c>
      <c r="E85" s="27" t="inlineStr">
        <is>
          <t>Valuation date</t>
        </is>
      </c>
      <c r="F85" s="27" t="inlineStr">
        <is>
          <t>Approved case</t>
        </is>
      </c>
      <c r="G85" s="27" t="inlineStr">
        <is>
          <t>One-standard-deviation fair-value change</t>
        </is>
      </c>
      <c r="H85" s="46" t="n">
        <v>610000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DEV-00495</t>
        </is>
      </c>
      <c r="B86" s="27" t="inlineStr">
        <is>
          <t>Risk-adjusted synergy phasing and returns</t>
        </is>
      </c>
      <c r="C86" s="27" t="inlineStr">
        <is>
          <t>Risk-adjusted synergy plan</t>
        </is>
      </c>
      <c r="D86" s="27" t="inlineStr">
        <is>
          <t>Procurement</t>
        </is>
      </c>
      <c r="E86" s="27" t="inlineStr">
        <is>
          <t>IC case</t>
        </is>
      </c>
      <c r="F86" s="27" t="inlineStr">
        <is>
          <t>Approved case</t>
        </is>
      </c>
      <c r="G86" s="27" t="inlineStr">
        <is>
          <t>Full run-rate EBITDA</t>
        </is>
      </c>
      <c r="H86" s="46" t="n">
        <v>1250000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DEV-00496</t>
        </is>
      </c>
      <c r="B87" s="27" t="inlineStr">
        <is>
          <t>Risk-adjusted synergy phasing and returns</t>
        </is>
      </c>
      <c r="C87" s="27" t="inlineStr">
        <is>
          <t>Risk-adjusted synergy plan</t>
        </is>
      </c>
      <c r="D87" s="27" t="inlineStr">
        <is>
          <t>Procurement</t>
        </is>
      </c>
      <c r="E87" s="27" t="inlineStr">
        <is>
          <t>IC case</t>
        </is>
      </c>
      <c r="F87" s="27" t="inlineStr">
        <is>
          <t>Approved case</t>
        </is>
      </c>
      <c r="G87" s="27" t="inlineStr">
        <is>
          <t>Realization probability</t>
        </is>
      </c>
      <c r="H87" s="46" t="n">
        <v>0.8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DEV-00497</t>
        </is>
      </c>
      <c r="B88" s="27" t="inlineStr">
        <is>
          <t>Risk-adjusted synergy phasing and returns</t>
        </is>
      </c>
      <c r="C88" s="27" t="inlineStr">
        <is>
          <t>Risk-adjusted synergy plan</t>
        </is>
      </c>
      <c r="D88" s="27" t="inlineStr">
        <is>
          <t>Procurement</t>
        </is>
      </c>
      <c r="E88" s="27" t="inlineStr">
        <is>
          <t>IC case</t>
        </is>
      </c>
      <c r="F88" s="27" t="inlineStr">
        <is>
          <t>Approved case</t>
        </is>
      </c>
      <c r="G88" s="27" t="inlineStr">
        <is>
          <t>Year 1 phase</t>
        </is>
      </c>
      <c r="H88" s="46" t="n">
        <v>0.35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DEV-00498</t>
        </is>
      </c>
      <c r="B89" s="27" t="inlineStr">
        <is>
          <t>Risk-adjusted synergy phasing and returns</t>
        </is>
      </c>
      <c r="C89" s="27" t="inlineStr">
        <is>
          <t>Risk-adjusted synergy plan</t>
        </is>
      </c>
      <c r="D89" s="27" t="inlineStr">
        <is>
          <t>Procurement</t>
        </is>
      </c>
      <c r="E89" s="27" t="inlineStr">
        <is>
          <t>IC case</t>
        </is>
      </c>
      <c r="F89" s="27" t="inlineStr">
        <is>
          <t>Approved case</t>
        </is>
      </c>
      <c r="G89" s="27" t="inlineStr">
        <is>
          <t>Year 2 phase</t>
        </is>
      </c>
      <c r="H89" s="46" t="n">
        <v>0.75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DEV-00499</t>
        </is>
      </c>
      <c r="B90" s="27" t="inlineStr">
        <is>
          <t>Risk-adjusted synergy phasing and returns</t>
        </is>
      </c>
      <c r="C90" s="27" t="inlineStr">
        <is>
          <t>Risk-adjusted synergy plan</t>
        </is>
      </c>
      <c r="D90" s="27" t="inlineStr">
        <is>
          <t>Procurement</t>
        </is>
      </c>
      <c r="E90" s="27" t="inlineStr">
        <is>
          <t>IC case</t>
        </is>
      </c>
      <c r="F90" s="27" t="inlineStr">
        <is>
          <t>Approved case</t>
        </is>
      </c>
      <c r="G90" s="27" t="inlineStr">
        <is>
          <t>Year 3 phase</t>
        </is>
      </c>
      <c r="H90" s="46" t="n">
        <v>1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DEV-00500</t>
        </is>
      </c>
      <c r="B91" s="27" t="inlineStr">
        <is>
          <t>Risk-adjusted synergy phasing and returns</t>
        </is>
      </c>
      <c r="C91" s="27" t="inlineStr">
        <is>
          <t>Risk-adjusted synergy plan</t>
        </is>
      </c>
      <c r="D91" s="27" t="inlineStr">
        <is>
          <t>Procurement</t>
        </is>
      </c>
      <c r="E91" s="27" t="inlineStr">
        <is>
          <t>IC case</t>
        </is>
      </c>
      <c r="F91" s="27" t="inlineStr">
        <is>
          <t>Approved case</t>
        </is>
      </c>
      <c r="G91" s="27" t="inlineStr">
        <is>
          <t>One-time cash cost</t>
        </is>
      </c>
      <c r="H91" s="46" t="n">
        <v>420000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DEV-00501</t>
        </is>
      </c>
      <c r="B92" s="27" t="inlineStr">
        <is>
          <t>Risk-adjusted synergy phasing and returns</t>
        </is>
      </c>
      <c r="C92" s="27" t="inlineStr">
        <is>
          <t>Risk-adjusted synergy plan</t>
        </is>
      </c>
      <c r="D92" s="27" t="inlineStr">
        <is>
          <t>Facilities</t>
        </is>
      </c>
      <c r="E92" s="27" t="inlineStr">
        <is>
          <t>IC case</t>
        </is>
      </c>
      <c r="F92" s="27" t="inlineStr">
        <is>
          <t>Approved case</t>
        </is>
      </c>
      <c r="G92" s="27" t="inlineStr">
        <is>
          <t>Full run-rate EBITDA</t>
        </is>
      </c>
      <c r="H92" s="46" t="n">
        <v>620000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DEV-00502</t>
        </is>
      </c>
      <c r="B93" s="27" t="inlineStr">
        <is>
          <t>Risk-adjusted synergy phasing and returns</t>
        </is>
      </c>
      <c r="C93" s="27" t="inlineStr">
        <is>
          <t>Risk-adjusted synergy plan</t>
        </is>
      </c>
      <c r="D93" s="27" t="inlineStr">
        <is>
          <t>Facilities</t>
        </is>
      </c>
      <c r="E93" s="27" t="inlineStr">
        <is>
          <t>IC case</t>
        </is>
      </c>
      <c r="F93" s="27" t="inlineStr">
        <is>
          <t>Approved case</t>
        </is>
      </c>
      <c r="G93" s="27" t="inlineStr">
        <is>
          <t>Realization probability</t>
        </is>
      </c>
      <c r="H93" s="46" t="n">
        <v>0.9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DEV-00503</t>
        </is>
      </c>
      <c r="B94" s="27" t="inlineStr">
        <is>
          <t>Risk-adjusted synergy phasing and returns</t>
        </is>
      </c>
      <c r="C94" s="27" t="inlineStr">
        <is>
          <t>Risk-adjusted synergy plan</t>
        </is>
      </c>
      <c r="D94" s="27" t="inlineStr">
        <is>
          <t>Facilities</t>
        </is>
      </c>
      <c r="E94" s="27" t="inlineStr">
        <is>
          <t>IC case</t>
        </is>
      </c>
      <c r="F94" s="27" t="inlineStr">
        <is>
          <t>Approved case</t>
        </is>
      </c>
      <c r="G94" s="27" t="inlineStr">
        <is>
          <t>Year 1 phase</t>
        </is>
      </c>
      <c r="H94" s="46" t="n">
        <v>0.2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DEV-00504</t>
        </is>
      </c>
      <c r="B95" s="27" t="inlineStr">
        <is>
          <t>Risk-adjusted synergy phasing and returns</t>
        </is>
      </c>
      <c r="C95" s="27" t="inlineStr">
        <is>
          <t>Risk-adjusted synergy plan</t>
        </is>
      </c>
      <c r="D95" s="27" t="inlineStr">
        <is>
          <t>Facilities</t>
        </is>
      </c>
      <c r="E95" s="27" t="inlineStr">
        <is>
          <t>IC case</t>
        </is>
      </c>
      <c r="F95" s="27" t="inlineStr">
        <is>
          <t>Approved case</t>
        </is>
      </c>
      <c r="G95" s="27" t="inlineStr">
        <is>
          <t>Year 2 phase</t>
        </is>
      </c>
      <c r="H95" s="46" t="n">
        <v>0.85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DEV-00505</t>
        </is>
      </c>
      <c r="B96" s="27" t="inlineStr">
        <is>
          <t>Risk-adjusted synergy phasing and returns</t>
        </is>
      </c>
      <c r="C96" s="27" t="inlineStr">
        <is>
          <t>Risk-adjusted synergy plan</t>
        </is>
      </c>
      <c r="D96" s="27" t="inlineStr">
        <is>
          <t>Facilities</t>
        </is>
      </c>
      <c r="E96" s="27" t="inlineStr">
        <is>
          <t>IC case</t>
        </is>
      </c>
      <c r="F96" s="27" t="inlineStr">
        <is>
          <t>Approved case</t>
        </is>
      </c>
      <c r="G96" s="27" t="inlineStr">
        <is>
          <t>Year 3 phase</t>
        </is>
      </c>
      <c r="H96" s="46" t="n">
        <v>1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DEV-00506</t>
        </is>
      </c>
      <c r="B97" s="27" t="inlineStr">
        <is>
          <t>Risk-adjusted synergy phasing and returns</t>
        </is>
      </c>
      <c r="C97" s="27" t="inlineStr">
        <is>
          <t>Risk-adjusted synergy plan</t>
        </is>
      </c>
      <c r="D97" s="27" t="inlineStr">
        <is>
          <t>Facilities</t>
        </is>
      </c>
      <c r="E97" s="27" t="inlineStr">
        <is>
          <t>IC case</t>
        </is>
      </c>
      <c r="F97" s="27" t="inlineStr">
        <is>
          <t>Approved case</t>
        </is>
      </c>
      <c r="G97" s="27" t="inlineStr">
        <is>
          <t>One-time cash cost</t>
        </is>
      </c>
      <c r="H97" s="46" t="n">
        <v>780</v>
      </c>
      <c r="I97" s="27" t="inlineStr"/>
      <c r="J97" s="27" t="inlineStr">
        <is>
          <t>USD thousands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DEV-00507</t>
        </is>
      </c>
      <c r="B98" s="27" t="inlineStr">
        <is>
          <t>Risk-adjusted synergy phasing and returns</t>
        </is>
      </c>
      <c r="C98" s="27" t="inlineStr">
        <is>
          <t>Risk-adjusted synergy plan</t>
        </is>
      </c>
      <c r="D98" s="27" t="inlineStr">
        <is>
          <t>Back office</t>
        </is>
      </c>
      <c r="E98" s="27" t="inlineStr">
        <is>
          <t>IC case</t>
        </is>
      </c>
      <c r="F98" s="27" t="inlineStr">
        <is>
          <t>Approved case</t>
        </is>
      </c>
      <c r="G98" s="27" t="inlineStr">
        <is>
          <t>Full run-rate EBITDA</t>
        </is>
      </c>
      <c r="H98" s="46" t="n">
        <v>940000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DEV-00508</t>
        </is>
      </c>
      <c r="B99" s="27" t="inlineStr">
        <is>
          <t>Risk-adjusted synergy phasing and returns</t>
        </is>
      </c>
      <c r="C99" s="27" t="inlineStr">
        <is>
          <t>Risk-adjusted synergy plan</t>
        </is>
      </c>
      <c r="D99" s="27" t="inlineStr">
        <is>
          <t>Back office</t>
        </is>
      </c>
      <c r="E99" s="27" t="inlineStr">
        <is>
          <t>IC case</t>
        </is>
      </c>
      <c r="F99" s="27" t="inlineStr">
        <is>
          <t>Approved case</t>
        </is>
      </c>
      <c r="G99" s="27" t="inlineStr">
        <is>
          <t>Realization probability</t>
        </is>
      </c>
      <c r="H99" s="46" t="n">
        <v>0.72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DEV-00509</t>
        </is>
      </c>
      <c r="B100" s="27" t="inlineStr">
        <is>
          <t>Risk-adjusted synergy phasing and returns</t>
        </is>
      </c>
      <c r="C100" s="27" t="inlineStr">
        <is>
          <t>Risk-adjusted synergy plan</t>
        </is>
      </c>
      <c r="D100" s="27" t="inlineStr">
        <is>
          <t>Back office</t>
        </is>
      </c>
      <c r="E100" s="27" t="inlineStr">
        <is>
          <t>IC case</t>
        </is>
      </c>
      <c r="F100" s="27" t="inlineStr">
        <is>
          <t>Approved case</t>
        </is>
      </c>
      <c r="G100" s="27" t="inlineStr">
        <is>
          <t>Year 1 phase</t>
        </is>
      </c>
      <c r="H100" s="46" t="n">
        <v>0.15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DEV-00510</t>
        </is>
      </c>
      <c r="B101" s="27" t="inlineStr">
        <is>
          <t>Risk-adjusted synergy phasing and returns</t>
        </is>
      </c>
      <c r="C101" s="27" t="inlineStr">
        <is>
          <t>Risk-adjusted synergy plan</t>
        </is>
      </c>
      <c r="D101" s="27" t="inlineStr">
        <is>
          <t>Back office</t>
        </is>
      </c>
      <c r="E101" s="27" t="inlineStr">
        <is>
          <t>IC case</t>
        </is>
      </c>
      <c r="F101" s="27" t="inlineStr">
        <is>
          <t>Approved case</t>
        </is>
      </c>
      <c r="G101" s="27" t="inlineStr">
        <is>
          <t>Year 2 phase</t>
        </is>
      </c>
      <c r="H101" s="46" t="n">
        <v>0.65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DEV-00511</t>
        </is>
      </c>
      <c r="B102" s="27" t="inlineStr">
        <is>
          <t>Risk-adjusted synergy phasing and returns</t>
        </is>
      </c>
      <c r="C102" s="27" t="inlineStr">
        <is>
          <t>Risk-adjusted synergy plan</t>
        </is>
      </c>
      <c r="D102" s="27" t="inlineStr">
        <is>
          <t>Back office</t>
        </is>
      </c>
      <c r="E102" s="27" t="inlineStr">
        <is>
          <t>IC case</t>
        </is>
      </c>
      <c r="F102" s="27" t="inlineStr">
        <is>
          <t>Approved case</t>
        </is>
      </c>
      <c r="G102" s="27" t="inlineStr">
        <is>
          <t>Year 3 phase</t>
        </is>
      </c>
      <c r="H102" s="46" t="n">
        <v>1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DEV-00512</t>
        </is>
      </c>
      <c r="B103" s="27" t="inlineStr">
        <is>
          <t>Risk-adjusted synergy phasing and returns</t>
        </is>
      </c>
      <c r="C103" s="27" t="inlineStr">
        <is>
          <t>Risk-adjusted synergy plan</t>
        </is>
      </c>
      <c r="D103" s="27" t="inlineStr">
        <is>
          <t>Back office</t>
        </is>
      </c>
      <c r="E103" s="27" t="inlineStr">
        <is>
          <t>IC case</t>
        </is>
      </c>
      <c r="F103" s="27" t="inlineStr">
        <is>
          <t>Approved case</t>
        </is>
      </c>
      <c r="G103" s="27" t="inlineStr">
        <is>
          <t>One-time cash cost</t>
        </is>
      </c>
      <c r="H103" s="46" t="n">
        <v>1050000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DEV-00513</t>
        </is>
      </c>
      <c r="B104" s="27" t="inlineStr">
        <is>
          <t>Risk-adjusted synergy phasing and returns</t>
        </is>
      </c>
      <c r="C104" s="27" t="inlineStr">
        <is>
          <t>Risk-adjusted synergy plan</t>
        </is>
      </c>
      <c r="D104" s="27" t="inlineStr">
        <is>
          <t>Cross-sell</t>
        </is>
      </c>
      <c r="E104" s="27" t="inlineStr">
        <is>
          <t>IC case</t>
        </is>
      </c>
      <c r="F104" s="27" t="inlineStr">
        <is>
          <t>Approved case</t>
        </is>
      </c>
      <c r="G104" s="27" t="inlineStr">
        <is>
          <t>Full run-rate EBITDA</t>
        </is>
      </c>
      <c r="H104" s="46" t="n">
        <v>1400000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DEV-00514</t>
        </is>
      </c>
      <c r="B105" s="27" t="inlineStr">
        <is>
          <t>Risk-adjusted synergy phasing and returns</t>
        </is>
      </c>
      <c r="C105" s="27" t="inlineStr">
        <is>
          <t>Risk-adjusted synergy plan</t>
        </is>
      </c>
      <c r="D105" s="27" t="inlineStr">
        <is>
          <t>Cross-sell</t>
        </is>
      </c>
      <c r="E105" s="27" t="inlineStr">
        <is>
          <t>IC case</t>
        </is>
      </c>
      <c r="F105" s="27" t="inlineStr">
        <is>
          <t>Approved case</t>
        </is>
      </c>
      <c r="G105" s="27" t="inlineStr">
        <is>
          <t>Realization probability</t>
        </is>
      </c>
      <c r="H105" s="46" t="n">
        <v>0.4</v>
      </c>
      <c r="I105" s="27" t="inlineStr"/>
      <c r="J105" s="27" t="inlineStr">
        <is>
          <t>decimal ratio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DEV-00515</t>
        </is>
      </c>
      <c r="B106" s="27" t="inlineStr">
        <is>
          <t>Risk-adjusted synergy phasing and returns</t>
        </is>
      </c>
      <c r="C106" s="27" t="inlineStr">
        <is>
          <t>Risk-adjusted synergy plan</t>
        </is>
      </c>
      <c r="D106" s="27" t="inlineStr">
        <is>
          <t>Cross-sell</t>
        </is>
      </c>
      <c r="E106" s="27" t="inlineStr">
        <is>
          <t>IC case</t>
        </is>
      </c>
      <c r="F106" s="27" t="inlineStr">
        <is>
          <t>Approved case</t>
        </is>
      </c>
      <c r="G106" s="27" t="inlineStr">
        <is>
          <t>Year 1 phase</t>
        </is>
      </c>
      <c r="H106" s="46" t="n">
        <v>0.1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DEV-00516</t>
        </is>
      </c>
      <c r="B107" s="27" t="inlineStr">
        <is>
          <t>Risk-adjusted synergy phasing and returns</t>
        </is>
      </c>
      <c r="C107" s="27" t="inlineStr">
        <is>
          <t>Risk-adjusted synergy plan</t>
        </is>
      </c>
      <c r="D107" s="27" t="inlineStr">
        <is>
          <t>Cross-sell</t>
        </is>
      </c>
      <c r="E107" s="27" t="inlineStr">
        <is>
          <t>IC case</t>
        </is>
      </c>
      <c r="F107" s="27" t="inlineStr">
        <is>
          <t>Approved case</t>
        </is>
      </c>
      <c r="G107" s="27" t="inlineStr">
        <is>
          <t>Year 2 phase</t>
        </is>
      </c>
      <c r="H107" s="46" t="n">
        <v>0.35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DEV-00517</t>
        </is>
      </c>
      <c r="B108" s="27" t="inlineStr">
        <is>
          <t>Risk-adjusted synergy phasing and returns</t>
        </is>
      </c>
      <c r="C108" s="27" t="inlineStr">
        <is>
          <t>Risk-adjusted synergy plan</t>
        </is>
      </c>
      <c r="D108" s="27" t="inlineStr">
        <is>
          <t>Cross-sell</t>
        </is>
      </c>
      <c r="E108" s="27" t="inlineStr">
        <is>
          <t>IC case</t>
        </is>
      </c>
      <c r="F108" s="27" t="inlineStr">
        <is>
          <t>Approved case</t>
        </is>
      </c>
      <c r="G108" s="27" t="inlineStr">
        <is>
          <t>Year 3 phase</t>
        </is>
      </c>
      <c r="H108" s="46" t="n">
        <v>0.65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DEV-00518</t>
        </is>
      </c>
      <c r="B109" s="27" t="inlineStr">
        <is>
          <t>Risk-adjusted synergy phasing and returns</t>
        </is>
      </c>
      <c r="C109" s="27" t="inlineStr">
        <is>
          <t>Risk-adjusted synergy plan</t>
        </is>
      </c>
      <c r="D109" s="27" t="inlineStr">
        <is>
          <t>Cross-sell</t>
        </is>
      </c>
      <c r="E109" s="27" t="inlineStr">
        <is>
          <t>IC case</t>
        </is>
      </c>
      <c r="F109" s="27" t="inlineStr">
        <is>
          <t>Approved case</t>
        </is>
      </c>
      <c r="G109" s="27" t="inlineStr">
        <is>
          <t>One-time cash cost</t>
        </is>
      </c>
      <c r="H109" s="46" t="n">
        <v>520</v>
      </c>
      <c r="I109" s="27" t="inlineStr"/>
      <c r="J109" s="27" t="inlineStr">
        <is>
          <t>USD thousands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DEV-00519</t>
        </is>
      </c>
      <c r="B110" s="27" t="inlineStr">
        <is>
          <t>Risk-adjusted synergy phasing and returns</t>
        </is>
      </c>
      <c r="C110" s="27" t="inlineStr">
        <is>
          <t>Risk-adjusted synergy plan</t>
        </is>
      </c>
      <c r="D110" s="27" t="inlineStr">
        <is>
          <t>Supplier dis-synergy</t>
        </is>
      </c>
      <c r="E110" s="27" t="inlineStr">
        <is>
          <t>IC case</t>
        </is>
      </c>
      <c r="F110" s="27" t="inlineStr">
        <is>
          <t>Approved case</t>
        </is>
      </c>
      <c r="G110" s="27" t="inlineStr">
        <is>
          <t>Full run-rate EBITDA</t>
        </is>
      </c>
      <c r="H110" s="46" t="n">
        <v>-310000</v>
      </c>
      <c r="I110" s="27" t="inlineStr"/>
      <c r="J110" s="27" t="inlineStr">
        <is>
          <t>USD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DEV-00520</t>
        </is>
      </c>
      <c r="B111" s="27" t="inlineStr">
        <is>
          <t>Risk-adjusted synergy phasing and returns</t>
        </is>
      </c>
      <c r="C111" s="27" t="inlineStr">
        <is>
          <t>Risk-adjusted synergy plan</t>
        </is>
      </c>
      <c r="D111" s="27" t="inlineStr">
        <is>
          <t>Supplier dis-synergy</t>
        </is>
      </c>
      <c r="E111" s="27" t="inlineStr">
        <is>
          <t>IC case</t>
        </is>
      </c>
      <c r="F111" s="27" t="inlineStr">
        <is>
          <t>Approved case</t>
        </is>
      </c>
      <c r="G111" s="27" t="inlineStr">
        <is>
          <t>Realization probability</t>
        </is>
      </c>
      <c r="H111" s="46" t="n">
        <v>1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DEV-00521</t>
        </is>
      </c>
      <c r="B112" s="27" t="inlineStr">
        <is>
          <t>Risk-adjusted synergy phasing and returns</t>
        </is>
      </c>
      <c r="C112" s="27" t="inlineStr">
        <is>
          <t>Risk-adjusted synergy plan</t>
        </is>
      </c>
      <c r="D112" s="27" t="inlineStr">
        <is>
          <t>Supplier dis-synergy</t>
        </is>
      </c>
      <c r="E112" s="27" t="inlineStr">
        <is>
          <t>IC case</t>
        </is>
      </c>
      <c r="F112" s="27" t="inlineStr">
        <is>
          <t>Approved case</t>
        </is>
      </c>
      <c r="G112" s="27" t="inlineStr">
        <is>
          <t>Year 1 phase</t>
        </is>
      </c>
      <c r="H112" s="46" t="n">
        <v>0.5</v>
      </c>
      <c r="I112" s="27" t="inlineStr"/>
      <c r="J112" s="27" t="inlineStr">
        <is>
          <t>decimal ratio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DEV-00522</t>
        </is>
      </c>
      <c r="B113" s="27" t="inlineStr">
        <is>
          <t>Risk-adjusted synergy phasing and returns</t>
        </is>
      </c>
      <c r="C113" s="27" t="inlineStr">
        <is>
          <t>Risk-adjusted synergy plan</t>
        </is>
      </c>
      <c r="D113" s="27" t="inlineStr">
        <is>
          <t>Supplier dis-synergy</t>
        </is>
      </c>
      <c r="E113" s="27" t="inlineStr">
        <is>
          <t>IC case</t>
        </is>
      </c>
      <c r="F113" s="27" t="inlineStr">
        <is>
          <t>Approved case</t>
        </is>
      </c>
      <c r="G113" s="27" t="inlineStr">
        <is>
          <t>Year 2 phase</t>
        </is>
      </c>
      <c r="H113" s="46" t="n">
        <v>1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DEV-00523</t>
        </is>
      </c>
      <c r="B114" s="27" t="inlineStr">
        <is>
          <t>Risk-adjusted synergy phasing and returns</t>
        </is>
      </c>
      <c r="C114" s="27" t="inlineStr">
        <is>
          <t>Risk-adjusted synergy plan</t>
        </is>
      </c>
      <c r="D114" s="27" t="inlineStr">
        <is>
          <t>Supplier dis-synergy</t>
        </is>
      </c>
      <c r="E114" s="27" t="inlineStr">
        <is>
          <t>IC case</t>
        </is>
      </c>
      <c r="F114" s="27" t="inlineStr">
        <is>
          <t>Approved case</t>
        </is>
      </c>
      <c r="G114" s="27" t="inlineStr">
        <is>
          <t>Year 3 phase</t>
        </is>
      </c>
      <c r="H114" s="46" t="n">
        <v>1</v>
      </c>
      <c r="I114" s="27" t="inlineStr"/>
      <c r="J114" s="27" t="inlineStr">
        <is>
          <t>decimal ratio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DEV-00524</t>
        </is>
      </c>
      <c r="B115" s="27" t="inlineStr">
        <is>
          <t>Risk-adjusted synergy phasing and returns</t>
        </is>
      </c>
      <c r="C115" s="27" t="inlineStr">
        <is>
          <t>Risk-adjusted synergy plan</t>
        </is>
      </c>
      <c r="D115" s="27" t="inlineStr">
        <is>
          <t>Supplier dis-synergy</t>
        </is>
      </c>
      <c r="E115" s="27" t="inlineStr">
        <is>
          <t>IC case</t>
        </is>
      </c>
      <c r="F115" s="27" t="inlineStr">
        <is>
          <t>Approved case</t>
        </is>
      </c>
      <c r="G115" s="27" t="inlineStr">
        <is>
          <t>One-time cash cost</t>
        </is>
      </c>
      <c r="H115" s="46" t="n">
        <v>0</v>
      </c>
      <c r="I115" s="27" t="inlineStr"/>
      <c r="J115" s="27" t="inlineStr">
        <is>
          <t>USD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DEV-00525</t>
        </is>
      </c>
      <c r="B116" s="27" t="inlineStr">
        <is>
          <t>Risk-adjusted synergy phasing and returns</t>
        </is>
      </c>
      <c r="C116" s="27" t="inlineStr">
        <is>
          <t>Synergy return policy</t>
        </is>
      </c>
      <c r="D116" s="27" t="inlineStr">
        <is>
          <t>Pioneer HVAC</t>
        </is>
      </c>
      <c r="E116" s="27" t="inlineStr">
        <is>
          <t>IC case</t>
        </is>
      </c>
      <c r="F116" s="27" t="inlineStr">
        <is>
          <t>Approved case</t>
        </is>
      </c>
      <c r="G116" s="27" t="inlineStr">
        <is>
          <t>Equity investment</t>
        </is>
      </c>
      <c r="H116" s="46" t="n">
        <v>24500000</v>
      </c>
      <c r="I116" s="27" t="inlineStr"/>
      <c r="J116" s="27" t="inlineStr">
        <is>
          <t>USD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DEV-00526</t>
        </is>
      </c>
      <c r="B117" s="27" t="inlineStr">
        <is>
          <t>Risk-adjusted synergy phasing and returns</t>
        </is>
      </c>
      <c r="C117" s="27" t="inlineStr">
        <is>
          <t>Synergy return policy</t>
        </is>
      </c>
      <c r="D117" s="27" t="inlineStr">
        <is>
          <t>Pioneer HVAC</t>
        </is>
      </c>
      <c r="E117" s="27" t="inlineStr">
        <is>
          <t>IC case</t>
        </is>
      </c>
      <c r="F117" s="27" t="inlineStr">
        <is>
          <t>Approved case</t>
        </is>
      </c>
      <c r="G117" s="27" t="inlineStr">
        <is>
          <t>Standalone exit equity value</t>
        </is>
      </c>
      <c r="H117" s="46" t="n">
        <v>26800</v>
      </c>
      <c r="I117" s="27" t="inlineStr"/>
      <c r="J117" s="27" t="inlineStr">
        <is>
          <t>USD thousands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DEV-00527</t>
        </is>
      </c>
      <c r="B118" s="27" t="inlineStr">
        <is>
          <t>Risk-adjusted synergy phasing and returns</t>
        </is>
      </c>
      <c r="C118" s="27" t="inlineStr">
        <is>
          <t>Synergy return policy</t>
        </is>
      </c>
      <c r="D118" s="27" t="inlineStr">
        <is>
          <t>Pioneer HVAC</t>
        </is>
      </c>
      <c r="E118" s="27" t="inlineStr">
        <is>
          <t>IC case</t>
        </is>
      </c>
      <c r="F118" s="27" t="inlineStr">
        <is>
          <t>Approved case</t>
        </is>
      </c>
      <c r="G118" s="27" t="inlineStr">
        <is>
          <t>Exit EBITDA multiple</t>
        </is>
      </c>
      <c r="H118" s="46" t="n">
        <v>7.25</v>
      </c>
      <c r="I118" s="27" t="inlineStr"/>
      <c r="J118" s="27" t="inlineStr">
        <is>
          <t>multiple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DEV-00528</t>
        </is>
      </c>
      <c r="B119" s="27" t="inlineStr">
        <is>
          <t>Risk-adjusted synergy phasing and returns</t>
        </is>
      </c>
      <c r="C119" s="27" t="inlineStr">
        <is>
          <t>Synergy return policy</t>
        </is>
      </c>
      <c r="D119" s="27" t="inlineStr">
        <is>
          <t>Pioneer HVAC</t>
        </is>
      </c>
      <c r="E119" s="27" t="inlineStr">
        <is>
          <t>IC case</t>
        </is>
      </c>
      <c r="F119" s="27" t="inlineStr">
        <is>
          <t>Approved case</t>
        </is>
      </c>
      <c r="G119" s="27" t="inlineStr">
        <is>
          <t>Tax rate</t>
        </is>
      </c>
      <c r="H119" s="46" t="n">
        <v>0.26</v>
      </c>
      <c r="I119" s="27" t="inlineStr"/>
      <c r="J119" s="27" t="inlineStr">
        <is>
          <t>decimal ratio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DEV-00529</t>
        </is>
      </c>
      <c r="B120" s="27" t="inlineStr">
        <is>
          <t>Risk-adjusted synergy phasing and returns</t>
        </is>
      </c>
      <c r="C120" s="27" t="inlineStr">
        <is>
          <t>Synergy return policy</t>
        </is>
      </c>
      <c r="D120" s="27" t="inlineStr">
        <is>
          <t>Pioneer HVAC</t>
        </is>
      </c>
      <c r="E120" s="27" t="inlineStr">
        <is>
          <t>IC case</t>
        </is>
      </c>
      <c r="F120" s="27" t="inlineStr">
        <is>
          <t>Approved case</t>
        </is>
      </c>
      <c r="G120" s="27" t="inlineStr">
        <is>
          <t>IRR hurdle</t>
        </is>
      </c>
      <c r="H120" s="46" t="n">
        <v>0.18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DEV-00530</t>
        </is>
      </c>
      <c r="B121" s="27" t="inlineStr">
        <is>
          <t>Risk-adjusted synergy phasing and returns</t>
        </is>
      </c>
      <c r="C121" s="27" t="inlineStr">
        <is>
          <t>Synergy return policy</t>
        </is>
      </c>
      <c r="D121" s="27" t="inlineStr">
        <is>
          <t>Pioneer HVAC</t>
        </is>
      </c>
      <c r="E121" s="27" t="inlineStr">
        <is>
          <t>IC case</t>
        </is>
      </c>
      <c r="F121" s="27" t="inlineStr">
        <is>
          <t>Approved case</t>
        </is>
      </c>
      <c r="G121" s="27" t="inlineStr">
        <is>
          <t>Discount rate</t>
        </is>
      </c>
      <c r="H121" s="46" t="n">
        <v>0.12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DEV-00531</t>
        </is>
      </c>
      <c r="B122" s="27" t="inlineStr">
        <is>
          <t>Risk-adjusted synergy phasing and returns</t>
        </is>
      </c>
      <c r="C122" s="27" t="inlineStr">
        <is>
          <t>Synergy return policy</t>
        </is>
      </c>
      <c r="D122" s="27" t="inlineStr">
        <is>
          <t>Pioneer HVAC</t>
        </is>
      </c>
      <c r="E122" s="27" t="inlineStr">
        <is>
          <t>IC case</t>
        </is>
      </c>
      <c r="F122" s="27" t="inlineStr">
        <is>
          <t>Approved case</t>
        </is>
      </c>
      <c r="G122" s="27" t="inlineStr">
        <is>
          <t>Cross-sell permitted in base</t>
        </is>
      </c>
      <c r="H122" s="46" t="n">
        <v>0</v>
      </c>
      <c r="I122" s="27" t="inlineStr"/>
      <c r="J122" s="27" t="inlineStr">
        <is>
          <t>boolean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DEV-00546</t>
        </is>
      </c>
      <c r="B123" s="27" t="inlineStr">
        <is>
          <t>Risk-adjusted synergy phasing and returns</t>
        </is>
      </c>
      <c r="C123" s="27" t="inlineStr">
        <is>
          <t>Synergy downside overlay</t>
        </is>
      </c>
      <c r="D123" s="27" t="inlineStr">
        <is>
          <t>Procurement</t>
        </is>
      </c>
      <c r="E123" s="27" t="inlineStr">
        <is>
          <t>IC downside</t>
        </is>
      </c>
      <c r="F123" s="27" t="inlineStr">
        <is>
          <t>Approved case</t>
        </is>
      </c>
      <c r="G123" s="27" t="inlineStr">
        <is>
          <t>Probability or magnitude factor</t>
        </is>
      </c>
      <c r="H123" s="46" t="n">
        <v>0.75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DEV-00547</t>
        </is>
      </c>
      <c r="B124" s="27" t="inlineStr">
        <is>
          <t>Risk-adjusted synergy phasing and returns</t>
        </is>
      </c>
      <c r="C124" s="27" t="inlineStr">
        <is>
          <t>Synergy downside overlay</t>
        </is>
      </c>
      <c r="D124" s="27" t="inlineStr">
        <is>
          <t>Facilities</t>
        </is>
      </c>
      <c r="E124" s="27" t="inlineStr">
        <is>
          <t>IC downside</t>
        </is>
      </c>
      <c r="F124" s="27" t="inlineStr">
        <is>
          <t>Approved case</t>
        </is>
      </c>
      <c r="G124" s="27" t="inlineStr">
        <is>
          <t>Probability or magnitude factor</t>
        </is>
      </c>
      <c r="H124" s="46" t="n">
        <v>0.85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DEV-00548</t>
        </is>
      </c>
      <c r="B125" s="27" t="inlineStr">
        <is>
          <t>Risk-adjusted synergy phasing and returns</t>
        </is>
      </c>
      <c r="C125" s="27" t="inlineStr">
        <is>
          <t>Synergy downside overlay</t>
        </is>
      </c>
      <c r="D125" s="27" t="inlineStr">
        <is>
          <t>Back office</t>
        </is>
      </c>
      <c r="E125" s="27" t="inlineStr">
        <is>
          <t>IC downside</t>
        </is>
      </c>
      <c r="F125" s="27" t="inlineStr">
        <is>
          <t>Approved case</t>
        </is>
      </c>
      <c r="G125" s="27" t="inlineStr">
        <is>
          <t>Probability or magnitude factor</t>
        </is>
      </c>
      <c r="H125" s="46" t="n">
        <v>0.6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DEV-00549</t>
        </is>
      </c>
      <c r="B126" s="27" t="inlineStr">
        <is>
          <t>Risk-adjusted synergy phasing and returns</t>
        </is>
      </c>
      <c r="C126" s="27" t="inlineStr">
        <is>
          <t>Synergy downside overlay</t>
        </is>
      </c>
      <c r="D126" s="27" t="inlineStr">
        <is>
          <t>Cross-sell</t>
        </is>
      </c>
      <c r="E126" s="27" t="inlineStr">
        <is>
          <t>IC downside</t>
        </is>
      </c>
      <c r="F126" s="27" t="inlineStr">
        <is>
          <t>Approved case</t>
        </is>
      </c>
      <c r="G126" s="27" t="inlineStr">
        <is>
          <t>Probability or magnitude factor</t>
        </is>
      </c>
      <c r="H126" s="46" t="n">
        <v>0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DEV-00550</t>
        </is>
      </c>
      <c r="B127" s="27" t="inlineStr">
        <is>
          <t>Risk-adjusted synergy phasing and returns</t>
        </is>
      </c>
      <c r="C127" s="27" t="inlineStr">
        <is>
          <t>Synergy downside overlay</t>
        </is>
      </c>
      <c r="D127" s="27" t="inlineStr">
        <is>
          <t>Supplier dis-synergy</t>
        </is>
      </c>
      <c r="E127" s="27" t="inlineStr">
        <is>
          <t>IC downside</t>
        </is>
      </c>
      <c r="F127" s="27" t="inlineStr">
        <is>
          <t>Approved case</t>
        </is>
      </c>
      <c r="G127" s="27" t="inlineStr">
        <is>
          <t>Probability or magnitude factor</t>
        </is>
      </c>
      <c r="H127" s="46" t="n">
        <v>1.15</v>
      </c>
      <c r="I127" s="27" t="inlineStr"/>
      <c r="J127" s="27" t="inlineStr">
        <is>
          <t>decimal ratio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DEV-00551</t>
        </is>
      </c>
      <c r="B128" s="27" t="inlineStr">
        <is>
          <t>Risk-adjusted synergy phasing and returns</t>
        </is>
      </c>
      <c r="C128" s="27" t="inlineStr">
        <is>
          <t>Synergy downside policy</t>
        </is>
      </c>
      <c r="D128" s="27" t="inlineStr">
        <is>
          <t>Pioneer HVAC</t>
        </is>
      </c>
      <c r="E128" s="27" t="inlineStr">
        <is>
          <t>IC downside</t>
        </is>
      </c>
      <c r="F128" s="27" t="inlineStr">
        <is>
          <t>Approved case</t>
        </is>
      </c>
      <c r="G128" s="27" t="inlineStr">
        <is>
          <t>Additional Year 1 integration cost</t>
        </is>
      </c>
      <c r="H128" s="46" t="n">
        <v>640000</v>
      </c>
      <c r="I128" s="27" t="inlineStr"/>
      <c r="J128" s="27" t="inlineStr">
        <is>
          <t>USD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DEV-00552</t>
        </is>
      </c>
      <c r="B129" s="27" t="inlineStr">
        <is>
          <t>Risk-adjusted synergy phasing and returns</t>
        </is>
      </c>
      <c r="C129" s="27" t="inlineStr">
        <is>
          <t>Synergy downside policy</t>
        </is>
      </c>
      <c r="D129" s="27" t="inlineStr">
        <is>
          <t>Pioneer HVAC</t>
        </is>
      </c>
      <c r="E129" s="27" t="inlineStr">
        <is>
          <t>IC downside</t>
        </is>
      </c>
      <c r="F129" s="27" t="inlineStr">
        <is>
          <t>Approved case</t>
        </is>
      </c>
      <c r="G129" s="27" t="inlineStr">
        <is>
          <t>Downside exit EBITDA multiple</t>
        </is>
      </c>
      <c r="H129" s="46" t="n">
        <v>6.25</v>
      </c>
      <c r="I129" s="27" t="inlineStr"/>
      <c r="J129" s="27" t="inlineStr">
        <is>
          <t>multiple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DEV-00553</t>
        </is>
      </c>
      <c r="B130" s="27" t="inlineStr">
        <is>
          <t>Risk-adjusted synergy phasing and returns</t>
        </is>
      </c>
      <c r="C130" s="27" t="inlineStr">
        <is>
          <t>Synergy downside policy</t>
        </is>
      </c>
      <c r="D130" s="27" t="inlineStr">
        <is>
          <t>Pioneer HVAC</t>
        </is>
      </c>
      <c r="E130" s="27" t="inlineStr">
        <is>
          <t>IC downside</t>
        </is>
      </c>
      <c r="F130" s="27" t="inlineStr">
        <is>
          <t>Approved case</t>
        </is>
      </c>
      <c r="G130" s="27" t="inlineStr">
        <is>
          <t>Back office delay years</t>
        </is>
      </c>
      <c r="H130" s="46" t="n">
        <v>1</v>
      </c>
      <c r="I130" s="27" t="inlineStr"/>
      <c r="J130" s="27" t="inlineStr">
        <is>
          <t>years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DEV-00629</t>
        </is>
      </c>
      <c r="B131" s="27" t="inlineStr">
        <is>
          <t>Transaction-structure accretion and leverage</t>
        </is>
      </c>
      <c r="C131" s="27" t="inlineStr">
        <is>
          <t>Transaction structure inputs</t>
        </is>
      </c>
      <c r="D131" s="27" t="inlineStr">
        <is>
          <t>Pioneer HVAC</t>
        </is>
      </c>
      <c r="E131" s="27" t="inlineStr">
        <is>
          <t>Closing</t>
        </is>
      </c>
      <c r="F131" s="27" t="inlineStr">
        <is>
          <t>Approved case</t>
        </is>
      </c>
      <c r="G131" s="27" t="inlineStr">
        <is>
          <t>Buyer net income</t>
        </is>
      </c>
      <c r="H131" s="46" t="n">
        <v>8250000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DEV-00630</t>
        </is>
      </c>
      <c r="B132" s="27" t="inlineStr">
        <is>
          <t>Transaction-structure accretion and leverage</t>
        </is>
      </c>
      <c r="C132" s="27" t="inlineStr">
        <is>
          <t>Transaction structure inputs</t>
        </is>
      </c>
      <c r="D132" s="27" t="inlineStr">
        <is>
          <t>Pioneer HVAC</t>
        </is>
      </c>
      <c r="E132" s="27" t="inlineStr">
        <is>
          <t>Closing</t>
        </is>
      </c>
      <c r="F132" s="27" t="inlineStr">
        <is>
          <t>Approved case</t>
        </is>
      </c>
      <c r="G132" s="27" t="inlineStr">
        <is>
          <t>Buyer diluted shares</t>
        </is>
      </c>
      <c r="H132" s="46" t="n">
        <v>4500000</v>
      </c>
      <c r="I132" s="27" t="inlineStr"/>
      <c r="J132" s="27" t="inlineStr">
        <is>
          <t>shares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DEV-00631</t>
        </is>
      </c>
      <c r="B133" s="27" t="inlineStr">
        <is>
          <t>Transaction-structure accretion and leverage</t>
        </is>
      </c>
      <c r="C133" s="27" t="inlineStr">
        <is>
          <t>Transaction structure inputs</t>
        </is>
      </c>
      <c r="D133" s="27" t="inlineStr">
        <is>
          <t>Pioneer HVAC</t>
        </is>
      </c>
      <c r="E133" s="27" t="inlineStr">
        <is>
          <t>Closing</t>
        </is>
      </c>
      <c r="F133" s="27" t="inlineStr">
        <is>
          <t>Approved case</t>
        </is>
      </c>
      <c r="G133" s="27" t="inlineStr">
        <is>
          <t>Target adjusted net income</t>
        </is>
      </c>
      <c r="H133" s="46" t="n">
        <v>3050000</v>
      </c>
      <c r="I133" s="27" t="inlineStr"/>
      <c r="J133" s="27" t="inlineStr">
        <is>
          <t>USD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DEV-00632</t>
        </is>
      </c>
      <c r="B134" s="27" t="inlineStr">
        <is>
          <t>Transaction-structure accretion and leverage</t>
        </is>
      </c>
      <c r="C134" s="27" t="inlineStr">
        <is>
          <t>Transaction structure inputs</t>
        </is>
      </c>
      <c r="D134" s="27" t="inlineStr">
        <is>
          <t>Pioneer HVAC</t>
        </is>
      </c>
      <c r="E134" s="27" t="inlineStr">
        <is>
          <t>Closing</t>
        </is>
      </c>
      <c r="F134" s="27" t="inlineStr">
        <is>
          <t>Approved case</t>
        </is>
      </c>
      <c r="G134" s="27" t="inlineStr">
        <is>
          <t>Equity purchase price</t>
        </is>
      </c>
      <c r="H134" s="46" t="n">
        <v>34000</v>
      </c>
      <c r="I134" s="27" t="inlineStr"/>
      <c r="J134" s="27" t="inlineStr">
        <is>
          <t>USD thousands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DEV-00633</t>
        </is>
      </c>
      <c r="B135" s="27" t="inlineStr">
        <is>
          <t>Transaction-structure accretion and leverage</t>
        </is>
      </c>
      <c r="C135" s="27" t="inlineStr">
        <is>
          <t>Transaction structure inputs</t>
        </is>
      </c>
      <c r="D135" s="27" t="inlineStr">
        <is>
          <t>Pioneer HVAC</t>
        </is>
      </c>
      <c r="E135" s="27" t="inlineStr">
        <is>
          <t>Closing</t>
        </is>
      </c>
      <c r="F135" s="27" t="inlineStr">
        <is>
          <t>Approved case</t>
        </is>
      </c>
      <c r="G135" s="27" t="inlineStr">
        <is>
          <t>Cash available</t>
        </is>
      </c>
      <c r="H135" s="46" t="n">
        <v>8500000</v>
      </c>
      <c r="I135" s="27" t="inlineStr"/>
      <c r="J135" s="27" t="inlineStr">
        <is>
          <t>USD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DEV-00634</t>
        </is>
      </c>
      <c r="B136" s="27" t="inlineStr">
        <is>
          <t>Transaction-structure accretion and leverage</t>
        </is>
      </c>
      <c r="C136" s="27" t="inlineStr">
        <is>
          <t>Transaction structure inputs</t>
        </is>
      </c>
      <c r="D136" s="27" t="inlineStr">
        <is>
          <t>Pioneer HVAC</t>
        </is>
      </c>
      <c r="E136" s="27" t="inlineStr">
        <is>
          <t>Closing</t>
        </is>
      </c>
      <c r="F136" s="27" t="inlineStr">
        <is>
          <t>Approved case</t>
        </is>
      </c>
      <c r="G136" s="27" t="inlineStr">
        <is>
          <t>New debt rate</t>
        </is>
      </c>
      <c r="H136" s="46" t="n">
        <v>0.075</v>
      </c>
      <c r="I136" s="27" t="inlineStr"/>
      <c r="J136" s="27" t="inlineStr">
        <is>
          <t>decimal ratio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DEV-00635</t>
        </is>
      </c>
      <c r="B137" s="27" t="inlineStr">
        <is>
          <t>Transaction-structure accretion and leverage</t>
        </is>
      </c>
      <c r="C137" s="27" t="inlineStr">
        <is>
          <t>Transaction structure inputs</t>
        </is>
      </c>
      <c r="D137" s="27" t="inlineStr">
        <is>
          <t>Pioneer HVAC</t>
        </is>
      </c>
      <c r="E137" s="27" t="inlineStr">
        <is>
          <t>Closing</t>
        </is>
      </c>
      <c r="F137" s="27" t="inlineStr">
        <is>
          <t>Approved case</t>
        </is>
      </c>
      <c r="G137" s="27" t="inlineStr">
        <is>
          <t>Stock issue price</t>
        </is>
      </c>
      <c r="H137" s="46" t="n">
        <v>22.5</v>
      </c>
      <c r="I137" s="27" t="inlineStr"/>
      <c r="J137" s="27" t="inlineStr">
        <is>
          <t>USD per share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DEV-00636</t>
        </is>
      </c>
      <c r="B138" s="27" t="inlineStr">
        <is>
          <t>Transaction-structure accretion and leverage</t>
        </is>
      </c>
      <c r="C138" s="27" t="inlineStr">
        <is>
          <t>Transaction structure inputs</t>
        </is>
      </c>
      <c r="D138" s="27" t="inlineStr">
        <is>
          <t>Pioneer HVAC</t>
        </is>
      </c>
      <c r="E138" s="27" t="inlineStr">
        <is>
          <t>Closing</t>
        </is>
      </c>
      <c r="F138" s="27" t="inlineStr">
        <is>
          <t>Approved case</t>
        </is>
      </c>
      <c r="G138" s="27" t="inlineStr">
        <is>
          <t>Tax rate</t>
        </is>
      </c>
      <c r="H138" s="46" t="n">
        <v>0.26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DEV-00637</t>
        </is>
      </c>
      <c r="B139" s="27" t="inlineStr">
        <is>
          <t>Transaction-structure accretion and leverage</t>
        </is>
      </c>
      <c r="C139" s="27" t="inlineStr">
        <is>
          <t>Transaction structure inputs</t>
        </is>
      </c>
      <c r="D139" s="27" t="inlineStr">
        <is>
          <t>Pioneer HVAC</t>
        </is>
      </c>
      <c r="E139" s="27" t="inlineStr">
        <is>
          <t>Closing</t>
        </is>
      </c>
      <c r="F139" s="27" t="inlineStr">
        <is>
          <t>Approved case</t>
        </is>
      </c>
      <c r="G139" s="27" t="inlineStr">
        <is>
          <t>Earnout face value</t>
        </is>
      </c>
      <c r="H139" s="46" t="n">
        <v>5000000</v>
      </c>
      <c r="I139" s="27" t="inlineStr"/>
      <c r="J139" s="27" t="inlineStr">
        <is>
          <t>USD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DEV-00638</t>
        </is>
      </c>
      <c r="B140" s="27" t="inlineStr">
        <is>
          <t>Transaction-structure accretion and leverage</t>
        </is>
      </c>
      <c r="C140" s="27" t="inlineStr">
        <is>
          <t>Transaction structure inputs</t>
        </is>
      </c>
      <c r="D140" s="27" t="inlineStr">
        <is>
          <t>Pioneer HVAC</t>
        </is>
      </c>
      <c r="E140" s="27" t="inlineStr">
        <is>
          <t>Closing</t>
        </is>
      </c>
      <c r="F140" s="27" t="inlineStr">
        <is>
          <t>Approved case</t>
        </is>
      </c>
      <c r="G140" s="27" t="inlineStr">
        <is>
          <t>Earnout fair value</t>
        </is>
      </c>
      <c r="H140" s="46" t="n">
        <v>3600000</v>
      </c>
      <c r="I140" s="27" t="inlineStr"/>
      <c r="J140" s="27" t="inlineStr">
        <is>
          <t>USD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DEV-00639</t>
        </is>
      </c>
      <c r="B141" s="27" t="inlineStr">
        <is>
          <t>Transaction-structure accretion and leverage</t>
        </is>
      </c>
      <c r="C141" s="27" t="inlineStr">
        <is>
          <t>Transaction structure inputs</t>
        </is>
      </c>
      <c r="D141" s="27" t="inlineStr">
        <is>
          <t>Pioneer HVAC</t>
        </is>
      </c>
      <c r="E141" s="27" t="inlineStr">
        <is>
          <t>Closing</t>
        </is>
      </c>
      <c r="F141" s="27" t="inlineStr">
        <is>
          <t>Approved case</t>
        </is>
      </c>
      <c r="G141" s="27" t="inlineStr">
        <is>
          <t>Seller note</t>
        </is>
      </c>
      <c r="H141" s="46" t="n">
        <v>4000000</v>
      </c>
      <c r="I141" s="27" t="inlineStr"/>
      <c r="J141" s="27" t="inlineStr">
        <is>
          <t>USD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DEV-00640</t>
        </is>
      </c>
      <c r="B142" s="27" t="inlineStr">
        <is>
          <t>Transaction-structure accretion and leverage</t>
        </is>
      </c>
      <c r="C142" s="27" t="inlineStr">
        <is>
          <t>Transaction structure inputs</t>
        </is>
      </c>
      <c r="D142" s="27" t="inlineStr">
        <is>
          <t>Pioneer HVAC</t>
        </is>
      </c>
      <c r="E142" s="27" t="inlineStr">
        <is>
          <t>Closing</t>
        </is>
      </c>
      <c r="F142" s="27" t="inlineStr">
        <is>
          <t>Approved case</t>
        </is>
      </c>
      <c r="G142" s="27" t="inlineStr">
        <is>
          <t>Seller note rate</t>
        </is>
      </c>
      <c r="H142" s="46" t="n">
        <v>0.055</v>
      </c>
      <c r="I142" s="27" t="inlineStr"/>
      <c r="J142" s="27" t="inlineStr">
        <is>
          <t>decimal ratio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DEV-00641</t>
        </is>
      </c>
      <c r="B143" s="27" t="inlineStr">
        <is>
          <t>Transaction-structure accretion and leverage</t>
        </is>
      </c>
      <c r="C143" s="27" t="inlineStr">
        <is>
          <t>Transaction structure inputs</t>
        </is>
      </c>
      <c r="D143" s="27" t="inlineStr">
        <is>
          <t>Pioneer HVAC</t>
        </is>
      </c>
      <c r="E143" s="27" t="inlineStr">
        <is>
          <t>Closing</t>
        </is>
      </c>
      <c r="F143" s="27" t="inlineStr">
        <is>
          <t>Approved case</t>
        </is>
      </c>
      <c r="G143" s="27" t="inlineStr">
        <is>
          <t>Foregone cash yield</t>
        </is>
      </c>
      <c r="H143" s="46" t="n">
        <v>0.042</v>
      </c>
      <c r="I143" s="27" t="inlineStr"/>
      <c r="J143" s="27" t="inlineStr">
        <is>
          <t>decimal ratio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DEV-00642</t>
        </is>
      </c>
      <c r="B144" s="27" t="inlineStr">
        <is>
          <t>Transaction-structure accretion and leverage</t>
        </is>
      </c>
      <c r="C144" s="27" t="inlineStr">
        <is>
          <t>Transaction structure inputs</t>
        </is>
      </c>
      <c r="D144" s="27" t="inlineStr">
        <is>
          <t>Pioneer HVAC</t>
        </is>
      </c>
      <c r="E144" s="27" t="inlineStr">
        <is>
          <t>Closing</t>
        </is>
      </c>
      <c r="F144" s="27" t="inlineStr">
        <is>
          <t>Approved case</t>
        </is>
      </c>
      <c r="G144" s="27" t="inlineStr">
        <is>
          <t>Required minimum cash</t>
        </is>
      </c>
      <c r="H144" s="46" t="n">
        <v>3000000</v>
      </c>
      <c r="I144" s="27" t="inlineStr"/>
      <c r="J144" s="27" t="inlineStr">
        <is>
          <t>USD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DEV-00643</t>
        </is>
      </c>
      <c r="B145" s="27" t="inlineStr">
        <is>
          <t>Transaction-structure accretion and leverage</t>
        </is>
      </c>
      <c r="C145" s="27" t="inlineStr">
        <is>
          <t>Transaction structure inputs</t>
        </is>
      </c>
      <c r="D145" s="27" t="inlineStr">
        <is>
          <t>Pioneer HVAC</t>
        </is>
      </c>
      <c r="E145" s="27" t="inlineStr">
        <is>
          <t>Closing</t>
        </is>
      </c>
      <c r="F145" s="27" t="inlineStr">
        <is>
          <t>Approved case</t>
        </is>
      </c>
      <c r="G145" s="27" t="inlineStr">
        <is>
          <t>Maximum closing leverage</t>
        </is>
      </c>
      <c r="H145" s="46" t="n">
        <v>2.75</v>
      </c>
      <c r="I145" s="27" t="inlineStr"/>
      <c r="J145" s="27" t="inlineStr">
        <is>
          <t>multiple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DEV-00644</t>
        </is>
      </c>
      <c r="B146" s="27" t="inlineStr">
        <is>
          <t>Transaction-structure accretion and leverage</t>
        </is>
      </c>
      <c r="C146" s="27" t="inlineStr">
        <is>
          <t>Transaction structure inputs</t>
        </is>
      </c>
      <c r="D146" s="27" t="inlineStr">
        <is>
          <t>Pioneer HVAC</t>
        </is>
      </c>
      <c r="E146" s="27" t="inlineStr">
        <is>
          <t>Closing</t>
        </is>
      </c>
      <c r="F146" s="27" t="inlineStr">
        <is>
          <t>Approved case</t>
        </is>
      </c>
      <c r="G146" s="27" t="inlineStr">
        <is>
          <t>Combined covenant EBITDA</t>
        </is>
      </c>
      <c r="H146" s="46" t="n">
        <v>11800</v>
      </c>
      <c r="I146" s="27" t="inlineStr"/>
      <c r="J146" s="27" t="inlineStr">
        <is>
          <t>USD thousands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DEV-00645</t>
        </is>
      </c>
      <c r="B147" s="27" t="inlineStr">
        <is>
          <t>Transaction-structure accretion and leverage</t>
        </is>
      </c>
      <c r="C147" s="27" t="inlineStr">
        <is>
          <t>Financing structures</t>
        </is>
      </c>
      <c r="D147" s="27" t="inlineStr">
        <is>
          <t>Cash and debt</t>
        </is>
      </c>
      <c r="E147" s="27" t="inlineStr">
        <is>
          <t>Closing</t>
        </is>
      </c>
      <c r="F147" s="27" t="inlineStr">
        <is>
          <t>Approved case</t>
        </is>
      </c>
      <c r="G147" s="27" t="inlineStr">
        <is>
          <t>Cash funding</t>
        </is>
      </c>
      <c r="H147" s="46" t="n">
        <v>8500000</v>
      </c>
      <c r="I147" s="27" t="inlineStr"/>
      <c r="J147" s="27" t="inlineStr">
        <is>
          <t>USD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DEV-00646</t>
        </is>
      </c>
      <c r="B148" s="27" t="inlineStr">
        <is>
          <t>Transaction-structure accretion and leverage</t>
        </is>
      </c>
      <c r="C148" s="27" t="inlineStr">
        <is>
          <t>Financing structures</t>
        </is>
      </c>
      <c r="D148" s="27" t="inlineStr">
        <is>
          <t>Cash and debt</t>
        </is>
      </c>
      <c r="E148" s="27" t="inlineStr">
        <is>
          <t>Closing</t>
        </is>
      </c>
      <c r="F148" s="27" t="inlineStr">
        <is>
          <t>Approved case</t>
        </is>
      </c>
      <c r="G148" s="27" t="inlineStr">
        <is>
          <t>New debt funding</t>
        </is>
      </c>
      <c r="H148" s="46" t="n">
        <v>17900000</v>
      </c>
      <c r="I148" s="27" t="inlineStr"/>
      <c r="J148" s="27" t="inlineStr">
        <is>
          <t>USD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DEV-00647</t>
        </is>
      </c>
      <c r="B149" s="27" t="inlineStr">
        <is>
          <t>Transaction-structure accretion and leverage</t>
        </is>
      </c>
      <c r="C149" s="27" t="inlineStr">
        <is>
          <t>Financing structures</t>
        </is>
      </c>
      <c r="D149" s="27" t="inlineStr">
        <is>
          <t>Cash and debt</t>
        </is>
      </c>
      <c r="E149" s="27" t="inlineStr">
        <is>
          <t>Closing</t>
        </is>
      </c>
      <c r="F149" s="27" t="inlineStr">
        <is>
          <t>Approved case</t>
        </is>
      </c>
      <c r="G149" s="27" t="inlineStr">
        <is>
          <t>Stock consideration</t>
        </is>
      </c>
      <c r="H149" s="46" t="n">
        <v>0</v>
      </c>
      <c r="I149" s="27" t="inlineStr"/>
      <c r="J149" s="27" t="inlineStr">
        <is>
          <t>USD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DEV-00648</t>
        </is>
      </c>
      <c r="B150" s="27" t="inlineStr">
        <is>
          <t>Transaction-structure accretion and leverage</t>
        </is>
      </c>
      <c r="C150" s="27" t="inlineStr">
        <is>
          <t>Financing structures</t>
        </is>
      </c>
      <c r="D150" s="27" t="inlineStr">
        <is>
          <t>Cash and debt</t>
        </is>
      </c>
      <c r="E150" s="27" t="inlineStr">
        <is>
          <t>Closing</t>
        </is>
      </c>
      <c r="F150" s="27" t="inlineStr">
        <is>
          <t>Approved case</t>
        </is>
      </c>
      <c r="G150" s="27" t="inlineStr">
        <is>
          <t>Earnout fair value</t>
        </is>
      </c>
      <c r="H150" s="46" t="n">
        <v>3600</v>
      </c>
      <c r="I150" s="27" t="inlineStr"/>
      <c r="J150" s="27" t="inlineStr">
        <is>
          <t>USD thousands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DEV-00649</t>
        </is>
      </c>
      <c r="B151" s="27" t="inlineStr">
        <is>
          <t>Transaction-structure accretion and leverage</t>
        </is>
      </c>
      <c r="C151" s="27" t="inlineStr">
        <is>
          <t>Financing structures</t>
        </is>
      </c>
      <c r="D151" s="27" t="inlineStr">
        <is>
          <t>Balanced</t>
        </is>
      </c>
      <c r="E151" s="27" t="inlineStr">
        <is>
          <t>Closing</t>
        </is>
      </c>
      <c r="F151" s="27" t="inlineStr">
        <is>
          <t>Approved case</t>
        </is>
      </c>
      <c r="G151" s="27" t="inlineStr">
        <is>
          <t>Cash funding</t>
        </is>
      </c>
      <c r="H151" s="46" t="n">
        <v>6000000</v>
      </c>
      <c r="I151" s="27" t="inlineStr"/>
      <c r="J151" s="27" t="inlineStr">
        <is>
          <t>USD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DEV-00650</t>
        </is>
      </c>
      <c r="B152" s="27" t="inlineStr">
        <is>
          <t>Transaction-structure accretion and leverage</t>
        </is>
      </c>
      <c r="C152" s="27" t="inlineStr">
        <is>
          <t>Financing structures</t>
        </is>
      </c>
      <c r="D152" s="27" t="inlineStr">
        <is>
          <t>Balanced</t>
        </is>
      </c>
      <c r="E152" s="27" t="inlineStr">
        <is>
          <t>Closing</t>
        </is>
      </c>
      <c r="F152" s="27" t="inlineStr">
        <is>
          <t>Approved case</t>
        </is>
      </c>
      <c r="G152" s="27" t="inlineStr">
        <is>
          <t>New debt funding</t>
        </is>
      </c>
      <c r="H152" s="46" t="n">
        <v>8400000</v>
      </c>
      <c r="I152" s="27" t="inlineStr"/>
      <c r="J152" s="27" t="inlineStr">
        <is>
          <t>USD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DEV-00651</t>
        </is>
      </c>
      <c r="B153" s="27" t="inlineStr">
        <is>
          <t>Transaction-structure accretion and leverage</t>
        </is>
      </c>
      <c r="C153" s="27" t="inlineStr">
        <is>
          <t>Financing structures</t>
        </is>
      </c>
      <c r="D153" s="27" t="inlineStr">
        <is>
          <t>Balanced</t>
        </is>
      </c>
      <c r="E153" s="27" t="inlineStr">
        <is>
          <t>Closing</t>
        </is>
      </c>
      <c r="F153" s="27" t="inlineStr">
        <is>
          <t>Approved case</t>
        </is>
      </c>
      <c r="G153" s="27" t="inlineStr">
        <is>
          <t>Stock consideration</t>
        </is>
      </c>
      <c r="H153" s="46" t="n">
        <v>12000000</v>
      </c>
      <c r="I153" s="27" t="inlineStr"/>
      <c r="J153" s="27" t="inlineStr">
        <is>
          <t>USD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DEV-00652</t>
        </is>
      </c>
      <c r="B154" s="27" t="inlineStr">
        <is>
          <t>Transaction-structure accretion and leverage</t>
        </is>
      </c>
      <c r="C154" s="27" t="inlineStr">
        <is>
          <t>Financing structures</t>
        </is>
      </c>
      <c r="D154" s="27" t="inlineStr">
        <is>
          <t>Balanced</t>
        </is>
      </c>
      <c r="E154" s="27" t="inlineStr">
        <is>
          <t>Closing</t>
        </is>
      </c>
      <c r="F154" s="27" t="inlineStr">
        <is>
          <t>Approved case</t>
        </is>
      </c>
      <c r="G154" s="27" t="inlineStr">
        <is>
          <t>Earnout fair value</t>
        </is>
      </c>
      <c r="H154" s="46" t="n">
        <v>3600</v>
      </c>
      <c r="I154" s="27" t="inlineStr"/>
      <c r="J154" s="27" t="inlineStr">
        <is>
          <t>USD thousands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DEV-00653</t>
        </is>
      </c>
      <c r="B155" s="27" t="inlineStr">
        <is>
          <t>Transaction-structure accretion and leverage</t>
        </is>
      </c>
      <c r="C155" s="27" t="inlineStr">
        <is>
          <t>Financing structures</t>
        </is>
      </c>
      <c r="D155" s="27" t="inlineStr">
        <is>
          <t>Low leverage</t>
        </is>
      </c>
      <c r="E155" s="27" t="inlineStr">
        <is>
          <t>Closing</t>
        </is>
      </c>
      <c r="F155" s="27" t="inlineStr">
        <is>
          <t>Approved case</t>
        </is>
      </c>
      <c r="G155" s="27" t="inlineStr">
        <is>
          <t>Cash funding</t>
        </is>
      </c>
      <c r="H155" s="46" t="n">
        <v>5500000</v>
      </c>
      <c r="I155" s="27" t="inlineStr"/>
      <c r="J155" s="27" t="inlineStr">
        <is>
          <t>USD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DEV-00654</t>
        </is>
      </c>
      <c r="B156" s="27" t="inlineStr">
        <is>
          <t>Transaction-structure accretion and leverage</t>
        </is>
      </c>
      <c r="C156" s="27" t="inlineStr">
        <is>
          <t>Financing structures</t>
        </is>
      </c>
      <c r="D156" s="27" t="inlineStr">
        <is>
          <t>Low leverage</t>
        </is>
      </c>
      <c r="E156" s="27" t="inlineStr">
        <is>
          <t>Closing</t>
        </is>
      </c>
      <c r="F156" s="27" t="inlineStr">
        <is>
          <t>Approved case</t>
        </is>
      </c>
      <c r="G156" s="27" t="inlineStr">
        <is>
          <t>New debt funding</t>
        </is>
      </c>
      <c r="H156" s="46" t="n">
        <v>1900000</v>
      </c>
      <c r="I156" s="27" t="inlineStr"/>
      <c r="J156" s="27" t="inlineStr">
        <is>
          <t>USD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DEV-00655</t>
        </is>
      </c>
      <c r="B157" s="27" t="inlineStr">
        <is>
          <t>Transaction-structure accretion and leverage</t>
        </is>
      </c>
      <c r="C157" s="27" t="inlineStr">
        <is>
          <t>Financing structures</t>
        </is>
      </c>
      <c r="D157" s="27" t="inlineStr">
        <is>
          <t>Low leverage</t>
        </is>
      </c>
      <c r="E157" s="27" t="inlineStr">
        <is>
          <t>Closing</t>
        </is>
      </c>
      <c r="F157" s="27" t="inlineStr">
        <is>
          <t>Approved case</t>
        </is>
      </c>
      <c r="G157" s="27" t="inlineStr">
        <is>
          <t>Stock consideration</t>
        </is>
      </c>
      <c r="H157" s="46" t="n">
        <v>19000000</v>
      </c>
      <c r="I157" s="27" t="inlineStr"/>
      <c r="J157" s="27" t="inlineStr">
        <is>
          <t>USD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DEV-00656</t>
        </is>
      </c>
      <c r="B158" s="27" t="inlineStr">
        <is>
          <t>Transaction-structure accretion and leverage</t>
        </is>
      </c>
      <c r="C158" s="27" t="inlineStr">
        <is>
          <t>Financing structures</t>
        </is>
      </c>
      <c r="D158" s="27" t="inlineStr">
        <is>
          <t>Low leverage</t>
        </is>
      </c>
      <c r="E158" s="27" t="inlineStr">
        <is>
          <t>Closing</t>
        </is>
      </c>
      <c r="F158" s="27" t="inlineStr">
        <is>
          <t>Approved case</t>
        </is>
      </c>
      <c r="G158" s="27" t="inlineStr">
        <is>
          <t>Earnout fair value</t>
        </is>
      </c>
      <c r="H158" s="46" t="n">
        <v>3600</v>
      </c>
      <c r="I158" s="27" t="inlineStr"/>
      <c r="J158" s="27" t="inlineStr">
        <is>
          <t>USD thousands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DEV-00669</t>
        </is>
      </c>
      <c r="B159" s="27" t="inlineStr">
        <is>
          <t>Transaction-structure accretion and leverage</t>
        </is>
      </c>
      <c r="C159" s="27" t="inlineStr">
        <is>
          <t>Structure underwriting controls</t>
        </is>
      </c>
      <c r="D159" s="27" t="inlineStr">
        <is>
          <t>Cash and debt</t>
        </is>
      </c>
      <c r="E159" s="27" t="inlineStr">
        <is>
          <t>Closing</t>
        </is>
      </c>
      <c r="F159" s="27" t="inlineStr">
        <is>
          <t>Approved case</t>
        </is>
      </c>
      <c r="G159" s="27" t="inlineStr">
        <is>
          <t>Debt fee percent</t>
        </is>
      </c>
      <c r="H159" s="46" t="n">
        <v>0.018</v>
      </c>
      <c r="I159" s="27" t="inlineStr"/>
      <c r="J159" s="27" t="inlineStr">
        <is>
          <t>decimal ratio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DEV-00670</t>
        </is>
      </c>
      <c r="B160" s="27" t="inlineStr">
        <is>
          <t>Transaction-structure accretion and leverage</t>
        </is>
      </c>
      <c r="C160" s="27" t="inlineStr">
        <is>
          <t>Structure underwriting controls</t>
        </is>
      </c>
      <c r="D160" s="27" t="inlineStr">
        <is>
          <t>Cash and debt</t>
        </is>
      </c>
      <c r="E160" s="27" t="inlineStr">
        <is>
          <t>Closing</t>
        </is>
      </c>
      <c r="F160" s="27" t="inlineStr">
        <is>
          <t>Approved case</t>
        </is>
      </c>
      <c r="G160" s="27" t="inlineStr">
        <is>
          <t>Other transaction fee</t>
        </is>
      </c>
      <c r="H160" s="46" t="n">
        <v>180000</v>
      </c>
      <c r="I160" s="27" t="inlineStr"/>
      <c r="J160" s="27" t="inlineStr">
        <is>
          <t>USD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DEV-00671</t>
        </is>
      </c>
      <c r="B161" s="27" t="inlineStr">
        <is>
          <t>Transaction-structure accretion and leverage</t>
        </is>
      </c>
      <c r="C161" s="27" t="inlineStr">
        <is>
          <t>Structure underwriting controls</t>
        </is>
      </c>
      <c r="D161" s="27" t="inlineStr">
        <is>
          <t>Balanced</t>
        </is>
      </c>
      <c r="E161" s="27" t="inlineStr">
        <is>
          <t>Closing</t>
        </is>
      </c>
      <c r="F161" s="27" t="inlineStr">
        <is>
          <t>Approved case</t>
        </is>
      </c>
      <c r="G161" s="27" t="inlineStr">
        <is>
          <t>Debt fee percent</t>
        </is>
      </c>
      <c r="H161" s="46" t="n">
        <v>0.014</v>
      </c>
      <c r="I161" s="27" t="inlineStr"/>
      <c r="J161" s="27" t="inlineStr">
        <is>
          <t>decimal ratio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DEV-00672</t>
        </is>
      </c>
      <c r="B162" s="27" t="inlineStr">
        <is>
          <t>Transaction-structure accretion and leverage</t>
        </is>
      </c>
      <c r="C162" s="27" t="inlineStr">
        <is>
          <t>Structure underwriting controls</t>
        </is>
      </c>
      <c r="D162" s="27" t="inlineStr">
        <is>
          <t>Balanced</t>
        </is>
      </c>
      <c r="E162" s="27" t="inlineStr">
        <is>
          <t>Closing</t>
        </is>
      </c>
      <c r="F162" s="27" t="inlineStr">
        <is>
          <t>Approved case</t>
        </is>
      </c>
      <c r="G162" s="27" t="inlineStr">
        <is>
          <t>Other transaction fee</t>
        </is>
      </c>
      <c r="H162" s="46" t="n">
        <v>145</v>
      </c>
      <c r="I162" s="27" t="inlineStr"/>
      <c r="J162" s="27" t="inlineStr">
        <is>
          <t>USD thousands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DEV-00673</t>
        </is>
      </c>
      <c r="B163" s="27" t="inlineStr">
        <is>
          <t>Transaction-structure accretion and leverage</t>
        </is>
      </c>
      <c r="C163" s="27" t="inlineStr">
        <is>
          <t>Structure underwriting controls</t>
        </is>
      </c>
      <c r="D163" s="27" t="inlineStr">
        <is>
          <t>Low leverage</t>
        </is>
      </c>
      <c r="E163" s="27" t="inlineStr">
        <is>
          <t>Closing</t>
        </is>
      </c>
      <c r="F163" s="27" t="inlineStr">
        <is>
          <t>Approved case</t>
        </is>
      </c>
      <c r="G163" s="27" t="inlineStr">
        <is>
          <t>Debt fee percent</t>
        </is>
      </c>
      <c r="H163" s="46" t="n">
        <v>0.01</v>
      </c>
      <c r="I163" s="27" t="inlineStr"/>
      <c r="J163" s="27" t="inlineStr">
        <is>
          <t>decimal ratio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DEV-00674</t>
        </is>
      </c>
      <c r="B164" s="27" t="inlineStr">
        <is>
          <t>Transaction-structure accretion and leverage</t>
        </is>
      </c>
      <c r="C164" s="27" t="inlineStr">
        <is>
          <t>Structure underwriting controls</t>
        </is>
      </c>
      <c r="D164" s="27" t="inlineStr">
        <is>
          <t>Low leverage</t>
        </is>
      </c>
      <c r="E164" s="27" t="inlineStr">
        <is>
          <t>Closing</t>
        </is>
      </c>
      <c r="F164" s="27" t="inlineStr">
        <is>
          <t>Approved case</t>
        </is>
      </c>
      <c r="G164" s="27" t="inlineStr">
        <is>
          <t>Other transaction fee</t>
        </is>
      </c>
      <c r="H164" s="46" t="n">
        <v>110000</v>
      </c>
      <c r="I164" s="27" t="inlineStr"/>
      <c r="J164" s="27" t="inlineStr">
        <is>
          <t>USD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DEV-00675</t>
        </is>
      </c>
      <c r="B165" s="27" t="inlineStr">
        <is>
          <t>Transaction-structure accretion and leverage</t>
        </is>
      </c>
      <c r="C165" s="27" t="inlineStr">
        <is>
          <t>Transaction structure inputs</t>
        </is>
      </c>
      <c r="D165" s="27" t="inlineStr">
        <is>
          <t>Pioneer HVAC</t>
        </is>
      </c>
      <c r="E165" s="27" t="inlineStr">
        <is>
          <t>Hardened</t>
        </is>
      </c>
      <c r="F165" s="27" t="inlineStr">
        <is>
          <t>Approved case</t>
        </is>
      </c>
      <c r="G165" s="27" t="inlineStr">
        <is>
          <t>Existing funded debt</t>
        </is>
      </c>
      <c r="H165" s="46" t="n">
        <v>4650000</v>
      </c>
      <c r="I165" s="27" t="inlineStr"/>
      <c r="J165" s="27" t="inlineStr">
        <is>
          <t>USD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DEV-00676</t>
        </is>
      </c>
      <c r="B166" s="27" t="inlineStr">
        <is>
          <t>Transaction-structure accretion and leverage</t>
        </is>
      </c>
      <c r="C166" s="27" t="inlineStr">
        <is>
          <t>Transaction structure inputs</t>
        </is>
      </c>
      <c r="D166" s="27" t="inlineStr">
        <is>
          <t>Pioneer HVAC</t>
        </is>
      </c>
      <c r="E166" s="27" t="inlineStr">
        <is>
          <t>Hardened</t>
        </is>
      </c>
      <c r="F166" s="27" t="inlineStr">
        <is>
          <t>Approved case</t>
        </is>
      </c>
      <c r="G166" s="27" t="inlineStr">
        <is>
          <t>Annual new debt amortization</t>
        </is>
      </c>
      <c r="H166" s="46" t="n">
        <v>0.1</v>
      </c>
      <c r="I166" s="27" t="inlineStr"/>
      <c r="J166" s="27" t="inlineStr">
        <is>
          <t>decimal ratio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DEV-00677</t>
        </is>
      </c>
      <c r="B167" s="27" t="inlineStr">
        <is>
          <t>Transaction-structure accretion and leverage</t>
        </is>
      </c>
      <c r="C167" s="27" t="inlineStr">
        <is>
          <t>Transaction structure inputs</t>
        </is>
      </c>
      <c r="D167" s="27" t="inlineStr">
        <is>
          <t>Pioneer HVAC</t>
        </is>
      </c>
      <c r="E167" s="27" t="inlineStr">
        <is>
          <t>Hardened</t>
        </is>
      </c>
      <c r="F167" s="27" t="inlineStr">
        <is>
          <t>Approved case</t>
        </is>
      </c>
      <c r="G167" s="27" t="inlineStr">
        <is>
          <t>Downside target net income factor</t>
        </is>
      </c>
      <c r="H167" s="46" t="n">
        <v>0.68</v>
      </c>
      <c r="I167" s="27" t="inlineStr"/>
      <c r="J167" s="27" t="inlineStr">
        <is>
          <t>decimal ratio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DEV-00678</t>
        </is>
      </c>
      <c r="B168" s="27" t="inlineStr">
        <is>
          <t>Transaction-structure accretion and leverage</t>
        </is>
      </c>
      <c r="C168" s="27" t="inlineStr">
        <is>
          <t>Transaction structure inputs</t>
        </is>
      </c>
      <c r="D168" s="27" t="inlineStr">
        <is>
          <t>Pioneer HVAC</t>
        </is>
      </c>
      <c r="E168" s="27" t="inlineStr">
        <is>
          <t>Hardened</t>
        </is>
      </c>
      <c r="F168" s="27" t="inlineStr">
        <is>
          <t>Approved case</t>
        </is>
      </c>
      <c r="G168" s="27" t="inlineStr">
        <is>
          <t>Downside covenant EBITDA</t>
        </is>
      </c>
      <c r="H168" s="46" t="n">
        <v>8650000</v>
      </c>
      <c r="I168" s="27" t="inlineStr"/>
      <c r="J168" s="27" t="inlineStr">
        <is>
          <t>USD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DEV-00679</t>
        </is>
      </c>
      <c r="B169" s="27" t="inlineStr">
        <is>
          <t>Transaction-structure accretion and leverage</t>
        </is>
      </c>
      <c r="C169" s="27" t="inlineStr">
        <is>
          <t>Transaction structure inputs</t>
        </is>
      </c>
      <c r="D169" s="27" t="inlineStr">
        <is>
          <t>Pioneer HVAC</t>
        </is>
      </c>
      <c r="E169" s="27" t="inlineStr">
        <is>
          <t>Hardened</t>
        </is>
      </c>
      <c r="F169" s="27" t="inlineStr">
        <is>
          <t>Approved case</t>
        </is>
      </c>
      <c r="G169" s="27" t="inlineStr">
        <is>
          <t>Minimum debt service coverage</t>
        </is>
      </c>
      <c r="H169" s="46" t="n">
        <v>1.2</v>
      </c>
      <c r="I169" s="27" t="inlineStr"/>
      <c r="J169" s="27" t="inlineStr">
        <is>
          <t>multiple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DEV-00680</t>
        </is>
      </c>
      <c r="B170" s="27" t="inlineStr">
        <is>
          <t>Transaction-structure accretion and leverage</t>
        </is>
      </c>
      <c r="C170" s="27" t="inlineStr">
        <is>
          <t>Transaction structure inputs</t>
        </is>
      </c>
      <c r="D170" s="27" t="inlineStr">
        <is>
          <t>Pioneer HVAC</t>
        </is>
      </c>
      <c r="E170" s="27" t="inlineStr">
        <is>
          <t>Hardened</t>
        </is>
      </c>
      <c r="F170" s="27" t="inlineStr">
        <is>
          <t>Approved case</t>
        </is>
      </c>
      <c r="G170" s="27" t="inlineStr">
        <is>
          <t>Downside cash flow before acquisition debt service</t>
        </is>
      </c>
      <c r="H170" s="46" t="n">
        <v>3450</v>
      </c>
      <c r="I170" s="27" t="inlineStr"/>
      <c r="J170" s="27" t="inlineStr">
        <is>
          <t>USD thousands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DEV-00681</t>
        </is>
      </c>
      <c r="B171" s="27" t="inlineStr">
        <is>
          <t>Transaction-structure accretion and leverage</t>
        </is>
      </c>
      <c r="C171" s="27" t="inlineStr">
        <is>
          <t>Transaction structure inputs</t>
        </is>
      </c>
      <c r="D171" s="27" t="inlineStr">
        <is>
          <t>Pioneer HVAC</t>
        </is>
      </c>
      <c r="E171" s="27" t="inlineStr">
        <is>
          <t>Hardened</t>
        </is>
      </c>
      <c r="F171" s="27" t="inlineStr">
        <is>
          <t>Approved case</t>
        </is>
      </c>
      <c r="G171" s="27" t="inlineStr">
        <is>
          <t>Closing working capital release</t>
        </is>
      </c>
      <c r="H171" s="46" t="n">
        <v>450000</v>
      </c>
      <c r="I171" s="27" t="inlineStr"/>
      <c r="J171" s="27" t="inlineStr">
        <is>
          <t>USD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DEV-00750</t>
        </is>
      </c>
      <c r="B172" s="27" t="inlineStr">
        <is>
          <t>Create the Pioneer financing and downside IC memo</t>
        </is>
      </c>
      <c r="C172" s="27" t="inlineStr">
        <is>
          <t>Acquisition financing commitments</t>
        </is>
      </c>
      <c r="D172" s="27" t="inlineStr">
        <is>
          <t>Acquisition term loan</t>
        </is>
      </c>
      <c r="E172" s="27" t="inlineStr">
        <is>
          <t>Closing</t>
        </is>
      </c>
      <c r="F172" s="27" t="inlineStr">
        <is>
          <t>Approved case</t>
        </is>
      </c>
      <c r="G172" s="27" t="inlineStr">
        <is>
          <t>Commitment</t>
        </is>
      </c>
      <c r="H172" s="46" t="n">
        <v>18000000</v>
      </c>
      <c r="I172" s="27" t="inlineStr"/>
      <c r="J172" s="27" t="inlineStr">
        <is>
          <t>USD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DEV-00751</t>
        </is>
      </c>
      <c r="B173" s="27" t="inlineStr">
        <is>
          <t>Create the Pioneer financing and downside IC memo</t>
        </is>
      </c>
      <c r="C173" s="27" t="inlineStr">
        <is>
          <t>Acquisition financing commitments</t>
        </is>
      </c>
      <c r="D173" s="27" t="inlineStr">
        <is>
          <t>Acquisition term loan</t>
        </is>
      </c>
      <c r="E173" s="27" t="inlineStr">
        <is>
          <t>Closing</t>
        </is>
      </c>
      <c r="F173" s="27" t="inlineStr">
        <is>
          <t>Approved case</t>
        </is>
      </c>
      <c r="G173" s="27" t="inlineStr">
        <is>
          <t>Interest rate</t>
        </is>
      </c>
      <c r="H173" s="46" t="n">
        <v>0.0735</v>
      </c>
      <c r="I173" s="27" t="inlineStr"/>
      <c r="J173" s="27" t="inlineStr">
        <is>
          <t>decimal ratio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DEV-00752</t>
        </is>
      </c>
      <c r="B174" s="27" t="inlineStr">
        <is>
          <t>Create the Pioneer financing and downside IC memo</t>
        </is>
      </c>
      <c r="C174" s="27" t="inlineStr">
        <is>
          <t>Acquisition financing commitments</t>
        </is>
      </c>
      <c r="D174" s="27" t="inlineStr">
        <is>
          <t>Acquisition term loan</t>
        </is>
      </c>
      <c r="E174" s="27" t="inlineStr">
        <is>
          <t>Closing</t>
        </is>
      </c>
      <c r="F174" s="27" t="inlineStr">
        <is>
          <t>Approved case</t>
        </is>
      </c>
      <c r="G174" s="27" t="inlineStr">
        <is>
          <t>Upfront fee percent</t>
        </is>
      </c>
      <c r="H174" s="46" t="n">
        <v>0.02</v>
      </c>
      <c r="I174" s="27" t="inlineStr"/>
      <c r="J174" s="27" t="inlineStr">
        <is>
          <t>decimal ratio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DEV-00753</t>
        </is>
      </c>
      <c r="B175" s="27" t="inlineStr">
        <is>
          <t>Create the Pioneer financing and downside IC memo</t>
        </is>
      </c>
      <c r="C175" s="27" t="inlineStr">
        <is>
          <t>Acquisition financing commitments</t>
        </is>
      </c>
      <c r="D175" s="27" t="inlineStr">
        <is>
          <t>Acquisition term loan</t>
        </is>
      </c>
      <c r="E175" s="27" t="inlineStr">
        <is>
          <t>Closing</t>
        </is>
      </c>
      <c r="F175" s="27" t="inlineStr">
        <is>
          <t>Approved case</t>
        </is>
      </c>
      <c r="G175" s="27" t="inlineStr">
        <is>
          <t>Annual amortization percent</t>
        </is>
      </c>
      <c r="H175" s="46" t="n">
        <v>0.1</v>
      </c>
      <c r="I175" s="27" t="inlineStr"/>
      <c r="J175" s="27" t="inlineStr">
        <is>
          <t>decimal ratio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DEV-00754</t>
        </is>
      </c>
      <c r="B176" s="27" t="inlineStr">
        <is>
          <t>Create the Pioneer financing and downside IC memo</t>
        </is>
      </c>
      <c r="C176" s="27" t="inlineStr">
        <is>
          <t>Acquisition financing commitments</t>
        </is>
      </c>
      <c r="D176" s="27" t="inlineStr">
        <is>
          <t>Acquisition term loan</t>
        </is>
      </c>
      <c r="E176" s="27" t="inlineStr">
        <is>
          <t>Closing</t>
        </is>
      </c>
      <c r="F176" s="27" t="inlineStr">
        <is>
          <t>Approved case</t>
        </is>
      </c>
      <c r="G176" s="27" t="inlineStr">
        <is>
          <t>Term years</t>
        </is>
      </c>
      <c r="H176" s="46" t="n">
        <v>5</v>
      </c>
      <c r="I176" s="27" t="inlineStr"/>
      <c r="J176" s="27" t="inlineStr">
        <is>
          <t>years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DEV-00755</t>
        </is>
      </c>
      <c r="B177" s="27" t="inlineStr">
        <is>
          <t>Create the Pioneer financing and downside IC memo</t>
        </is>
      </c>
      <c r="C177" s="27" t="inlineStr">
        <is>
          <t>Acquisition financing commitments</t>
        </is>
      </c>
      <c r="D177" s="27" t="inlineStr">
        <is>
          <t>Committed acquisition facility</t>
        </is>
      </c>
      <c r="E177" s="27" t="inlineStr">
        <is>
          <t>Closing</t>
        </is>
      </c>
      <c r="F177" s="27" t="inlineStr">
        <is>
          <t>Approved case</t>
        </is>
      </c>
      <c r="G177" s="27" t="inlineStr">
        <is>
          <t>Commitment</t>
        </is>
      </c>
      <c r="H177" s="46" t="n">
        <v>12000000</v>
      </c>
      <c r="I177" s="27" t="inlineStr"/>
      <c r="J177" s="27" t="inlineStr">
        <is>
          <t>USD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DEV-00756</t>
        </is>
      </c>
      <c r="B178" s="27" t="inlineStr">
        <is>
          <t>Create the Pioneer financing and downside IC memo</t>
        </is>
      </c>
      <c r="C178" s="27" t="inlineStr">
        <is>
          <t>Acquisition financing commitments</t>
        </is>
      </c>
      <c r="D178" s="27" t="inlineStr">
        <is>
          <t>Committed acquisition facility</t>
        </is>
      </c>
      <c r="E178" s="27" t="inlineStr">
        <is>
          <t>Closing</t>
        </is>
      </c>
      <c r="F178" s="27" t="inlineStr">
        <is>
          <t>Approved case</t>
        </is>
      </c>
      <c r="G178" s="27" t="inlineStr">
        <is>
          <t>Interest rate</t>
        </is>
      </c>
      <c r="H178" s="46" t="n">
        <v>0.0825</v>
      </c>
      <c r="I178" s="27" t="inlineStr"/>
      <c r="J178" s="27" t="inlineStr">
        <is>
          <t>decimal ratio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DEV-00757</t>
        </is>
      </c>
      <c r="B179" s="27" t="inlineStr">
        <is>
          <t>Create the Pioneer financing and downside IC memo</t>
        </is>
      </c>
      <c r="C179" s="27" t="inlineStr">
        <is>
          <t>Acquisition financing commitments</t>
        </is>
      </c>
      <c r="D179" s="27" t="inlineStr">
        <is>
          <t>Committed acquisition facility</t>
        </is>
      </c>
      <c r="E179" s="27" t="inlineStr">
        <is>
          <t>Closing</t>
        </is>
      </c>
      <c r="F179" s="27" t="inlineStr">
        <is>
          <t>Approved case</t>
        </is>
      </c>
      <c r="G179" s="27" t="inlineStr">
        <is>
          <t>Upfront fee percent</t>
        </is>
      </c>
      <c r="H179" s="46" t="n">
        <v>0.015</v>
      </c>
      <c r="I179" s="27" t="inlineStr"/>
      <c r="J179" s="27" t="inlineStr">
        <is>
          <t>decimal ratio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DEV-00758</t>
        </is>
      </c>
      <c r="B180" s="27" t="inlineStr">
        <is>
          <t>Create the Pioneer financing and downside IC memo</t>
        </is>
      </c>
      <c r="C180" s="27" t="inlineStr">
        <is>
          <t>Acquisition financing commitments</t>
        </is>
      </c>
      <c r="D180" s="27" t="inlineStr">
        <is>
          <t>Committed acquisition facility</t>
        </is>
      </c>
      <c r="E180" s="27" t="inlineStr">
        <is>
          <t>Closing</t>
        </is>
      </c>
      <c r="F180" s="27" t="inlineStr">
        <is>
          <t>Approved case</t>
        </is>
      </c>
      <c r="G180" s="27" t="inlineStr">
        <is>
          <t>Annual amortization percent</t>
        </is>
      </c>
      <c r="H180" s="46" t="n">
        <v>0</v>
      </c>
      <c r="I180" s="27" t="inlineStr"/>
      <c r="J180" s="27" t="inlineStr">
        <is>
          <t>decimal ratio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DEV-00759</t>
        </is>
      </c>
      <c r="B181" s="27" t="inlineStr">
        <is>
          <t>Create the Pioneer financing and downside IC memo</t>
        </is>
      </c>
      <c r="C181" s="27" t="inlineStr">
        <is>
          <t>Acquisition financing commitments</t>
        </is>
      </c>
      <c r="D181" s="27" t="inlineStr">
        <is>
          <t>Committed acquisition facility</t>
        </is>
      </c>
      <c r="E181" s="27" t="inlineStr">
        <is>
          <t>Closing</t>
        </is>
      </c>
      <c r="F181" s="27" t="inlineStr">
        <is>
          <t>Approved case</t>
        </is>
      </c>
      <c r="G181" s="27" t="inlineStr">
        <is>
          <t>Term years</t>
        </is>
      </c>
      <c r="H181" s="46" t="n">
        <v>3</v>
      </c>
      <c r="I181" s="27" t="inlineStr"/>
      <c r="J181" s="27" t="inlineStr">
        <is>
          <t>years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DEV-00760</t>
        </is>
      </c>
      <c r="B182" s="27" t="inlineStr">
        <is>
          <t>Create the Pioneer financing and downside IC memo</t>
        </is>
      </c>
      <c r="C182" s="27" t="inlineStr">
        <is>
          <t>Acquisition financing commitments</t>
        </is>
      </c>
      <c r="D182" s="27" t="inlineStr">
        <is>
          <t>Seller note</t>
        </is>
      </c>
      <c r="E182" s="27" t="inlineStr">
        <is>
          <t>Closing</t>
        </is>
      </c>
      <c r="F182" s="27" t="inlineStr">
        <is>
          <t>Approved case</t>
        </is>
      </c>
      <c r="G182" s="27" t="inlineStr">
        <is>
          <t>Commitment</t>
        </is>
      </c>
      <c r="H182" s="46" t="n">
        <v>5000000</v>
      </c>
      <c r="I182" s="27" t="inlineStr"/>
      <c r="J182" s="27" t="inlineStr">
        <is>
          <t>USD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DEV-00761</t>
        </is>
      </c>
      <c r="B183" s="27" t="inlineStr">
        <is>
          <t>Create the Pioneer financing and downside IC memo</t>
        </is>
      </c>
      <c r="C183" s="27" t="inlineStr">
        <is>
          <t>Acquisition financing commitments</t>
        </is>
      </c>
      <c r="D183" s="27" t="inlineStr">
        <is>
          <t>Seller note</t>
        </is>
      </c>
      <c r="E183" s="27" t="inlineStr">
        <is>
          <t>Closing</t>
        </is>
      </c>
      <c r="F183" s="27" t="inlineStr">
        <is>
          <t>Approved case</t>
        </is>
      </c>
      <c r="G183" s="27" t="inlineStr">
        <is>
          <t>Interest rate</t>
        </is>
      </c>
      <c r="H183" s="46" t="n">
        <v>0.0575</v>
      </c>
      <c r="I183" s="27" t="inlineStr"/>
      <c r="J183" s="27" t="inlineStr">
        <is>
          <t>decimal ratio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DEV-00762</t>
        </is>
      </c>
      <c r="B184" s="27" t="inlineStr">
        <is>
          <t>Create the Pioneer financing and downside IC memo</t>
        </is>
      </c>
      <c r="C184" s="27" t="inlineStr">
        <is>
          <t>Acquisition financing commitments</t>
        </is>
      </c>
      <c r="D184" s="27" t="inlineStr">
        <is>
          <t>Seller note</t>
        </is>
      </c>
      <c r="E184" s="27" t="inlineStr">
        <is>
          <t>Closing</t>
        </is>
      </c>
      <c r="F184" s="27" t="inlineStr">
        <is>
          <t>Approved case</t>
        </is>
      </c>
      <c r="G184" s="27" t="inlineStr">
        <is>
          <t>Upfront fee percent</t>
        </is>
      </c>
      <c r="H184" s="46" t="n">
        <v>0</v>
      </c>
      <c r="I184" s="27" t="inlineStr"/>
      <c r="J184" s="27" t="inlineStr">
        <is>
          <t>decimal ratio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DEV-00763</t>
        </is>
      </c>
      <c r="B185" s="27" t="inlineStr">
        <is>
          <t>Create the Pioneer financing and downside IC memo</t>
        </is>
      </c>
      <c r="C185" s="27" t="inlineStr">
        <is>
          <t>Acquisition financing commitments</t>
        </is>
      </c>
      <c r="D185" s="27" t="inlineStr">
        <is>
          <t>Seller note</t>
        </is>
      </c>
      <c r="E185" s="27" t="inlineStr">
        <is>
          <t>Closing</t>
        </is>
      </c>
      <c r="F185" s="27" t="inlineStr">
        <is>
          <t>Approved case</t>
        </is>
      </c>
      <c r="G185" s="27" t="inlineStr">
        <is>
          <t>Annual amortization percent</t>
        </is>
      </c>
      <c r="H185" s="46" t="n">
        <v>0.05</v>
      </c>
      <c r="I185" s="27" t="inlineStr"/>
      <c r="J185" s="27" t="inlineStr">
        <is>
          <t>decimal ratio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DEV-00764</t>
        </is>
      </c>
      <c r="B186" s="27" t="inlineStr">
        <is>
          <t>Create the Pioneer financing and downside IC memo</t>
        </is>
      </c>
      <c r="C186" s="27" t="inlineStr">
        <is>
          <t>Acquisition financing commitments</t>
        </is>
      </c>
      <c r="D186" s="27" t="inlineStr">
        <is>
          <t>Seller note</t>
        </is>
      </c>
      <c r="E186" s="27" t="inlineStr">
        <is>
          <t>Closing</t>
        </is>
      </c>
      <c r="F186" s="27" t="inlineStr">
        <is>
          <t>Approved case</t>
        </is>
      </c>
      <c r="G186" s="27" t="inlineStr">
        <is>
          <t>Term years</t>
        </is>
      </c>
      <c r="H186" s="46" t="n">
        <v>5</v>
      </c>
      <c r="I186" s="27" t="inlineStr"/>
      <c r="J186" s="27" t="inlineStr">
        <is>
          <t>years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DEV-00765</t>
        </is>
      </c>
      <c r="B187" s="27" t="inlineStr">
        <is>
          <t>Create the Pioneer financing and downside IC memo</t>
        </is>
      </c>
      <c r="C187" s="27" t="inlineStr">
        <is>
          <t>Acquisition financing cases</t>
        </is>
      </c>
      <c r="D187" s="27" t="inlineStr">
        <is>
          <t>Combined company</t>
        </is>
      </c>
      <c r="E187" s="27" t="inlineStr">
        <is>
          <t>Base</t>
        </is>
      </c>
      <c r="F187" s="27" t="inlineStr">
        <is>
          <t>Approved case</t>
        </is>
      </c>
      <c r="G187" s="27" t="inlineStr">
        <is>
          <t>Covenant EBITDA</t>
        </is>
      </c>
      <c r="H187" s="46" t="n">
        <v>11800</v>
      </c>
      <c r="I187" s="27" t="inlineStr"/>
      <c r="J187" s="27" t="inlineStr">
        <is>
          <t>USD thousands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DEV-00766</t>
        </is>
      </c>
      <c r="B188" s="27" t="inlineStr">
        <is>
          <t>Create the Pioneer financing and downside IC memo</t>
        </is>
      </c>
      <c r="C188" s="27" t="inlineStr">
        <is>
          <t>Acquisition financing cases</t>
        </is>
      </c>
      <c r="D188" s="27" t="inlineStr">
        <is>
          <t>Combined company</t>
        </is>
      </c>
      <c r="E188" s="27" t="inlineStr">
        <is>
          <t>Base</t>
        </is>
      </c>
      <c r="F188" s="27" t="inlineStr">
        <is>
          <t>Approved case</t>
        </is>
      </c>
      <c r="G188" s="27" t="inlineStr">
        <is>
          <t>Free cash flow before debt service</t>
        </is>
      </c>
      <c r="H188" s="46" t="n">
        <v>4200000</v>
      </c>
      <c r="I188" s="27" t="inlineStr"/>
      <c r="J188" s="27" t="inlineStr">
        <is>
          <t>USD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DEV-00767</t>
        </is>
      </c>
      <c r="B189" s="27" t="inlineStr">
        <is>
          <t>Create the Pioneer financing and downside IC memo</t>
        </is>
      </c>
      <c r="C189" s="27" t="inlineStr">
        <is>
          <t>Acquisition financing cases</t>
        </is>
      </c>
      <c r="D189" s="27" t="inlineStr">
        <is>
          <t>Combined company</t>
        </is>
      </c>
      <c r="E189" s="27" t="inlineStr">
        <is>
          <t>Base</t>
        </is>
      </c>
      <c r="F189" s="27" t="inlineStr">
        <is>
          <t>Approved case</t>
        </is>
      </c>
      <c r="G189" s="27" t="inlineStr">
        <is>
          <t>Minimum cash requirement</t>
        </is>
      </c>
      <c r="H189" s="46" t="n">
        <v>2600000</v>
      </c>
      <c r="I189" s="27" t="inlineStr"/>
      <c r="J189" s="27" t="inlineStr">
        <is>
          <t>USD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DEV-00768</t>
        </is>
      </c>
      <c r="B190" s="27" t="inlineStr">
        <is>
          <t>Create the Pioneer financing and downside IC memo</t>
        </is>
      </c>
      <c r="C190" s="27" t="inlineStr">
        <is>
          <t>Acquisition financing cases</t>
        </is>
      </c>
      <c r="D190" s="27" t="inlineStr">
        <is>
          <t>Combined company</t>
        </is>
      </c>
      <c r="E190" s="27" t="inlineStr">
        <is>
          <t>Downside</t>
        </is>
      </c>
      <c r="F190" s="27" t="inlineStr">
        <is>
          <t>Approved case</t>
        </is>
      </c>
      <c r="G190" s="27" t="inlineStr">
        <is>
          <t>Covenant EBITDA</t>
        </is>
      </c>
      <c r="H190" s="46" t="n">
        <v>8950000</v>
      </c>
      <c r="I190" s="27" t="inlineStr"/>
      <c r="J190" s="27" t="inlineStr">
        <is>
          <t>USD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DEV-00769</t>
        </is>
      </c>
      <c r="B191" s="27" t="inlineStr">
        <is>
          <t>Create the Pioneer financing and downside IC memo</t>
        </is>
      </c>
      <c r="C191" s="27" t="inlineStr">
        <is>
          <t>Acquisition financing cases</t>
        </is>
      </c>
      <c r="D191" s="27" t="inlineStr">
        <is>
          <t>Combined company</t>
        </is>
      </c>
      <c r="E191" s="27" t="inlineStr">
        <is>
          <t>Downside</t>
        </is>
      </c>
      <c r="F191" s="27" t="inlineStr">
        <is>
          <t>Approved case</t>
        </is>
      </c>
      <c r="G191" s="27" t="inlineStr">
        <is>
          <t>Free cash flow before debt service</t>
        </is>
      </c>
      <c r="H191" s="46" t="n">
        <v>3350</v>
      </c>
      <c r="I191" s="27" t="inlineStr"/>
      <c r="J191" s="27" t="inlineStr">
        <is>
          <t>USD thousands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DEV-00770</t>
        </is>
      </c>
      <c r="B192" s="27" t="inlineStr">
        <is>
          <t>Create the Pioneer financing and downside IC memo</t>
        </is>
      </c>
      <c r="C192" s="27" t="inlineStr">
        <is>
          <t>Acquisition financing cases</t>
        </is>
      </c>
      <c r="D192" s="27" t="inlineStr">
        <is>
          <t>Combined company</t>
        </is>
      </c>
      <c r="E192" s="27" t="inlineStr">
        <is>
          <t>Downside</t>
        </is>
      </c>
      <c r="F192" s="27" t="inlineStr">
        <is>
          <t>Approved case</t>
        </is>
      </c>
      <c r="G192" s="27" t="inlineStr">
        <is>
          <t>Minimum cash requirement</t>
        </is>
      </c>
      <c r="H192" s="46" t="n">
        <v>3150000</v>
      </c>
      <c r="I192" s="27" t="inlineStr"/>
      <c r="J192" s="27" t="inlineStr">
        <is>
          <t>USD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DEV-00771</t>
        </is>
      </c>
      <c r="B193" s="27" t="inlineStr">
        <is>
          <t>Create the Pioneer financing and downside IC memo</t>
        </is>
      </c>
      <c r="C193" s="27" t="inlineStr">
        <is>
          <t>Acquisition financing policy</t>
        </is>
      </c>
      <c r="D193" s="27" t="inlineStr">
        <is>
          <t>Pioneer HVAC</t>
        </is>
      </c>
      <c r="E193" s="27" t="inlineStr">
        <is>
          <t>IC case</t>
        </is>
      </c>
      <c r="F193" s="27" t="inlineStr">
        <is>
          <t>Approved case</t>
        </is>
      </c>
      <c r="G193" s="27" t="inlineStr">
        <is>
          <t>Purchase and transaction uses</t>
        </is>
      </c>
      <c r="H193" s="46" t="n">
        <v>36500000</v>
      </c>
      <c r="I193" s="27" t="inlineStr"/>
      <c r="J193" s="27" t="inlineStr">
        <is>
          <t>USD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DEV-00772</t>
        </is>
      </c>
      <c r="B194" s="27" t="inlineStr">
        <is>
          <t>Create the Pioneer financing and downside IC memo</t>
        </is>
      </c>
      <c r="C194" s="27" t="inlineStr">
        <is>
          <t>Acquisition financing policy</t>
        </is>
      </c>
      <c r="D194" s="27" t="inlineStr">
        <is>
          <t>Pioneer HVAC</t>
        </is>
      </c>
      <c r="E194" s="27" t="inlineStr">
        <is>
          <t>IC case</t>
        </is>
      </c>
      <c r="F194" s="27" t="inlineStr">
        <is>
          <t>Approved case</t>
        </is>
      </c>
      <c r="G194" s="27" t="inlineStr">
        <is>
          <t>Buyer cash contribution</t>
        </is>
      </c>
      <c r="H194" s="46" t="n">
        <v>5500000</v>
      </c>
      <c r="I194" s="27" t="inlineStr"/>
      <c r="J194" s="27" t="inlineStr">
        <is>
          <t>USD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DEV-00773</t>
        </is>
      </c>
      <c r="B195" s="27" t="inlineStr">
        <is>
          <t>Create the Pioneer financing and downside IC memo</t>
        </is>
      </c>
      <c r="C195" s="27" t="inlineStr">
        <is>
          <t>Acquisition financing policy</t>
        </is>
      </c>
      <c r="D195" s="27" t="inlineStr">
        <is>
          <t>Pioneer HVAC</t>
        </is>
      </c>
      <c r="E195" s="27" t="inlineStr">
        <is>
          <t>IC case</t>
        </is>
      </c>
      <c r="F195" s="27" t="inlineStr">
        <is>
          <t>Approved case</t>
        </is>
      </c>
      <c r="G195" s="27" t="inlineStr">
        <is>
          <t>Maximum leverage</t>
        </is>
      </c>
      <c r="H195" s="46" t="n">
        <v>3.25</v>
      </c>
      <c r="I195" s="27" t="inlineStr"/>
      <c r="J195" s="27" t="inlineStr">
        <is>
          <t>multiple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DEV-00774</t>
        </is>
      </c>
      <c r="B196" s="27" t="inlineStr">
        <is>
          <t>Create the Pioneer financing and downside IC memo</t>
        </is>
      </c>
      <c r="C196" s="27" t="inlineStr">
        <is>
          <t>Acquisition financing policy</t>
        </is>
      </c>
      <c r="D196" s="27" t="inlineStr">
        <is>
          <t>Pioneer HVAC</t>
        </is>
      </c>
      <c r="E196" s="27" t="inlineStr">
        <is>
          <t>IC case</t>
        </is>
      </c>
      <c r="F196" s="27" t="inlineStr">
        <is>
          <t>Approved case</t>
        </is>
      </c>
      <c r="G196" s="27" t="inlineStr">
        <is>
          <t>Minimum debt service coverage</t>
        </is>
      </c>
      <c r="H196" s="46" t="n">
        <v>1.25</v>
      </c>
      <c r="I196" s="27" t="inlineStr"/>
      <c r="J196" s="27" t="inlineStr">
        <is>
          <t>multiple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DEV-00775</t>
        </is>
      </c>
      <c r="B197" s="27" t="inlineStr">
        <is>
          <t>Create the Pioneer financing and downside IC memo</t>
        </is>
      </c>
      <c r="C197" s="27" t="inlineStr">
        <is>
          <t>Acquisition financing policy</t>
        </is>
      </c>
      <c r="D197" s="27" t="inlineStr">
        <is>
          <t>Pioneer HVAC</t>
        </is>
      </c>
      <c r="E197" s="27" t="inlineStr">
        <is>
          <t>IC case</t>
        </is>
      </c>
      <c r="F197" s="27" t="inlineStr">
        <is>
          <t>Approved case</t>
        </is>
      </c>
      <c r="G197" s="27" t="inlineStr">
        <is>
          <t>Opening unrestricted cash</t>
        </is>
      </c>
      <c r="H197" s="46" t="n">
        <v>6100000</v>
      </c>
      <c r="I197" s="27" t="inlineStr"/>
      <c r="J197" s="27" t="inlineStr">
        <is>
          <t>USD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DEV-00776</t>
        </is>
      </c>
      <c r="B198" s="27" t="inlineStr">
        <is>
          <t>Create the Pioneer financing and downside IC memo</t>
        </is>
      </c>
      <c r="C198" s="27" t="inlineStr">
        <is>
          <t>Acquisition financing policy</t>
        </is>
      </c>
      <c r="D198" s="27" t="inlineStr">
        <is>
          <t>Pioneer HVAC</t>
        </is>
      </c>
      <c r="E198" s="27" t="inlineStr">
        <is>
          <t>IC case</t>
        </is>
      </c>
      <c r="F198" s="27" t="inlineStr">
        <is>
          <t>Approved case</t>
        </is>
      </c>
      <c r="G198" s="27" t="inlineStr">
        <is>
          <t>Integration reserve</t>
        </is>
      </c>
      <c r="H198" s="46" t="n">
        <v>1800000</v>
      </c>
      <c r="I198" s="27" t="inlineStr"/>
      <c r="J198" s="27" t="inlineStr">
        <is>
          <t>USD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DEV-00777</t>
        </is>
      </c>
      <c r="B199" s="27" t="inlineStr">
        <is>
          <t>Create the Pioneer financing and downside IC memo</t>
        </is>
      </c>
      <c r="C199" s="27" t="inlineStr">
        <is>
          <t>Acquisition financing policy</t>
        </is>
      </c>
      <c r="D199" s="27" t="inlineStr">
        <is>
          <t>Alder Ridge</t>
        </is>
      </c>
      <c r="E199" s="27" t="inlineStr">
        <is>
          <t>2026-06-30</t>
        </is>
      </c>
      <c r="F199" s="27" t="inlineStr">
        <is>
          <t>Approved case</t>
        </is>
      </c>
      <c r="G199" s="27" t="inlineStr">
        <is>
          <t>Posted existing funded debt</t>
        </is>
      </c>
      <c r="H199" s="46" t="n">
        <v>1</v>
      </c>
      <c r="I199" s="27" t="inlineStr"/>
      <c r="J199" s="27" t="inlineStr">
        <is>
          <t>ledger allocation factor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>
        <is>
          <t>Vista ERP balance sheet as of 2026-06-30; accounts 2200, 2210, and 2300</t>
        </is>
      </c>
    </row>
    <row r="200">
      <c r="A200" s="36" t="inlineStr">
        <is>
          <t>DEV-00792</t>
        </is>
      </c>
      <c r="B200" s="27" t="inlineStr">
        <is>
          <t>Create the Pioneer financing and downside IC memo</t>
        </is>
      </c>
      <c r="C200" s="27" t="inlineStr">
        <is>
          <t>Acquisition financing stress</t>
        </is>
      </c>
      <c r="D200" s="27" t="inlineStr">
        <is>
          <t>Acquisition term loan</t>
        </is>
      </c>
      <c r="E200" s="27" t="inlineStr">
        <is>
          <t>Downside</t>
        </is>
      </c>
      <c r="F200" s="27" t="inlineStr">
        <is>
          <t>Approved case</t>
        </is>
      </c>
      <c r="G200" s="27" t="inlineStr">
        <is>
          <t>Interest rate shock</t>
        </is>
      </c>
      <c r="H200" s="46" t="n">
        <v>0.0175</v>
      </c>
      <c r="I200" s="27" t="inlineStr"/>
      <c r="J200" s="27" t="inlineStr">
        <is>
          <t>decimal ratio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DEV-00793</t>
        </is>
      </c>
      <c r="B201" s="27" t="inlineStr">
        <is>
          <t>Create the Pioneer financing and downside IC memo</t>
        </is>
      </c>
      <c r="C201" s="27" t="inlineStr">
        <is>
          <t>Acquisition financing stress</t>
        </is>
      </c>
      <c r="D201" s="27" t="inlineStr">
        <is>
          <t>Committed acquisition facility</t>
        </is>
      </c>
      <c r="E201" s="27" t="inlineStr">
        <is>
          <t>Downside</t>
        </is>
      </c>
      <c r="F201" s="27" t="inlineStr">
        <is>
          <t>Approved case</t>
        </is>
      </c>
      <c r="G201" s="27" t="inlineStr">
        <is>
          <t>Interest rate shock</t>
        </is>
      </c>
      <c r="H201" s="46" t="n">
        <v>0.0225</v>
      </c>
      <c r="I201" s="27" t="inlineStr"/>
      <c r="J201" s="27" t="inlineStr">
        <is>
          <t>decimal ratio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DEV-00794</t>
        </is>
      </c>
      <c r="B202" s="27" t="inlineStr">
        <is>
          <t>Create the Pioneer financing and downside IC memo</t>
        </is>
      </c>
      <c r="C202" s="27" t="inlineStr">
        <is>
          <t>Acquisition financing stress</t>
        </is>
      </c>
      <c r="D202" s="27" t="inlineStr">
        <is>
          <t>Seller note</t>
        </is>
      </c>
      <c r="E202" s="27" t="inlineStr">
        <is>
          <t>Downside</t>
        </is>
      </c>
      <c r="F202" s="27" t="inlineStr">
        <is>
          <t>Approved case</t>
        </is>
      </c>
      <c r="G202" s="27" t="inlineStr">
        <is>
          <t>Interest rate shock</t>
        </is>
      </c>
      <c r="H202" s="46" t="n">
        <v>0</v>
      </c>
      <c r="I202" s="27" t="inlineStr"/>
      <c r="J202" s="27" t="inlineStr">
        <is>
          <t>decimal ratio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DEV-00795</t>
        </is>
      </c>
      <c r="B203" s="27" t="inlineStr">
        <is>
          <t>Create the Pioneer financing and downside IC memo</t>
        </is>
      </c>
      <c r="C203" s="27" t="inlineStr">
        <is>
          <t>Acquisition financing stress</t>
        </is>
      </c>
      <c r="D203" s="27" t="inlineStr">
        <is>
          <t>Combined company</t>
        </is>
      </c>
      <c r="E203" s="27" t="inlineStr">
        <is>
          <t>Year 2</t>
        </is>
      </c>
      <c r="F203" s="27" t="inlineStr">
        <is>
          <t>Approved case</t>
        </is>
      </c>
      <c r="G203" s="27" t="inlineStr">
        <is>
          <t>Year 2 integration working capital burn</t>
        </is>
      </c>
      <c r="H203" s="46" t="n">
        <v>850</v>
      </c>
      <c r="I203" s="27" t="inlineStr"/>
      <c r="J203" s="27" t="inlineStr">
        <is>
          <t>USD thousands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DEV-00796</t>
        </is>
      </c>
      <c r="B204" s="27" t="inlineStr">
        <is>
          <t>Create the Pioneer financing and downside IC memo</t>
        </is>
      </c>
      <c r="C204" s="27" t="inlineStr">
        <is>
          <t>Acquisition financing stress</t>
        </is>
      </c>
      <c r="D204" s="27" t="inlineStr">
        <is>
          <t>Combined company</t>
        </is>
      </c>
      <c r="E204" s="27" t="inlineStr">
        <is>
          <t>Year 2</t>
        </is>
      </c>
      <c r="F204" s="27" t="inlineStr">
        <is>
          <t>Approved case</t>
        </is>
      </c>
      <c r="G204" s="27" t="inlineStr">
        <is>
          <t>Year 2 free cash flow before debt service</t>
        </is>
      </c>
      <c r="H204" s="46" t="n">
        <v>3650000</v>
      </c>
      <c r="I204" s="27" t="inlineStr"/>
      <c r="J204" s="27" t="inlineStr">
        <is>
          <t>USD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DEV-00797</t>
        </is>
      </c>
      <c r="B205" s="27" t="inlineStr">
        <is>
          <t>Create the Pioneer financing and downside IC memo</t>
        </is>
      </c>
      <c r="C205" s="27" t="inlineStr">
        <is>
          <t>Acquisition financing stress</t>
        </is>
      </c>
      <c r="D205" s="27" t="inlineStr">
        <is>
          <t>Combined company</t>
        </is>
      </c>
      <c r="E205" s="27" t="inlineStr">
        <is>
          <t>Year 2</t>
        </is>
      </c>
      <c r="F205" s="27" t="inlineStr">
        <is>
          <t>Approved case</t>
        </is>
      </c>
      <c r="G205" s="27" t="inlineStr">
        <is>
          <t>Revolver backstop commitment</t>
        </is>
      </c>
      <c r="H205" s="46" t="n">
        <v>4000000</v>
      </c>
      <c r="I205" s="27" t="inlineStr"/>
      <c r="J205" s="27" t="inlineStr">
        <is>
          <t>USD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DEV-00798</t>
        </is>
      </c>
      <c r="B206" s="27" t="inlineStr">
        <is>
          <t>Create the Pioneer financing and downside IC memo</t>
        </is>
      </c>
      <c r="C206" s="27" t="inlineStr">
        <is>
          <t>Acquisition financing stress</t>
        </is>
      </c>
      <c r="D206" s="27" t="inlineStr">
        <is>
          <t>Combined company</t>
        </is>
      </c>
      <c r="E206" s="27" t="inlineStr">
        <is>
          <t>Year 2</t>
        </is>
      </c>
      <c r="F206" s="27" t="inlineStr">
        <is>
          <t>Approved case</t>
        </is>
      </c>
      <c r="G206" s="27" t="inlineStr">
        <is>
          <t>Minimum Year 2 cash</t>
        </is>
      </c>
      <c r="H206" s="46" t="n">
        <v>2750000</v>
      </c>
      <c r="I206" s="27" t="inlineStr"/>
      <c r="J206" s="27" t="inlineStr">
        <is>
          <t>USD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</sheetData>
  <autoFilter ref="A4:M206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Carveout and Integration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DEV-00357</t>
        </is>
      </c>
      <c r="B5" s="27" t="inlineStr">
        <is>
          <t>Service division divestiture carve-out</t>
        </is>
      </c>
      <c r="C5" s="27" t="inlineStr">
        <is>
          <t>Carve-out adjustments</t>
        </is>
      </c>
      <c r="D5" s="27" t="inlineStr">
        <is>
          <t>Corporate IT replacement cost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Standalone EBITDA adjustment</t>
        </is>
      </c>
      <c r="H5" s="46" t="n">
        <v>-420000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DEV-00358</t>
        </is>
      </c>
      <c r="B6" s="27" t="inlineStr">
        <is>
          <t>Service division divestiture carve-out</t>
        </is>
      </c>
      <c r="C6" s="27" t="inlineStr">
        <is>
          <t>Carve-out adjustments</t>
        </is>
      </c>
      <c r="D6" s="27" t="inlineStr">
        <is>
          <t>Standalone HR and finance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Standalone EBITDA adjustment</t>
        </is>
      </c>
      <c r="H6" s="46" t="n">
        <v>-610000</v>
      </c>
      <c r="I6" s="27" t="inlineStr"/>
      <c r="J6" s="27" t="inlineStr">
        <is>
          <t>USD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DEV-00359</t>
        </is>
      </c>
      <c r="B7" s="27" t="inlineStr">
        <is>
          <t>Service division divestiture carve-out</t>
        </is>
      </c>
      <c r="C7" s="27" t="inlineStr">
        <is>
          <t>Carve-out adjustments</t>
        </is>
      </c>
      <c r="D7" s="27" t="inlineStr">
        <is>
          <t>Eliminate allocated CEO cost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Standalone EBITDA adjustment</t>
        </is>
      </c>
      <c r="H7" s="46" t="n">
        <v>280000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DEV-00360</t>
        </is>
      </c>
      <c r="B8" s="27" t="inlineStr">
        <is>
          <t>Service division divestiture carve-out</t>
        </is>
      </c>
      <c r="C8" s="27" t="inlineStr">
        <is>
          <t>Carve-out adjustments</t>
        </is>
      </c>
      <c r="D8" s="27" t="inlineStr">
        <is>
          <t>Normalize one-time storm response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Standalone EBITDA adjustment</t>
        </is>
      </c>
      <c r="H8" s="46" t="n">
        <v>-190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DEV-00361</t>
        </is>
      </c>
      <c r="B9" s="27" t="inlineStr">
        <is>
          <t>Service division divestiture carve-out</t>
        </is>
      </c>
      <c r="C9" s="27" t="inlineStr">
        <is>
          <t>Carve-out adjustments</t>
        </is>
      </c>
      <c r="D9" s="27" t="inlineStr">
        <is>
          <t>Executed facility exit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Standalone EBITDA adjustment</t>
        </is>
      </c>
      <c r="H9" s="46" t="n">
        <v>160000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DEV-00362</t>
        </is>
      </c>
      <c r="B10" s="27" t="inlineStr">
        <is>
          <t>Service division divestiture carve-out</t>
        </is>
      </c>
      <c r="C10" s="27" t="inlineStr">
        <is>
          <t>Divestiture terms</t>
        </is>
      </c>
      <c r="D10" s="27" t="inlineStr">
        <is>
          <t>Service division</t>
        </is>
      </c>
      <c r="E10" s="27" t="inlineStr">
        <is>
          <t>Transaction</t>
        </is>
      </c>
      <c r="F10" s="27" t="inlineStr">
        <is>
          <t>Approved case</t>
        </is>
      </c>
      <c r="G10" s="27" t="inlineStr">
        <is>
          <t>Transaction multiple</t>
        </is>
      </c>
      <c r="H10" s="46" t="n">
        <v>7.5</v>
      </c>
      <c r="I10" s="27" t="inlineStr"/>
      <c r="J10" s="27" t="inlineStr">
        <is>
          <t>multiple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DEV-00363</t>
        </is>
      </c>
      <c r="B11" s="27" t="inlineStr">
        <is>
          <t>Service division divestiture carve-out</t>
        </is>
      </c>
      <c r="C11" s="27" t="inlineStr">
        <is>
          <t>Divestiture terms</t>
        </is>
      </c>
      <c r="D11" s="27" t="inlineStr">
        <is>
          <t>Service division</t>
        </is>
      </c>
      <c r="E11" s="27" t="inlineStr">
        <is>
          <t>Transaction</t>
        </is>
      </c>
      <c r="F11" s="27" t="inlineStr">
        <is>
          <t>Approved case</t>
        </is>
      </c>
      <c r="G11" s="27" t="inlineStr">
        <is>
          <t>Transferred lease liabilities</t>
        </is>
      </c>
      <c r="H11" s="46" t="n">
        <v>1050000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DEV-00364</t>
        </is>
      </c>
      <c r="B12" s="27" t="inlineStr">
        <is>
          <t>Service division divestiture carve-out</t>
        </is>
      </c>
      <c r="C12" s="27" t="inlineStr">
        <is>
          <t>Divestiture terms</t>
        </is>
      </c>
      <c r="D12" s="27" t="inlineStr">
        <is>
          <t>Service division</t>
        </is>
      </c>
      <c r="E12" s="27" t="inlineStr">
        <is>
          <t>Transaction</t>
        </is>
      </c>
      <c r="F12" s="27" t="inlineStr">
        <is>
          <t>Approved case</t>
        </is>
      </c>
      <c r="G12" s="27" t="inlineStr">
        <is>
          <t>Deferred maintenance</t>
        </is>
      </c>
      <c r="H12" s="46" t="n">
        <v>620</v>
      </c>
      <c r="I12" s="27" t="inlineStr"/>
      <c r="J12" s="27" t="inlineStr">
        <is>
          <t>USD thousands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DEV-00365</t>
        </is>
      </c>
      <c r="B13" s="27" t="inlineStr">
        <is>
          <t>Service division divestiture carve-out</t>
        </is>
      </c>
      <c r="C13" s="27" t="inlineStr">
        <is>
          <t>Divestiture terms</t>
        </is>
      </c>
      <c r="D13" s="27" t="inlineStr">
        <is>
          <t>Service division</t>
        </is>
      </c>
      <c r="E13" s="27" t="inlineStr">
        <is>
          <t>Transaction</t>
        </is>
      </c>
      <c r="F13" s="27" t="inlineStr">
        <is>
          <t>Approved case</t>
        </is>
      </c>
      <c r="G13" s="27" t="inlineStr">
        <is>
          <t>Employee transaction bonuses</t>
        </is>
      </c>
      <c r="H13" s="46" t="n">
        <v>480000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DEV-00366</t>
        </is>
      </c>
      <c r="B14" s="27" t="inlineStr">
        <is>
          <t>Service division divestiture carve-out</t>
        </is>
      </c>
      <c r="C14" s="27" t="inlineStr">
        <is>
          <t>Divestiture terms</t>
        </is>
      </c>
      <c r="D14" s="27" t="inlineStr">
        <is>
          <t>Service division</t>
        </is>
      </c>
      <c r="E14" s="27" t="inlineStr">
        <is>
          <t>Transaction</t>
        </is>
      </c>
      <c r="F14" s="27" t="inlineStr">
        <is>
          <t>Approved case</t>
        </is>
      </c>
      <c r="G14" s="27" t="inlineStr">
        <is>
          <t>Stranded cost remediation</t>
        </is>
      </c>
      <c r="H14" s="46" t="n">
        <v>1100000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DEV-00377</t>
        </is>
      </c>
      <c r="B15" s="27" t="inlineStr">
        <is>
          <t>Complete the Orion integration value-capture plan</t>
        </is>
      </c>
      <c r="C15" s="27" t="inlineStr">
        <is>
          <t>Initiatives</t>
        </is>
      </c>
      <c r="D15" s="27" t="inlineStr">
        <is>
          <t>Procurement harmonization</t>
        </is>
      </c>
      <c r="E15" s="27" t="inlineStr">
        <is>
          <t>24-month plan</t>
        </is>
      </c>
      <c r="F15" s="27" t="inlineStr">
        <is>
          <t>Approved case</t>
        </is>
      </c>
      <c r="G15" s="27" t="inlineStr">
        <is>
          <t>Gross run-rate synergy</t>
        </is>
      </c>
      <c r="H15" s="46" t="n">
        <v>1250000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DEV-00378</t>
        </is>
      </c>
      <c r="B16" s="27" t="inlineStr">
        <is>
          <t>Complete the Orion integration value-capture plan</t>
        </is>
      </c>
      <c r="C16" s="27" t="inlineStr">
        <is>
          <t>Initiatives</t>
        </is>
      </c>
      <c r="D16" s="27" t="inlineStr">
        <is>
          <t>Procurement harmonization</t>
        </is>
      </c>
      <c r="E16" s="27" t="inlineStr">
        <is>
          <t>24-month plan</t>
        </is>
      </c>
      <c r="F16" s="27" t="inlineStr">
        <is>
          <t>Approved case</t>
        </is>
      </c>
      <c r="G16" s="27" t="inlineStr">
        <is>
          <t>Realization probability</t>
        </is>
      </c>
      <c r="H16" s="46" t="n">
        <v>0.85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DEV-00379</t>
        </is>
      </c>
      <c r="B17" s="27" t="inlineStr">
        <is>
          <t>Complete the Orion integration value-capture plan</t>
        </is>
      </c>
      <c r="C17" s="27" t="inlineStr">
        <is>
          <t>Initiatives</t>
        </is>
      </c>
      <c r="D17" s="27" t="inlineStr">
        <is>
          <t>Procurement harmonization</t>
        </is>
      </c>
      <c r="E17" s="27" t="inlineStr">
        <is>
          <t>24-month plan</t>
        </is>
      </c>
      <c r="F17" s="27" t="inlineStr">
        <is>
          <t>Approved case</t>
        </is>
      </c>
      <c r="G17" s="27" t="inlineStr">
        <is>
          <t>Full run-rate month</t>
        </is>
      </c>
      <c r="H17" s="46" t="n">
        <v>6</v>
      </c>
      <c r="I17" s="27" t="inlineStr"/>
      <c r="J17" s="27" t="inlineStr">
        <is>
          <t>month count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DEV-00380</t>
        </is>
      </c>
      <c r="B18" s="27" t="inlineStr">
        <is>
          <t>Complete the Orion integration value-capture plan</t>
        </is>
      </c>
      <c r="C18" s="27" t="inlineStr">
        <is>
          <t>Initiatives</t>
        </is>
      </c>
      <c r="D18" s="27" t="inlineStr">
        <is>
          <t>Procurement harmonization</t>
        </is>
      </c>
      <c r="E18" s="27" t="inlineStr">
        <is>
          <t>24-month plan</t>
        </is>
      </c>
      <c r="F18" s="27" t="inlineStr">
        <is>
          <t>Approved case</t>
        </is>
      </c>
      <c r="G18" s="27" t="inlineStr">
        <is>
          <t>Integration cash cost</t>
        </is>
      </c>
      <c r="H18" s="46" t="n">
        <v>520</v>
      </c>
      <c r="I18" s="27" t="inlineStr"/>
      <c r="J18" s="27" t="inlineStr">
        <is>
          <t>USD thousands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DEV-00381</t>
        </is>
      </c>
      <c r="B19" s="27" t="inlineStr">
        <is>
          <t>Complete the Orion integration value-capture plan</t>
        </is>
      </c>
      <c r="C19" s="27" t="inlineStr">
        <is>
          <t>Initiatives</t>
        </is>
      </c>
      <c r="D19" s="27" t="inlineStr">
        <is>
          <t>Dispatch consolidation</t>
        </is>
      </c>
      <c r="E19" s="27" t="inlineStr">
        <is>
          <t>24-month plan</t>
        </is>
      </c>
      <c r="F19" s="27" t="inlineStr">
        <is>
          <t>Approved case</t>
        </is>
      </c>
      <c r="G19" s="27" t="inlineStr">
        <is>
          <t>Gross run-rate synergy</t>
        </is>
      </c>
      <c r="H19" s="46" t="n">
        <v>980000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DEV-00382</t>
        </is>
      </c>
      <c r="B20" s="27" t="inlineStr">
        <is>
          <t>Complete the Orion integration value-capture plan</t>
        </is>
      </c>
      <c r="C20" s="27" t="inlineStr">
        <is>
          <t>Initiatives</t>
        </is>
      </c>
      <c r="D20" s="27" t="inlineStr">
        <is>
          <t>Dispatch consolidation</t>
        </is>
      </c>
      <c r="E20" s="27" t="inlineStr">
        <is>
          <t>24-month plan</t>
        </is>
      </c>
      <c r="F20" s="27" t="inlineStr">
        <is>
          <t>Approved case</t>
        </is>
      </c>
      <c r="G20" s="27" t="inlineStr">
        <is>
          <t>Realization probability</t>
        </is>
      </c>
      <c r="H20" s="46" t="n">
        <v>0.8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DEV-00383</t>
        </is>
      </c>
      <c r="B21" s="27" t="inlineStr">
        <is>
          <t>Complete the Orion integration value-capture plan</t>
        </is>
      </c>
      <c r="C21" s="27" t="inlineStr">
        <is>
          <t>Initiatives</t>
        </is>
      </c>
      <c r="D21" s="27" t="inlineStr">
        <is>
          <t>Dispatch consolidation</t>
        </is>
      </c>
      <c r="E21" s="27" t="inlineStr">
        <is>
          <t>24-month plan</t>
        </is>
      </c>
      <c r="F21" s="27" t="inlineStr">
        <is>
          <t>Approved case</t>
        </is>
      </c>
      <c r="G21" s="27" t="inlineStr">
        <is>
          <t>Full run-rate month</t>
        </is>
      </c>
      <c r="H21" s="46" t="n">
        <v>9</v>
      </c>
      <c r="I21" s="27" t="inlineStr"/>
      <c r="J21" s="27" t="inlineStr">
        <is>
          <t>month count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DEV-00384</t>
        </is>
      </c>
      <c r="B22" s="27" t="inlineStr">
        <is>
          <t>Complete the Orion integration value-capture plan</t>
        </is>
      </c>
      <c r="C22" s="27" t="inlineStr">
        <is>
          <t>Initiatives</t>
        </is>
      </c>
      <c r="D22" s="27" t="inlineStr">
        <is>
          <t>Dispatch consolidation</t>
        </is>
      </c>
      <c r="E22" s="27" t="inlineStr">
        <is>
          <t>24-month plan</t>
        </is>
      </c>
      <c r="F22" s="27" t="inlineStr">
        <is>
          <t>Approved case</t>
        </is>
      </c>
      <c r="G22" s="27" t="inlineStr">
        <is>
          <t>Integration cash cost</t>
        </is>
      </c>
      <c r="H22" s="46" t="n">
        <v>440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DEV-00385</t>
        </is>
      </c>
      <c r="B23" s="27" t="inlineStr">
        <is>
          <t>Complete the Orion integration value-capture plan</t>
        </is>
      </c>
      <c r="C23" s="27" t="inlineStr">
        <is>
          <t>Initiatives</t>
        </is>
      </c>
      <c r="D23" s="27" t="inlineStr">
        <is>
          <t>Branch footprint</t>
        </is>
      </c>
      <c r="E23" s="27" t="inlineStr">
        <is>
          <t>24-month plan</t>
        </is>
      </c>
      <c r="F23" s="27" t="inlineStr">
        <is>
          <t>Approved case</t>
        </is>
      </c>
      <c r="G23" s="27" t="inlineStr">
        <is>
          <t>Gross run-rate synergy</t>
        </is>
      </c>
      <c r="H23" s="46" t="n">
        <v>1100000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DEV-00386</t>
        </is>
      </c>
      <c r="B24" s="27" t="inlineStr">
        <is>
          <t>Complete the Orion integration value-capture plan</t>
        </is>
      </c>
      <c r="C24" s="27" t="inlineStr">
        <is>
          <t>Initiatives</t>
        </is>
      </c>
      <c r="D24" s="27" t="inlineStr">
        <is>
          <t>Branch footprint</t>
        </is>
      </c>
      <c r="E24" s="27" t="inlineStr">
        <is>
          <t>24-month plan</t>
        </is>
      </c>
      <c r="F24" s="27" t="inlineStr">
        <is>
          <t>Approved case</t>
        </is>
      </c>
      <c r="G24" s="27" t="inlineStr">
        <is>
          <t>Realization probability</t>
        </is>
      </c>
      <c r="H24" s="46" t="n">
        <v>0.7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DEV-00387</t>
        </is>
      </c>
      <c r="B25" s="27" t="inlineStr">
        <is>
          <t>Complete the Orion integration value-capture plan</t>
        </is>
      </c>
      <c r="C25" s="27" t="inlineStr">
        <is>
          <t>Initiatives</t>
        </is>
      </c>
      <c r="D25" s="27" t="inlineStr">
        <is>
          <t>Branch footprint</t>
        </is>
      </c>
      <c r="E25" s="27" t="inlineStr">
        <is>
          <t>24-month plan</t>
        </is>
      </c>
      <c r="F25" s="27" t="inlineStr">
        <is>
          <t>Approved case</t>
        </is>
      </c>
      <c r="G25" s="27" t="inlineStr">
        <is>
          <t>Full run-rate month</t>
        </is>
      </c>
      <c r="H25" s="46" t="n">
        <v>15</v>
      </c>
      <c r="I25" s="27" t="inlineStr"/>
      <c r="J25" s="27" t="inlineStr">
        <is>
          <t>month count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DEV-00388</t>
        </is>
      </c>
      <c r="B26" s="27" t="inlineStr">
        <is>
          <t>Complete the Orion integration value-capture plan</t>
        </is>
      </c>
      <c r="C26" s="27" t="inlineStr">
        <is>
          <t>Initiatives</t>
        </is>
      </c>
      <c r="D26" s="27" t="inlineStr">
        <is>
          <t>Branch footprint</t>
        </is>
      </c>
      <c r="E26" s="27" t="inlineStr">
        <is>
          <t>24-month plan</t>
        </is>
      </c>
      <c r="F26" s="27" t="inlineStr">
        <is>
          <t>Approved case</t>
        </is>
      </c>
      <c r="G26" s="27" t="inlineStr">
        <is>
          <t>Integration cash cost</t>
        </is>
      </c>
      <c r="H26" s="46" t="n">
        <v>760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DEV-00389</t>
        </is>
      </c>
      <c r="B27" s="27" t="inlineStr">
        <is>
          <t>Complete the Orion integration value-capture plan</t>
        </is>
      </c>
      <c r="C27" s="27" t="inlineStr">
        <is>
          <t>Initiatives</t>
        </is>
      </c>
      <c r="D27" s="27" t="inlineStr">
        <is>
          <t>Cross-sell engine</t>
        </is>
      </c>
      <c r="E27" s="27" t="inlineStr">
        <is>
          <t>24-month plan</t>
        </is>
      </c>
      <c r="F27" s="27" t="inlineStr">
        <is>
          <t>Approved case</t>
        </is>
      </c>
      <c r="G27" s="27" t="inlineStr">
        <is>
          <t>Gross run-rate synergy</t>
        </is>
      </c>
      <c r="H27" s="46" t="n">
        <v>1350000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DEV-00390</t>
        </is>
      </c>
      <c r="B28" s="27" t="inlineStr">
        <is>
          <t>Complete the Orion integration value-capture plan</t>
        </is>
      </c>
      <c r="C28" s="27" t="inlineStr">
        <is>
          <t>Initiatives</t>
        </is>
      </c>
      <c r="D28" s="27" t="inlineStr">
        <is>
          <t>Cross-sell engine</t>
        </is>
      </c>
      <c r="E28" s="27" t="inlineStr">
        <is>
          <t>24-month plan</t>
        </is>
      </c>
      <c r="F28" s="27" t="inlineStr">
        <is>
          <t>Approved case</t>
        </is>
      </c>
      <c r="G28" s="27" t="inlineStr">
        <is>
          <t>Realization probability</t>
        </is>
      </c>
      <c r="H28" s="46" t="n">
        <v>0.55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DEV-00391</t>
        </is>
      </c>
      <c r="B29" s="27" t="inlineStr">
        <is>
          <t>Complete the Orion integration value-capture plan</t>
        </is>
      </c>
      <c r="C29" s="27" t="inlineStr">
        <is>
          <t>Initiatives</t>
        </is>
      </c>
      <c r="D29" s="27" t="inlineStr">
        <is>
          <t>Cross-sell engine</t>
        </is>
      </c>
      <c r="E29" s="27" t="inlineStr">
        <is>
          <t>24-month plan</t>
        </is>
      </c>
      <c r="F29" s="27" t="inlineStr">
        <is>
          <t>Approved case</t>
        </is>
      </c>
      <c r="G29" s="27" t="inlineStr">
        <is>
          <t>Full run-rate month</t>
        </is>
      </c>
      <c r="H29" s="46" t="n">
        <v>18</v>
      </c>
      <c r="I29" s="27" t="inlineStr"/>
      <c r="J29" s="27" t="inlineStr">
        <is>
          <t>month count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DEV-00392</t>
        </is>
      </c>
      <c r="B30" s="27" t="inlineStr">
        <is>
          <t>Complete the Orion integration value-capture plan</t>
        </is>
      </c>
      <c r="C30" s="27" t="inlineStr">
        <is>
          <t>Initiatives</t>
        </is>
      </c>
      <c r="D30" s="27" t="inlineStr">
        <is>
          <t>Cross-sell engine</t>
        </is>
      </c>
      <c r="E30" s="27" t="inlineStr">
        <is>
          <t>24-month plan</t>
        </is>
      </c>
      <c r="F30" s="27" t="inlineStr">
        <is>
          <t>Approved case</t>
        </is>
      </c>
      <c r="G30" s="27" t="inlineStr">
        <is>
          <t>Integration cash cost</t>
        </is>
      </c>
      <c r="H30" s="46" t="n">
        <v>610</v>
      </c>
      <c r="I30" s="27" t="inlineStr"/>
      <c r="J30" s="27" t="inlineStr">
        <is>
          <t>USD thousands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DEV-00393</t>
        </is>
      </c>
      <c r="B31" s="27" t="inlineStr">
        <is>
          <t>Complete the Orion integration value-capture plan</t>
        </is>
      </c>
      <c r="C31" s="27" t="inlineStr">
        <is>
          <t>Initiatives</t>
        </is>
      </c>
      <c r="D31" s="27" t="inlineStr">
        <is>
          <t>Systems decommission</t>
        </is>
      </c>
      <c r="E31" s="27" t="inlineStr">
        <is>
          <t>24-month plan</t>
        </is>
      </c>
      <c r="F31" s="27" t="inlineStr">
        <is>
          <t>Approved case</t>
        </is>
      </c>
      <c r="G31" s="27" t="inlineStr">
        <is>
          <t>Gross run-rate synergy</t>
        </is>
      </c>
      <c r="H31" s="46" t="n">
        <v>620000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DEV-00394</t>
        </is>
      </c>
      <c r="B32" s="27" t="inlineStr">
        <is>
          <t>Complete the Orion integration value-capture plan</t>
        </is>
      </c>
      <c r="C32" s="27" t="inlineStr">
        <is>
          <t>Initiatives</t>
        </is>
      </c>
      <c r="D32" s="27" t="inlineStr">
        <is>
          <t>Systems decommission</t>
        </is>
      </c>
      <c r="E32" s="27" t="inlineStr">
        <is>
          <t>24-month plan</t>
        </is>
      </c>
      <c r="F32" s="27" t="inlineStr">
        <is>
          <t>Approved case</t>
        </is>
      </c>
      <c r="G32" s="27" t="inlineStr">
        <is>
          <t>Realization probability</t>
        </is>
      </c>
      <c r="H32" s="46" t="n">
        <v>0.9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DEV-00395</t>
        </is>
      </c>
      <c r="B33" s="27" t="inlineStr">
        <is>
          <t>Complete the Orion integration value-capture plan</t>
        </is>
      </c>
      <c r="C33" s="27" t="inlineStr">
        <is>
          <t>Initiatives</t>
        </is>
      </c>
      <c r="D33" s="27" t="inlineStr">
        <is>
          <t>Systems decommission</t>
        </is>
      </c>
      <c r="E33" s="27" t="inlineStr">
        <is>
          <t>24-month plan</t>
        </is>
      </c>
      <c r="F33" s="27" t="inlineStr">
        <is>
          <t>Approved case</t>
        </is>
      </c>
      <c r="G33" s="27" t="inlineStr">
        <is>
          <t>Full run-rate month</t>
        </is>
      </c>
      <c r="H33" s="46" t="n">
        <v>12</v>
      </c>
      <c r="I33" s="27" t="inlineStr"/>
      <c r="J33" s="27" t="inlineStr">
        <is>
          <t>month count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DEV-00396</t>
        </is>
      </c>
      <c r="B34" s="27" t="inlineStr">
        <is>
          <t>Complete the Orion integration value-capture plan</t>
        </is>
      </c>
      <c r="C34" s="27" t="inlineStr">
        <is>
          <t>Initiatives</t>
        </is>
      </c>
      <c r="D34" s="27" t="inlineStr">
        <is>
          <t>Systems decommission</t>
        </is>
      </c>
      <c r="E34" s="27" t="inlineStr">
        <is>
          <t>24-month plan</t>
        </is>
      </c>
      <c r="F34" s="27" t="inlineStr">
        <is>
          <t>Approved case</t>
        </is>
      </c>
      <c r="G34" s="27" t="inlineStr">
        <is>
          <t>Integration cash cost</t>
        </is>
      </c>
      <c r="H34" s="46" t="n">
        <v>390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DEV-00397</t>
        </is>
      </c>
      <c r="B35" s="27" t="inlineStr">
        <is>
          <t>Complete the Orion integration value-capture plan</t>
        </is>
      </c>
      <c r="C35" s="27" t="inlineStr">
        <is>
          <t>Value capture policy</t>
        </is>
      </c>
      <c r="D35" s="27" t="inlineStr">
        <is>
          <t>Orion</t>
        </is>
      </c>
      <c r="E35" s="27" t="inlineStr">
        <is>
          <t>24-month plan</t>
        </is>
      </c>
      <c r="F35" s="27" t="inlineStr">
        <is>
          <t>Approved case</t>
        </is>
      </c>
      <c r="G35" s="27" t="inlineStr">
        <is>
          <t>Discount rate</t>
        </is>
      </c>
      <c r="H35" s="46" t="n">
        <v>0.095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DEV-00398</t>
        </is>
      </c>
      <c r="B36" s="27" t="inlineStr">
        <is>
          <t>Complete the Orion integration value-capture plan</t>
        </is>
      </c>
      <c r="C36" s="27" t="inlineStr">
        <is>
          <t>Value capture policy</t>
        </is>
      </c>
      <c r="D36" s="27" t="inlineStr">
        <is>
          <t>Orion</t>
        </is>
      </c>
      <c r="E36" s="27" t="inlineStr">
        <is>
          <t>24-month plan</t>
        </is>
      </c>
      <c r="F36" s="27" t="inlineStr">
        <is>
          <t>Approved case</t>
        </is>
      </c>
      <c r="G36" s="27" t="inlineStr">
        <is>
          <t>Annual baseline dis-synergy</t>
        </is>
      </c>
      <c r="H36" s="46" t="n">
        <v>350000</v>
      </c>
      <c r="I36" s="27" t="inlineStr"/>
      <c r="J36" s="27" t="inlineStr">
        <is>
          <t>USD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DEV-00560</t>
        </is>
      </c>
      <c r="B37" s="27" t="inlineStr">
        <is>
          <t>Carve-out standalone, TSA, and stranded-cost analysis</t>
        </is>
      </c>
      <c r="C37" s="27" t="inlineStr">
        <is>
          <t>Carve-out functional costs</t>
        </is>
      </c>
      <c r="D37" s="27" t="inlineStr">
        <is>
          <t>Finance</t>
        </is>
      </c>
      <c r="E37" s="27" t="inlineStr">
        <is>
          <t>Year 1</t>
        </is>
      </c>
      <c r="F37" s="27" t="inlineStr">
        <is>
          <t>Approved case</t>
        </is>
      </c>
      <c r="G37" s="27" t="inlineStr">
        <is>
          <t>Historical allocation</t>
        </is>
      </c>
      <c r="H37" s="46" t="n">
        <v>820000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DEV-00561</t>
        </is>
      </c>
      <c r="B38" s="27" t="inlineStr">
        <is>
          <t>Carve-out standalone, TSA, and stranded-cost analysis</t>
        </is>
      </c>
      <c r="C38" s="27" t="inlineStr">
        <is>
          <t>Carve-out functional costs</t>
        </is>
      </c>
      <c r="D38" s="27" t="inlineStr">
        <is>
          <t>Finance</t>
        </is>
      </c>
      <c r="E38" s="27" t="inlineStr">
        <is>
          <t>Year 1</t>
        </is>
      </c>
      <c r="F38" s="27" t="inlineStr">
        <is>
          <t>Approved case</t>
        </is>
      </c>
      <c r="G38" s="27" t="inlineStr">
        <is>
          <t>Standalone run-rate cost</t>
        </is>
      </c>
      <c r="H38" s="46" t="n">
        <v>1050000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DEV-00562</t>
        </is>
      </c>
      <c r="B39" s="27" t="inlineStr">
        <is>
          <t>Carve-out standalone, TSA, and stranded-cost analysis</t>
        </is>
      </c>
      <c r="C39" s="27" t="inlineStr">
        <is>
          <t>Carve-out functional costs</t>
        </is>
      </c>
      <c r="D39" s="27" t="inlineStr">
        <is>
          <t>Finance</t>
        </is>
      </c>
      <c r="E39" s="27" t="inlineStr">
        <is>
          <t>Year 1</t>
        </is>
      </c>
      <c r="F39" s="27" t="inlineStr">
        <is>
          <t>Approved case</t>
        </is>
      </c>
      <c r="G39" s="27" t="inlineStr">
        <is>
          <t>One-time separation cost</t>
        </is>
      </c>
      <c r="H39" s="46" t="n">
        <v>360000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DEV-00563</t>
        </is>
      </c>
      <c r="B40" s="27" t="inlineStr">
        <is>
          <t>Carve-out standalone, TSA, and stranded-cost analysis</t>
        </is>
      </c>
      <c r="C40" s="27" t="inlineStr">
        <is>
          <t>Carve-out functional costs</t>
        </is>
      </c>
      <c r="D40" s="27" t="inlineStr">
        <is>
          <t>Finance</t>
        </is>
      </c>
      <c r="E40" s="27" t="inlineStr">
        <is>
          <t>Year 1</t>
        </is>
      </c>
      <c r="F40" s="27" t="inlineStr">
        <is>
          <t>Approved case</t>
        </is>
      </c>
      <c r="G40" s="27" t="inlineStr">
        <is>
          <t>TSA months</t>
        </is>
      </c>
      <c r="H40" s="46" t="n">
        <v>12</v>
      </c>
      <c r="I40" s="27" t="inlineStr"/>
      <c r="J40" s="27" t="inlineStr">
        <is>
          <t>months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DEV-00564</t>
        </is>
      </c>
      <c r="B41" s="27" t="inlineStr">
        <is>
          <t>Carve-out standalone, TSA, and stranded-cost analysis</t>
        </is>
      </c>
      <c r="C41" s="27" t="inlineStr">
        <is>
          <t>Carve-out functional costs</t>
        </is>
      </c>
      <c r="D41" s="27" t="inlineStr">
        <is>
          <t>IT</t>
        </is>
      </c>
      <c r="E41" s="27" t="inlineStr">
        <is>
          <t>Year 1</t>
        </is>
      </c>
      <c r="F41" s="27" t="inlineStr">
        <is>
          <t>Approved case</t>
        </is>
      </c>
      <c r="G41" s="27" t="inlineStr">
        <is>
          <t>Historical allocation</t>
        </is>
      </c>
      <c r="H41" s="46" t="n">
        <v>690000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DEV-00565</t>
        </is>
      </c>
      <c r="B42" s="27" t="inlineStr">
        <is>
          <t>Carve-out standalone, TSA, and stranded-cost analysis</t>
        </is>
      </c>
      <c r="C42" s="27" t="inlineStr">
        <is>
          <t>Carve-out functional costs</t>
        </is>
      </c>
      <c r="D42" s="27" t="inlineStr">
        <is>
          <t>IT</t>
        </is>
      </c>
      <c r="E42" s="27" t="inlineStr">
        <is>
          <t>Year 1</t>
        </is>
      </c>
      <c r="F42" s="27" t="inlineStr">
        <is>
          <t>Approved case</t>
        </is>
      </c>
      <c r="G42" s="27" t="inlineStr">
        <is>
          <t>Standalone run-rate cost</t>
        </is>
      </c>
      <c r="H42" s="46" t="n">
        <v>1180000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DEV-00566</t>
        </is>
      </c>
      <c r="B43" s="27" t="inlineStr">
        <is>
          <t>Carve-out standalone, TSA, and stranded-cost analysis</t>
        </is>
      </c>
      <c r="C43" s="27" t="inlineStr">
        <is>
          <t>Carve-out functional costs</t>
        </is>
      </c>
      <c r="D43" s="27" t="inlineStr">
        <is>
          <t>IT</t>
        </is>
      </c>
      <c r="E43" s="27" t="inlineStr">
        <is>
          <t>Year 1</t>
        </is>
      </c>
      <c r="F43" s="27" t="inlineStr">
        <is>
          <t>Approved case</t>
        </is>
      </c>
      <c r="G43" s="27" t="inlineStr">
        <is>
          <t>One-time separation cost</t>
        </is>
      </c>
      <c r="H43" s="46" t="n">
        <v>510000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DEV-00567</t>
        </is>
      </c>
      <c r="B44" s="27" t="inlineStr">
        <is>
          <t>Carve-out standalone, TSA, and stranded-cost analysis</t>
        </is>
      </c>
      <c r="C44" s="27" t="inlineStr">
        <is>
          <t>Carve-out functional costs</t>
        </is>
      </c>
      <c r="D44" s="27" t="inlineStr">
        <is>
          <t>IT</t>
        </is>
      </c>
      <c r="E44" s="27" t="inlineStr">
        <is>
          <t>Year 1</t>
        </is>
      </c>
      <c r="F44" s="27" t="inlineStr">
        <is>
          <t>Approved case</t>
        </is>
      </c>
      <c r="G44" s="27" t="inlineStr">
        <is>
          <t>TSA months</t>
        </is>
      </c>
      <c r="H44" s="46" t="n">
        <v>18</v>
      </c>
      <c r="I44" s="27" t="inlineStr"/>
      <c r="J44" s="27" t="inlineStr">
        <is>
          <t>months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DEV-00568</t>
        </is>
      </c>
      <c r="B45" s="27" t="inlineStr">
        <is>
          <t>Carve-out standalone, TSA, and stranded-cost analysis</t>
        </is>
      </c>
      <c r="C45" s="27" t="inlineStr">
        <is>
          <t>Carve-out functional costs</t>
        </is>
      </c>
      <c r="D45" s="27" t="inlineStr">
        <is>
          <t>HR</t>
        </is>
      </c>
      <c r="E45" s="27" t="inlineStr">
        <is>
          <t>Year 1</t>
        </is>
      </c>
      <c r="F45" s="27" t="inlineStr">
        <is>
          <t>Approved case</t>
        </is>
      </c>
      <c r="G45" s="27" t="inlineStr">
        <is>
          <t>Historical allocation</t>
        </is>
      </c>
      <c r="H45" s="46" t="n">
        <v>410000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DEV-00569</t>
        </is>
      </c>
      <c r="B46" s="27" t="inlineStr">
        <is>
          <t>Carve-out standalone, TSA, and stranded-cost analysis</t>
        </is>
      </c>
      <c r="C46" s="27" t="inlineStr">
        <is>
          <t>Carve-out functional costs</t>
        </is>
      </c>
      <c r="D46" s="27" t="inlineStr">
        <is>
          <t>HR</t>
        </is>
      </c>
      <c r="E46" s="27" t="inlineStr">
        <is>
          <t>Year 1</t>
        </is>
      </c>
      <c r="F46" s="27" t="inlineStr">
        <is>
          <t>Approved case</t>
        </is>
      </c>
      <c r="G46" s="27" t="inlineStr">
        <is>
          <t>Standalone run-rate cost</t>
        </is>
      </c>
      <c r="H46" s="46" t="n">
        <v>560000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DEV-00570</t>
        </is>
      </c>
      <c r="B47" s="27" t="inlineStr">
        <is>
          <t>Carve-out standalone, TSA, and stranded-cost analysis</t>
        </is>
      </c>
      <c r="C47" s="27" t="inlineStr">
        <is>
          <t>Carve-out functional costs</t>
        </is>
      </c>
      <c r="D47" s="27" t="inlineStr">
        <is>
          <t>HR</t>
        </is>
      </c>
      <c r="E47" s="27" t="inlineStr">
        <is>
          <t>Year 1</t>
        </is>
      </c>
      <c r="F47" s="27" t="inlineStr">
        <is>
          <t>Approved case</t>
        </is>
      </c>
      <c r="G47" s="27" t="inlineStr">
        <is>
          <t>One-time separation cost</t>
        </is>
      </c>
      <c r="H47" s="46" t="n">
        <v>180000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DEV-00571</t>
        </is>
      </c>
      <c r="B48" s="27" t="inlineStr">
        <is>
          <t>Carve-out standalone, TSA, and stranded-cost analysis</t>
        </is>
      </c>
      <c r="C48" s="27" t="inlineStr">
        <is>
          <t>Carve-out functional costs</t>
        </is>
      </c>
      <c r="D48" s="27" t="inlineStr">
        <is>
          <t>HR</t>
        </is>
      </c>
      <c r="E48" s="27" t="inlineStr">
        <is>
          <t>Year 1</t>
        </is>
      </c>
      <c r="F48" s="27" t="inlineStr">
        <is>
          <t>Approved case</t>
        </is>
      </c>
      <c r="G48" s="27" t="inlineStr">
        <is>
          <t>TSA months</t>
        </is>
      </c>
      <c r="H48" s="46" t="n">
        <v>9</v>
      </c>
      <c r="I48" s="27" t="inlineStr"/>
      <c r="J48" s="27" t="inlineStr">
        <is>
          <t>months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DEV-00572</t>
        </is>
      </c>
      <c r="B49" s="27" t="inlineStr">
        <is>
          <t>Carve-out standalone, TSA, and stranded-cost analysis</t>
        </is>
      </c>
      <c r="C49" s="27" t="inlineStr">
        <is>
          <t>Carve-out functional costs</t>
        </is>
      </c>
      <c r="D49" s="27" t="inlineStr">
        <is>
          <t>Facilities</t>
        </is>
      </c>
      <c r="E49" s="27" t="inlineStr">
        <is>
          <t>Year 1</t>
        </is>
      </c>
      <c r="F49" s="27" t="inlineStr">
        <is>
          <t>Approved case</t>
        </is>
      </c>
      <c r="G49" s="27" t="inlineStr">
        <is>
          <t>Historical allocation</t>
        </is>
      </c>
      <c r="H49" s="46" t="n">
        <v>540000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DEV-00573</t>
        </is>
      </c>
      <c r="B50" s="27" t="inlineStr">
        <is>
          <t>Carve-out standalone, TSA, and stranded-cost analysis</t>
        </is>
      </c>
      <c r="C50" s="27" t="inlineStr">
        <is>
          <t>Carve-out functional costs</t>
        </is>
      </c>
      <c r="D50" s="27" t="inlineStr">
        <is>
          <t>Facilities</t>
        </is>
      </c>
      <c r="E50" s="27" t="inlineStr">
        <is>
          <t>Year 1</t>
        </is>
      </c>
      <c r="F50" s="27" t="inlineStr">
        <is>
          <t>Approved case</t>
        </is>
      </c>
      <c r="G50" s="27" t="inlineStr">
        <is>
          <t>Standalone run-rate cost</t>
        </is>
      </c>
      <c r="H50" s="46" t="n">
        <v>720000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DEV-00574</t>
        </is>
      </c>
      <c r="B51" s="27" t="inlineStr">
        <is>
          <t>Carve-out standalone, TSA, and stranded-cost analysis</t>
        </is>
      </c>
      <c r="C51" s="27" t="inlineStr">
        <is>
          <t>Carve-out functional costs</t>
        </is>
      </c>
      <c r="D51" s="27" t="inlineStr">
        <is>
          <t>Facilities</t>
        </is>
      </c>
      <c r="E51" s="27" t="inlineStr">
        <is>
          <t>Year 1</t>
        </is>
      </c>
      <c r="F51" s="27" t="inlineStr">
        <is>
          <t>Approved case</t>
        </is>
      </c>
      <c r="G51" s="27" t="inlineStr">
        <is>
          <t>One-time separation cost</t>
        </is>
      </c>
      <c r="H51" s="46" t="n">
        <v>260000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DEV-00575</t>
        </is>
      </c>
      <c r="B52" s="27" t="inlineStr">
        <is>
          <t>Carve-out standalone, TSA, and stranded-cost analysis</t>
        </is>
      </c>
      <c r="C52" s="27" t="inlineStr">
        <is>
          <t>Carve-out functional costs</t>
        </is>
      </c>
      <c r="D52" s="27" t="inlineStr">
        <is>
          <t>Facilities</t>
        </is>
      </c>
      <c r="E52" s="27" t="inlineStr">
        <is>
          <t>Year 1</t>
        </is>
      </c>
      <c r="F52" s="27" t="inlineStr">
        <is>
          <t>Approved case</t>
        </is>
      </c>
      <c r="G52" s="27" t="inlineStr">
        <is>
          <t>TSA months</t>
        </is>
      </c>
      <c r="H52" s="46" t="n">
        <v>15</v>
      </c>
      <c r="I52" s="27" t="inlineStr"/>
      <c r="J52" s="27" t="inlineStr">
        <is>
          <t>months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DEV-00576</t>
        </is>
      </c>
      <c r="B53" s="27" t="inlineStr">
        <is>
          <t>Carve-out standalone, TSA, and stranded-cost analysis</t>
        </is>
      </c>
      <c r="C53" s="27" t="inlineStr">
        <is>
          <t>Carve-out functional costs</t>
        </is>
      </c>
      <c r="D53" s="27" t="inlineStr">
        <is>
          <t>Insurance</t>
        </is>
      </c>
      <c r="E53" s="27" t="inlineStr">
        <is>
          <t>Year 1</t>
        </is>
      </c>
      <c r="F53" s="27" t="inlineStr">
        <is>
          <t>Approved case</t>
        </is>
      </c>
      <c r="G53" s="27" t="inlineStr">
        <is>
          <t>Historical allocation</t>
        </is>
      </c>
      <c r="H53" s="46" t="n">
        <v>360000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DEV-00577</t>
        </is>
      </c>
      <c r="B54" s="27" t="inlineStr">
        <is>
          <t>Carve-out standalone, TSA, and stranded-cost analysis</t>
        </is>
      </c>
      <c r="C54" s="27" t="inlineStr">
        <is>
          <t>Carve-out functional costs</t>
        </is>
      </c>
      <c r="D54" s="27" t="inlineStr">
        <is>
          <t>Insurance</t>
        </is>
      </c>
      <c r="E54" s="27" t="inlineStr">
        <is>
          <t>Year 1</t>
        </is>
      </c>
      <c r="F54" s="27" t="inlineStr">
        <is>
          <t>Approved case</t>
        </is>
      </c>
      <c r="G54" s="27" t="inlineStr">
        <is>
          <t>Standalone run-rate cost</t>
        </is>
      </c>
      <c r="H54" s="46" t="n">
        <v>475000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DEV-00578</t>
        </is>
      </c>
      <c r="B55" s="27" t="inlineStr">
        <is>
          <t>Carve-out standalone, TSA, and stranded-cost analysis</t>
        </is>
      </c>
      <c r="C55" s="27" t="inlineStr">
        <is>
          <t>Carve-out functional costs</t>
        </is>
      </c>
      <c r="D55" s="27" t="inlineStr">
        <is>
          <t>Insurance</t>
        </is>
      </c>
      <c r="E55" s="27" t="inlineStr">
        <is>
          <t>Year 1</t>
        </is>
      </c>
      <c r="F55" s="27" t="inlineStr">
        <is>
          <t>Approved case</t>
        </is>
      </c>
      <c r="G55" s="27" t="inlineStr">
        <is>
          <t>One-time separation cost</t>
        </is>
      </c>
      <c r="H55" s="46" t="n">
        <v>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DEV-00579</t>
        </is>
      </c>
      <c r="B56" s="27" t="inlineStr">
        <is>
          <t>Carve-out standalone, TSA, and stranded-cost analysis</t>
        </is>
      </c>
      <c r="C56" s="27" t="inlineStr">
        <is>
          <t>Carve-out functional costs</t>
        </is>
      </c>
      <c r="D56" s="27" t="inlineStr">
        <is>
          <t>Insurance</t>
        </is>
      </c>
      <c r="E56" s="27" t="inlineStr">
        <is>
          <t>Year 1</t>
        </is>
      </c>
      <c r="F56" s="27" t="inlineStr">
        <is>
          <t>Approved case</t>
        </is>
      </c>
      <c r="G56" s="27" t="inlineStr">
        <is>
          <t>TSA months</t>
        </is>
      </c>
      <c r="H56" s="46" t="n">
        <v>6</v>
      </c>
      <c r="I56" s="27" t="inlineStr"/>
      <c r="J56" s="27" t="inlineStr">
        <is>
          <t>months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DEV-00580</t>
        </is>
      </c>
      <c r="B57" s="27" t="inlineStr">
        <is>
          <t>Carve-out standalone, TSA, and stranded-cost analysis</t>
        </is>
      </c>
      <c r="C57" s="27" t="inlineStr">
        <is>
          <t>Carve-out functional costs</t>
        </is>
      </c>
      <c r="D57" s="27" t="inlineStr">
        <is>
          <t>Procurement</t>
        </is>
      </c>
      <c r="E57" s="27" t="inlineStr">
        <is>
          <t>Year 1</t>
        </is>
      </c>
      <c r="F57" s="27" t="inlineStr">
        <is>
          <t>Approved case</t>
        </is>
      </c>
      <c r="G57" s="27" t="inlineStr">
        <is>
          <t>Historical allocation</t>
        </is>
      </c>
      <c r="H57" s="46" t="n">
        <v>290000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DEV-00581</t>
        </is>
      </c>
      <c r="B58" s="27" t="inlineStr">
        <is>
          <t>Carve-out standalone, TSA, and stranded-cost analysis</t>
        </is>
      </c>
      <c r="C58" s="27" t="inlineStr">
        <is>
          <t>Carve-out functional costs</t>
        </is>
      </c>
      <c r="D58" s="27" t="inlineStr">
        <is>
          <t>Procurement</t>
        </is>
      </c>
      <c r="E58" s="27" t="inlineStr">
        <is>
          <t>Year 1</t>
        </is>
      </c>
      <c r="F58" s="27" t="inlineStr">
        <is>
          <t>Approved case</t>
        </is>
      </c>
      <c r="G58" s="27" t="inlineStr">
        <is>
          <t>Standalone run-rate cost</t>
        </is>
      </c>
      <c r="H58" s="46" t="n">
        <v>390000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DEV-00582</t>
        </is>
      </c>
      <c r="B59" s="27" t="inlineStr">
        <is>
          <t>Carve-out standalone, TSA, and stranded-cost analysis</t>
        </is>
      </c>
      <c r="C59" s="27" t="inlineStr">
        <is>
          <t>Carve-out functional costs</t>
        </is>
      </c>
      <c r="D59" s="27" t="inlineStr">
        <is>
          <t>Procurement</t>
        </is>
      </c>
      <c r="E59" s="27" t="inlineStr">
        <is>
          <t>Year 1</t>
        </is>
      </c>
      <c r="F59" s="27" t="inlineStr">
        <is>
          <t>Approved case</t>
        </is>
      </c>
      <c r="G59" s="27" t="inlineStr">
        <is>
          <t>One-time separation cost</t>
        </is>
      </c>
      <c r="H59" s="46" t="n">
        <v>140000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DEV-00583</t>
        </is>
      </c>
      <c r="B60" s="27" t="inlineStr">
        <is>
          <t>Carve-out standalone, TSA, and stranded-cost analysis</t>
        </is>
      </c>
      <c r="C60" s="27" t="inlineStr">
        <is>
          <t>Carve-out functional costs</t>
        </is>
      </c>
      <c r="D60" s="27" t="inlineStr">
        <is>
          <t>Procurement</t>
        </is>
      </c>
      <c r="E60" s="27" t="inlineStr">
        <is>
          <t>Year 1</t>
        </is>
      </c>
      <c r="F60" s="27" t="inlineStr">
        <is>
          <t>Approved case</t>
        </is>
      </c>
      <c r="G60" s="27" t="inlineStr">
        <is>
          <t>TSA months</t>
        </is>
      </c>
      <c r="H60" s="46" t="n">
        <v>9</v>
      </c>
      <c r="I60" s="27" t="inlineStr"/>
      <c r="J60" s="27" t="inlineStr">
        <is>
          <t>months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DEV-00584</t>
        </is>
      </c>
      <c r="B61" s="27" t="inlineStr">
        <is>
          <t>Carve-out standalone, TSA, and stranded-cost analysis</t>
        </is>
      </c>
      <c r="C61" s="27" t="inlineStr">
        <is>
          <t>Carve-out policy</t>
        </is>
      </c>
      <c r="D61" s="27" t="inlineStr">
        <is>
          <t>Service Division</t>
        </is>
      </c>
      <c r="E61" s="27" t="inlineStr">
        <is>
          <t>Year 1</t>
        </is>
      </c>
      <c r="F61" s="27" t="inlineStr">
        <is>
          <t>Approved case</t>
        </is>
      </c>
      <c r="G61" s="27" t="inlineStr">
        <is>
          <t>Reported EBITDA including allocations</t>
        </is>
      </c>
      <c r="H61" s="46" t="n">
        <v>5600000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DEV-00585</t>
        </is>
      </c>
      <c r="B62" s="27" t="inlineStr">
        <is>
          <t>Carve-out standalone, TSA, and stranded-cost analysis</t>
        </is>
      </c>
      <c r="C62" s="27" t="inlineStr">
        <is>
          <t>Carve-out policy</t>
        </is>
      </c>
      <c r="D62" s="27" t="inlineStr">
        <is>
          <t>Service Division</t>
        </is>
      </c>
      <c r="E62" s="27" t="inlineStr">
        <is>
          <t>Year 1</t>
        </is>
      </c>
      <c r="F62" s="27" t="inlineStr">
        <is>
          <t>Approved case</t>
        </is>
      </c>
      <c r="G62" s="27" t="inlineStr">
        <is>
          <t>TSA markup</t>
        </is>
      </c>
      <c r="H62" s="46" t="n">
        <v>0.12</v>
      </c>
      <c r="I62" s="27" t="inlineStr"/>
      <c r="J62" s="27" t="inlineStr">
        <is>
          <t>decimal ratio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DEV-00586</t>
        </is>
      </c>
      <c r="B63" s="27" t="inlineStr">
        <is>
          <t>Carve-out standalone, TSA, and stranded-cost analysis</t>
        </is>
      </c>
      <c r="C63" s="27" t="inlineStr">
        <is>
          <t>Carve-out policy</t>
        </is>
      </c>
      <c r="D63" s="27" t="inlineStr">
        <is>
          <t>Service Division</t>
        </is>
      </c>
      <c r="E63" s="27" t="inlineStr">
        <is>
          <t>Year 1</t>
        </is>
      </c>
      <c r="F63" s="27" t="inlineStr">
        <is>
          <t>Approved case</t>
        </is>
      </c>
      <c r="G63" s="27" t="inlineStr">
        <is>
          <t>Stranded cost retention percent</t>
        </is>
      </c>
      <c r="H63" s="46" t="n">
        <v>0.35</v>
      </c>
      <c r="I63" s="27" t="inlineStr"/>
      <c r="J63" s="27" t="inlineStr">
        <is>
          <t>decimal ratio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DEV-00587</t>
        </is>
      </c>
      <c r="B64" s="27" t="inlineStr">
        <is>
          <t>Carve-out standalone, TSA, and stranded-cost analysis</t>
        </is>
      </c>
      <c r="C64" s="27" t="inlineStr">
        <is>
          <t>Carve-out policy</t>
        </is>
      </c>
      <c r="D64" s="27" t="inlineStr">
        <is>
          <t>Service Division</t>
        </is>
      </c>
      <c r="E64" s="27" t="inlineStr">
        <is>
          <t>Year 1</t>
        </is>
      </c>
      <c r="F64" s="27" t="inlineStr">
        <is>
          <t>Approved case</t>
        </is>
      </c>
      <c r="G64" s="27" t="inlineStr">
        <is>
          <t>Buyer cost takeout probability</t>
        </is>
      </c>
      <c r="H64" s="46" t="n">
        <v>0.7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DEV-00588</t>
        </is>
      </c>
      <c r="B65" s="27" t="inlineStr">
        <is>
          <t>Carve-out standalone, TSA, and stranded-cost analysis</t>
        </is>
      </c>
      <c r="C65" s="27" t="inlineStr">
        <is>
          <t>Carve-out policy</t>
        </is>
      </c>
      <c r="D65" s="27" t="inlineStr">
        <is>
          <t>Service Division</t>
        </is>
      </c>
      <c r="E65" s="27" t="inlineStr">
        <is>
          <t>Year 1</t>
        </is>
      </c>
      <c r="F65" s="27" t="inlineStr">
        <is>
          <t>Approved case</t>
        </is>
      </c>
      <c r="G65" s="27" t="inlineStr">
        <is>
          <t>Buyer cost takeout amount</t>
        </is>
      </c>
      <c r="H65" s="46" t="n">
        <v>650000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DEV-00589</t>
        </is>
      </c>
      <c r="B66" s="27" t="inlineStr">
        <is>
          <t>Carve-out standalone, TSA, and stranded-cost analysis</t>
        </is>
      </c>
      <c r="C66" s="27" t="inlineStr">
        <is>
          <t>Carve-out policy</t>
        </is>
      </c>
      <c r="D66" s="27" t="inlineStr">
        <is>
          <t>Service Division</t>
        </is>
      </c>
      <c r="E66" s="27" t="inlineStr">
        <is>
          <t>Year 1</t>
        </is>
      </c>
      <c r="F66" s="27" t="inlineStr">
        <is>
          <t>Approved case</t>
        </is>
      </c>
      <c r="G66" s="27" t="inlineStr">
        <is>
          <t>Tax rate</t>
        </is>
      </c>
      <c r="H66" s="46" t="n">
        <v>0.26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DEV-00590</t>
        </is>
      </c>
      <c r="B67" s="27" t="inlineStr">
        <is>
          <t>Carve-out standalone, TSA, and stranded-cost analysis</t>
        </is>
      </c>
      <c r="C67" s="27" t="inlineStr">
        <is>
          <t>Carve-out policy</t>
        </is>
      </c>
      <c r="D67" s="27" t="inlineStr">
        <is>
          <t>Service Division</t>
        </is>
      </c>
      <c r="E67" s="27" t="inlineStr">
        <is>
          <t>Year 1</t>
        </is>
      </c>
      <c r="F67" s="27" t="inlineStr">
        <is>
          <t>Approved case</t>
        </is>
      </c>
      <c r="G67" s="27" t="inlineStr">
        <is>
          <t>Discount rate</t>
        </is>
      </c>
      <c r="H67" s="46" t="n">
        <v>0.11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DEV-00605</t>
        </is>
      </c>
      <c r="B68" s="27" t="inlineStr">
        <is>
          <t>Carve-out standalone, TSA, and stranded-cost analysis</t>
        </is>
      </c>
      <c r="C68" s="27" t="inlineStr">
        <is>
          <t>Carveout TSA exit plan</t>
        </is>
      </c>
      <c r="D68" s="27" t="inlineStr">
        <is>
          <t>Finance</t>
        </is>
      </c>
      <c r="E68" s="27" t="inlineStr">
        <is>
          <t>Year 1</t>
        </is>
      </c>
      <c r="F68" s="27" t="inlineStr">
        <is>
          <t>Approved case</t>
        </is>
      </c>
      <c r="G68" s="27" t="inlineStr">
        <is>
          <t>Operational readiness month</t>
        </is>
      </c>
      <c r="H68" s="46" t="n">
        <v>9</v>
      </c>
      <c r="I68" s="27" t="inlineStr"/>
      <c r="J68" s="27" t="inlineStr">
        <is>
          <t>month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DEV-00606</t>
        </is>
      </c>
      <c r="B69" s="27" t="inlineStr">
        <is>
          <t>Carve-out standalone, TSA, and stranded-cost analysis</t>
        </is>
      </c>
      <c r="C69" s="27" t="inlineStr">
        <is>
          <t>Carveout TSA exit plan</t>
        </is>
      </c>
      <c r="D69" s="27" t="inlineStr">
        <is>
          <t>Finance</t>
        </is>
      </c>
      <c r="E69" s="27" t="inlineStr">
        <is>
          <t>Year 1</t>
        </is>
      </c>
      <c r="F69" s="27" t="inlineStr">
        <is>
          <t>Approved case</t>
        </is>
      </c>
      <c r="G69" s="27" t="inlineStr">
        <is>
          <t>TSA exit fee</t>
        </is>
      </c>
      <c r="H69" s="46" t="n">
        <v>35000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DEV-00607</t>
        </is>
      </c>
      <c r="B70" s="27" t="inlineStr">
        <is>
          <t>Carve-out standalone, TSA, and stranded-cost analysis</t>
        </is>
      </c>
      <c r="C70" s="27" t="inlineStr">
        <is>
          <t>Carveout TSA exit plan</t>
        </is>
      </c>
      <c r="D70" s="27" t="inlineStr">
        <is>
          <t>Finance</t>
        </is>
      </c>
      <c r="E70" s="27" t="inlineStr">
        <is>
          <t>Year 1</t>
        </is>
      </c>
      <c r="F70" s="27" t="inlineStr">
        <is>
          <t>Approved case</t>
        </is>
      </c>
      <c r="G70" s="27" t="inlineStr">
        <is>
          <t>Year 1 stranded cost remediation percent</t>
        </is>
      </c>
      <c r="H70" s="46" t="n">
        <v>0.45</v>
      </c>
      <c r="I70" s="27" t="inlineStr"/>
      <c r="J70" s="27" t="inlineStr">
        <is>
          <t>decimal ratio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DEV-00608</t>
        </is>
      </c>
      <c r="B71" s="27" t="inlineStr">
        <is>
          <t>Carve-out standalone, TSA, and stranded-cost analysis</t>
        </is>
      </c>
      <c r="C71" s="27" t="inlineStr">
        <is>
          <t>Carveout TSA exit plan</t>
        </is>
      </c>
      <c r="D71" s="27" t="inlineStr">
        <is>
          <t>IT</t>
        </is>
      </c>
      <c r="E71" s="27" t="inlineStr">
        <is>
          <t>Year 1</t>
        </is>
      </c>
      <c r="F71" s="27" t="inlineStr">
        <is>
          <t>Approved case</t>
        </is>
      </c>
      <c r="G71" s="27" t="inlineStr">
        <is>
          <t>Operational readiness month</t>
        </is>
      </c>
      <c r="H71" s="46" t="n">
        <v>14</v>
      </c>
      <c r="I71" s="27" t="inlineStr"/>
      <c r="J71" s="27" t="inlineStr">
        <is>
          <t>month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DEV-00609</t>
        </is>
      </c>
      <c r="B72" s="27" t="inlineStr">
        <is>
          <t>Carve-out standalone, TSA, and stranded-cost analysis</t>
        </is>
      </c>
      <c r="C72" s="27" t="inlineStr">
        <is>
          <t>Carveout TSA exit plan</t>
        </is>
      </c>
      <c r="D72" s="27" t="inlineStr">
        <is>
          <t>IT</t>
        </is>
      </c>
      <c r="E72" s="27" t="inlineStr">
        <is>
          <t>Year 1</t>
        </is>
      </c>
      <c r="F72" s="27" t="inlineStr">
        <is>
          <t>Approved case</t>
        </is>
      </c>
      <c r="G72" s="27" t="inlineStr">
        <is>
          <t>TSA exit fee</t>
        </is>
      </c>
      <c r="H72" s="46" t="n">
        <v>80000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DEV-00610</t>
        </is>
      </c>
      <c r="B73" s="27" t="inlineStr">
        <is>
          <t>Carve-out standalone, TSA, and stranded-cost analysis</t>
        </is>
      </c>
      <c r="C73" s="27" t="inlineStr">
        <is>
          <t>Carveout TSA exit plan</t>
        </is>
      </c>
      <c r="D73" s="27" t="inlineStr">
        <is>
          <t>IT</t>
        </is>
      </c>
      <c r="E73" s="27" t="inlineStr">
        <is>
          <t>Year 1</t>
        </is>
      </c>
      <c r="F73" s="27" t="inlineStr">
        <is>
          <t>Approved case</t>
        </is>
      </c>
      <c r="G73" s="27" t="inlineStr">
        <is>
          <t>Year 1 stranded cost remediation percent</t>
        </is>
      </c>
      <c r="H73" s="46" t="n">
        <v>0.3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DEV-00611</t>
        </is>
      </c>
      <c r="B74" s="27" t="inlineStr">
        <is>
          <t>Carve-out standalone, TSA, and stranded-cost analysis</t>
        </is>
      </c>
      <c r="C74" s="27" t="inlineStr">
        <is>
          <t>Carveout TSA exit plan</t>
        </is>
      </c>
      <c r="D74" s="27" t="inlineStr">
        <is>
          <t>HR</t>
        </is>
      </c>
      <c r="E74" s="27" t="inlineStr">
        <is>
          <t>Year 1</t>
        </is>
      </c>
      <c r="F74" s="27" t="inlineStr">
        <is>
          <t>Approved case</t>
        </is>
      </c>
      <c r="G74" s="27" t="inlineStr">
        <is>
          <t>Operational readiness month</t>
        </is>
      </c>
      <c r="H74" s="46" t="n">
        <v>8</v>
      </c>
      <c r="I74" s="27" t="inlineStr"/>
      <c r="J74" s="27" t="inlineStr">
        <is>
          <t>month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DEV-00612</t>
        </is>
      </c>
      <c r="B75" s="27" t="inlineStr">
        <is>
          <t>Carve-out standalone, TSA, and stranded-cost analysis</t>
        </is>
      </c>
      <c r="C75" s="27" t="inlineStr">
        <is>
          <t>Carveout TSA exit plan</t>
        </is>
      </c>
      <c r="D75" s="27" t="inlineStr">
        <is>
          <t>HR</t>
        </is>
      </c>
      <c r="E75" s="27" t="inlineStr">
        <is>
          <t>Year 1</t>
        </is>
      </c>
      <c r="F75" s="27" t="inlineStr">
        <is>
          <t>Approved case</t>
        </is>
      </c>
      <c r="G75" s="27" t="inlineStr">
        <is>
          <t>TSA exit fee</t>
        </is>
      </c>
      <c r="H75" s="46" t="n">
        <v>20</v>
      </c>
      <c r="I75" s="27" t="inlineStr"/>
      <c r="J75" s="27" t="inlineStr">
        <is>
          <t>USD thousands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DEV-00613</t>
        </is>
      </c>
      <c r="B76" s="27" t="inlineStr">
        <is>
          <t>Carve-out standalone, TSA, and stranded-cost analysis</t>
        </is>
      </c>
      <c r="C76" s="27" t="inlineStr">
        <is>
          <t>Carveout TSA exit plan</t>
        </is>
      </c>
      <c r="D76" s="27" t="inlineStr">
        <is>
          <t>HR</t>
        </is>
      </c>
      <c r="E76" s="27" t="inlineStr">
        <is>
          <t>Year 1</t>
        </is>
      </c>
      <c r="F76" s="27" t="inlineStr">
        <is>
          <t>Approved case</t>
        </is>
      </c>
      <c r="G76" s="27" t="inlineStr">
        <is>
          <t>Year 1 stranded cost remediation percent</t>
        </is>
      </c>
      <c r="H76" s="46" t="n">
        <v>0.6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DEV-00614</t>
        </is>
      </c>
      <c r="B77" s="27" t="inlineStr">
        <is>
          <t>Carve-out standalone, TSA, and stranded-cost analysis</t>
        </is>
      </c>
      <c r="C77" s="27" t="inlineStr">
        <is>
          <t>Carveout TSA exit plan</t>
        </is>
      </c>
      <c r="D77" s="27" t="inlineStr">
        <is>
          <t>Facilities</t>
        </is>
      </c>
      <c r="E77" s="27" t="inlineStr">
        <is>
          <t>Year 1</t>
        </is>
      </c>
      <c r="F77" s="27" t="inlineStr">
        <is>
          <t>Approved case</t>
        </is>
      </c>
      <c r="G77" s="27" t="inlineStr">
        <is>
          <t>Operational readiness month</t>
        </is>
      </c>
      <c r="H77" s="46" t="n">
        <v>12</v>
      </c>
      <c r="I77" s="27" t="inlineStr"/>
      <c r="J77" s="27" t="inlineStr">
        <is>
          <t>month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DEV-00615</t>
        </is>
      </c>
      <c r="B78" s="27" t="inlineStr">
        <is>
          <t>Carve-out standalone, TSA, and stranded-cost analysis</t>
        </is>
      </c>
      <c r="C78" s="27" t="inlineStr">
        <is>
          <t>Carveout TSA exit plan</t>
        </is>
      </c>
      <c r="D78" s="27" t="inlineStr">
        <is>
          <t>Facilities</t>
        </is>
      </c>
      <c r="E78" s="27" t="inlineStr">
        <is>
          <t>Year 1</t>
        </is>
      </c>
      <c r="F78" s="27" t="inlineStr">
        <is>
          <t>Approved case</t>
        </is>
      </c>
      <c r="G78" s="27" t="inlineStr">
        <is>
          <t>TSA exit fee</t>
        </is>
      </c>
      <c r="H78" s="46" t="n">
        <v>45000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DEV-00616</t>
        </is>
      </c>
      <c r="B79" s="27" t="inlineStr">
        <is>
          <t>Carve-out standalone, TSA, and stranded-cost analysis</t>
        </is>
      </c>
      <c r="C79" s="27" t="inlineStr">
        <is>
          <t>Carveout TSA exit plan</t>
        </is>
      </c>
      <c r="D79" s="27" t="inlineStr">
        <is>
          <t>Facilities</t>
        </is>
      </c>
      <c r="E79" s="27" t="inlineStr">
        <is>
          <t>Year 1</t>
        </is>
      </c>
      <c r="F79" s="27" t="inlineStr">
        <is>
          <t>Approved case</t>
        </is>
      </c>
      <c r="G79" s="27" t="inlineStr">
        <is>
          <t>Year 1 stranded cost remediation percent</t>
        </is>
      </c>
      <c r="H79" s="46" t="n">
        <v>0.35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DEV-00617</t>
        </is>
      </c>
      <c r="B80" s="27" t="inlineStr">
        <is>
          <t>Carve-out standalone, TSA, and stranded-cost analysis</t>
        </is>
      </c>
      <c r="C80" s="27" t="inlineStr">
        <is>
          <t>Carveout TSA exit plan</t>
        </is>
      </c>
      <c r="D80" s="27" t="inlineStr">
        <is>
          <t>Insurance</t>
        </is>
      </c>
      <c r="E80" s="27" t="inlineStr">
        <is>
          <t>Year 1</t>
        </is>
      </c>
      <c r="F80" s="27" t="inlineStr">
        <is>
          <t>Approved case</t>
        </is>
      </c>
      <c r="G80" s="27" t="inlineStr">
        <is>
          <t>Operational readiness month</t>
        </is>
      </c>
      <c r="H80" s="46" t="n">
        <v>6</v>
      </c>
      <c r="I80" s="27" t="inlineStr"/>
      <c r="J80" s="27" t="inlineStr">
        <is>
          <t>month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DEV-00618</t>
        </is>
      </c>
      <c r="B81" s="27" t="inlineStr">
        <is>
          <t>Carve-out standalone, TSA, and stranded-cost analysis</t>
        </is>
      </c>
      <c r="C81" s="27" t="inlineStr">
        <is>
          <t>Carveout TSA exit plan</t>
        </is>
      </c>
      <c r="D81" s="27" t="inlineStr">
        <is>
          <t>Insurance</t>
        </is>
      </c>
      <c r="E81" s="27" t="inlineStr">
        <is>
          <t>Year 1</t>
        </is>
      </c>
      <c r="F81" s="27" t="inlineStr">
        <is>
          <t>Approved case</t>
        </is>
      </c>
      <c r="G81" s="27" t="inlineStr">
        <is>
          <t>TSA exit fee</t>
        </is>
      </c>
      <c r="H81" s="46" t="n">
        <v>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DEV-00619</t>
        </is>
      </c>
      <c r="B82" s="27" t="inlineStr">
        <is>
          <t>Carve-out standalone, TSA, and stranded-cost analysis</t>
        </is>
      </c>
      <c r="C82" s="27" t="inlineStr">
        <is>
          <t>Carveout TSA exit plan</t>
        </is>
      </c>
      <c r="D82" s="27" t="inlineStr">
        <is>
          <t>Insurance</t>
        </is>
      </c>
      <c r="E82" s="27" t="inlineStr">
        <is>
          <t>Year 1</t>
        </is>
      </c>
      <c r="F82" s="27" t="inlineStr">
        <is>
          <t>Approved case</t>
        </is>
      </c>
      <c r="G82" s="27" t="inlineStr">
        <is>
          <t>Year 1 stranded cost remediation percent</t>
        </is>
      </c>
      <c r="H82" s="46" t="n">
        <v>0.2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DEV-00620</t>
        </is>
      </c>
      <c r="B83" s="27" t="inlineStr">
        <is>
          <t>Carve-out standalone, TSA, and stranded-cost analysis</t>
        </is>
      </c>
      <c r="C83" s="27" t="inlineStr">
        <is>
          <t>Carveout TSA exit plan</t>
        </is>
      </c>
      <c r="D83" s="27" t="inlineStr">
        <is>
          <t>Procurement</t>
        </is>
      </c>
      <c r="E83" s="27" t="inlineStr">
        <is>
          <t>Year 1</t>
        </is>
      </c>
      <c r="F83" s="27" t="inlineStr">
        <is>
          <t>Approved case</t>
        </is>
      </c>
      <c r="G83" s="27" t="inlineStr">
        <is>
          <t>Operational readiness month</t>
        </is>
      </c>
      <c r="H83" s="46" t="n">
        <v>7</v>
      </c>
      <c r="I83" s="27" t="inlineStr"/>
      <c r="J83" s="27" t="inlineStr">
        <is>
          <t>month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DEV-00621</t>
        </is>
      </c>
      <c r="B84" s="27" t="inlineStr">
        <is>
          <t>Carve-out standalone, TSA, and stranded-cost analysis</t>
        </is>
      </c>
      <c r="C84" s="27" t="inlineStr">
        <is>
          <t>Carveout TSA exit plan</t>
        </is>
      </c>
      <c r="D84" s="27" t="inlineStr">
        <is>
          <t>Procurement</t>
        </is>
      </c>
      <c r="E84" s="27" t="inlineStr">
        <is>
          <t>Year 1</t>
        </is>
      </c>
      <c r="F84" s="27" t="inlineStr">
        <is>
          <t>Approved case</t>
        </is>
      </c>
      <c r="G84" s="27" t="inlineStr">
        <is>
          <t>TSA exit fee</t>
        </is>
      </c>
      <c r="H84" s="46" t="n">
        <v>25000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DEV-00622</t>
        </is>
      </c>
      <c r="B85" s="27" t="inlineStr">
        <is>
          <t>Carve-out standalone, TSA, and stranded-cost analysis</t>
        </is>
      </c>
      <c r="C85" s="27" t="inlineStr">
        <is>
          <t>Carveout TSA exit plan</t>
        </is>
      </c>
      <c r="D85" s="27" t="inlineStr">
        <is>
          <t>Procurement</t>
        </is>
      </c>
      <c r="E85" s="27" t="inlineStr">
        <is>
          <t>Year 1</t>
        </is>
      </c>
      <c r="F85" s="27" t="inlineStr">
        <is>
          <t>Approved case</t>
        </is>
      </c>
      <c r="G85" s="27" t="inlineStr">
        <is>
          <t>Year 1 stranded cost remediation percent</t>
        </is>
      </c>
      <c r="H85" s="46" t="n">
        <v>0.5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</sheetData>
  <autoFilter ref="A4:M85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corporate development investment committee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QoE and Working Capital</t>
        </is>
      </c>
      <c r="B5" s="40" t="n">
        <v>92</v>
      </c>
      <c r="C5" s="40">
        <f>COUNTA('QoE and Working Capital'!$A$5:$A$96)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Valuation</t>
        </is>
      </c>
      <c r="B6" s="41" t="n">
        <v>50</v>
      </c>
      <c r="C6" s="41">
        <f>COUNTA('Valuation'!$A$5:$A$54)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1" t="inlineStr">
        <is>
          <t>Transaction Models</t>
        </is>
      </c>
      <c r="B7" s="41" t="n">
        <v>202</v>
      </c>
      <c r="C7" s="41">
        <f>COUNTA('Transaction Models'!$A$5:$A$206)</f>
        <v/>
      </c>
      <c r="D7" s="41">
        <f>C7-B7</f>
        <v/>
      </c>
      <c r="E7" s="44">
        <f>IF(D7=0,"OK","CHECK")</f>
        <v/>
      </c>
      <c r="F7" s="41" t="inlineStr">
        <is>
          <t>CURRENT • CONTROLLER REVIEW COMPLETE</t>
        </is>
      </c>
    </row>
    <row r="8">
      <c r="A8" s="42" t="inlineStr">
        <is>
          <t>Carveout and Integration</t>
        </is>
      </c>
      <c r="B8" s="42" t="n">
        <v>81</v>
      </c>
      <c r="C8" s="42">
        <f>COUNTA('Carveout and Integration'!$A$5:$A$85)</f>
        <v/>
      </c>
      <c r="D8" s="42">
        <f>C8-B8</f>
        <v/>
      </c>
      <c r="E8" s="45">
        <f>IF(D8=0,"OK","CHECK")</f>
        <v/>
      </c>
      <c r="F8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2026-08-17T00:33:54Z</dcterms:created>
  <dcterms:modified xmlns:dcterms="http://purl.org/dc/terms/" xmlns:xsi="http://www.w3.org/2001/XMLSchema-instance" xsi:type="dcterms:W3CDTF">2026-08-17T00:33:54Z</dcterms:modified>
</cp:coreProperties>
</file>