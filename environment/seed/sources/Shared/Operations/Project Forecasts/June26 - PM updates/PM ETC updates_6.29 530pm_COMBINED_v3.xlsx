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bmission Register" sheetId="1" r:id="R0cf3f613b2784a68"/>
    <x:sheet xmlns:r="http://schemas.openxmlformats.org/officeDocument/2006/relationships" name="Project Forecasts" sheetId="2" r:id="Rc2bef0a0bf044bcf"/>
    <x:sheet xmlns:r="http://schemas.openxmlformats.org/officeDocument/2006/relationships" name="Commitment Detail" sheetId="3" r:id="R546a23ed811e4ac6"/>
    <x:sheet xmlns:r="http://schemas.openxmlformats.org/officeDocument/2006/relationships" name="Risks &amp; Opportunities" sheetId="4" r:id="R9d478bac7487405b"/>
    <x:sheet xmlns:r="http://schemas.openxmlformats.org/officeDocument/2006/relationships" name="Instructions &amp; Sign-off" sheetId="5" r:id="Rbff60add7551453a"/>
    <x:sheet xmlns:r="http://schemas.openxmlformats.org/officeDocument/2006/relationships" name="PM inputs - raw" sheetId="6" r:id="R36bb087576054fc8"/>
    <x:sheet xmlns:r="http://schemas.openxmlformats.org/officeDocument/2006/relationships" name="old roll fwd" sheetId="7" r:id="R8af451358ec141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$#,##0;[Red]($#,##0);-"/>
    <x:numFmt numFmtId="165" formatCode="yyyy-mm-dd"/>
  </x:numFmts>
  <x:fonts count="12">
    <x:font>
      <x:sz val="11"/>
      <x:name val="Carlito"/>
    </x:font>
    <x:font>
      <x:b/>
      <x:sz val="15"/>
      <x:color rgb="FF2A4337"/>
      <x:name val="Arial"/>
    </x:font>
    <x:font>
      <x:i/>
      <x:sz val="9"/>
      <x:color rgb="FF5E5A55"/>
      <x:name val="Arial"/>
    </x:font>
    <x:font>
      <x:b/>
      <x:sz val="9"/>
      <x:color rgb="FFFFFFFF"/>
      <x:name val="Arial"/>
    </x:font>
    <x:font>
      <x:sz val="9"/>
      <x:color rgb="FF252321"/>
      <x:name val="Arial"/>
    </x:font>
    <x:font>
      <x:sz val="9"/>
      <x:color rgb="FF8B5E3C"/>
      <x:name val="Arial"/>
    </x:font>
    <x:font>
      <x:b/>
      <x:sz val="9"/>
      <x:color rgb="FF252321"/>
      <x:name val="Arial"/>
    </x:font>
    <x:font>
      <x:b/>
      <x:sz val="11"/>
      <x:color rgb="FF2A4337"/>
      <x:name val="Arial"/>
    </x:font>
    <x:font>
      <x:b/>
      <x:sz val="11"/>
      <x:color rgb="FFFFFFFF"/>
      <x:name val="Carlito"/>
    </x:font>
    <x:font>
      <x:sz val="11"/>
      <x:name val="Carlito"/>
    </x:font>
    <x:font>
      <x:b/>
      <x:sz val="8"/>
      <x:color rgb="FFFFFFFF"/>
      <x:name val="Arial"/>
    </x:font>
    <x:font>
      <x:sz val="8"/>
      <x:color rgb="FF25232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8F5EF"/>
      </x:patternFill>
    </x:fill>
    <x:fill>
      <x:patternFill patternType="solid">
        <x:fgColor rgb="FFF3E6D5"/>
      </x:patternFill>
    </x:fill>
    <x:fill>
      <x:patternFill patternType="solid">
        <x:fgColor rgb="FF2A4337"/>
      </x:patternFill>
    </x:fill>
    <x:fill>
      <x:patternFill patternType="solid">
        <x:fgColor rgb="FFFFF4B8"/>
      </x:patternFill>
    </x:fill>
    <x:fill>
      <x:patternFill patternType="solid">
        <x:fgColor rgb="FF4A4743"/>
      </x:patternFill>
    </x:fill>
  </x:fills>
  <x:borders count="9">
    <x:border/>
    <x:border>
      <x:bottom style="medium">
        <x:color rgb="FF8B5E3C"/>
      </x:bottom>
    </x:border>
    <x:border>
      <x:left style="thin">
        <x:color rgb="FF2A4337"/>
      </x:left>
      <x:top style="thin">
        <x:color rgb="FF2A4337"/>
      </x:top>
      <x:bottom style="thin">
        <x:color rgb="FF2A4337"/>
      </x:bottom>
    </x:border>
    <x:border>
      <x:top style="thin">
        <x:color rgb="FF2A4337"/>
      </x:top>
      <x:bottom style="thin">
        <x:color rgb="FF2A4337"/>
      </x:bottom>
    </x:border>
    <x:border>
      <x:right style="thin">
        <x:color rgb="FF2A4337"/>
      </x:right>
      <x:top style="thin">
        <x:color rgb="FF2A4337"/>
      </x:top>
      <x:bottom style="thin">
        <x:color rgb="FF2A4337"/>
      </x:bottom>
    </x:border>
    <x:border>
      <x:bottom style="thin">
        <x:color rgb="FFD8D0C6"/>
      </x:bottom>
    </x:border>
    <x:border>
      <x:bottom style="hair">
        <x:color rgb="FFD8D1C8"/>
      </x:bottom>
    </x:border>
    <x:border>
      <x:top style="hair">
        <x:color rgb="FFD8D1C8"/>
      </x:top>
      <x:bottom style="hair">
        <x:color rgb="FFD8D1C8"/>
      </x:bottom>
    </x:border>
    <x:border>
      <x:top style="hair">
        <x:color rgb="FFD8D1C8"/>
      </x:top>
    </x:border>
  </x:borders>
  <x:cellStyleXfs count="1">
    <x:xf numFmtId="0" fontId="9" fillId="0" borderId="0"/>
  </x:cellStyleXfs>
  <x:cellXfs count="22">
    <x:xf numFmtId="0" fontId="0" fillId="0" borderId="0" xfId="0"/>
    <x:xf numFmtId="0" fontId="1" fillId="2" borderId="1" xfId="0" applyAlignment="1">
      <x:alignment vertical="center"/>
    </x:xf>
    <x:xf numFmtId="0" fontId="2" fillId="3" borderId="0" xfId="0"/>
    <x:xf numFmtId="0" fontId="3" fillId="4" borderId="2" xfId="0" applyAlignment="1">
      <x:alignment vertical="center" wrapText="1"/>
    </x:xf>
    <x:xf numFmtId="0" fontId="3" fillId="4" borderId="3" xfId="0" applyAlignment="1">
      <x:alignment vertical="center" wrapText="1"/>
    </x:xf>
    <x:xf numFmtId="0" fontId="3" fillId="4" borderId="4" xfId="0" applyAlignment="1">
      <x:alignment vertical="center" wrapText="1"/>
    </x:xf>
    <x:xf numFmtId="0" fontId="4" fillId="0" borderId="0" xfId="0" applyAlignment="1">
      <x:alignment vertical="center"/>
    </x:xf>
    <x:xf numFmtId="164" fontId="5" fillId="0" borderId="0" xfId="0" applyAlignment="1">
      <x:alignment vertical="center"/>
    </x:xf>
    <x:xf numFmtId="164" fontId="4" fillId="0" borderId="0" xfId="0" applyAlignment="1">
      <x:alignment vertical="center"/>
    </x:xf>
    <x:xf numFmtId="164" fontId="6" fillId="0" borderId="0" xfId="0" applyAlignment="1">
      <x:alignment vertical="center"/>
    </x:xf>
    <x:xf numFmtId="165" fontId="4" fillId="0" borderId="0" xfId="0" applyAlignment="1">
      <x:alignment vertical="center"/>
    </x:xf>
    <x:xf numFmtId="0" fontId="7" fillId="3" borderId="5" xfId="0"/>
    <x:xf numFmtId="0" fontId="8" fillId="4" borderId="0" xfId="0" applyAlignment="1">
      <x:alignment horizontal="center"/>
    </x:xf>
    <x:xf numFmtId="0" fontId="9" fillId="0" borderId="0" xfId="0" applyAlignment="1">
      <x:alignment wrapText="1"/>
    </x:xf>
    <x:xf numFmtId="0" fontId="6" fillId="5" borderId="0" xfId="0" applyAlignment="1">
      <x:alignment wrapText="1"/>
    </x:xf>
    <x:xf numFmtId="0" fontId="10" fillId="6" borderId="6" xfId="0" applyAlignment="1">
      <x:alignment wrapText="1"/>
    </x:xf>
    <x:xf numFmtId="0" fontId="11" fillId="0" borderId="7" xfId="0" applyAlignment="1">
      <x:alignment vertical="center"/>
    </x:xf>
    <x:xf numFmtId="0" fontId="11" fillId="0" borderId="8" xfId="0" applyAlignment="1">
      <x:alignment vertical="center"/>
    </x:xf>
    <x:xf numFmtId="164" fontId="11" fillId="0" borderId="7" xfId="0" applyAlignment="1">
      <x:alignment vertical="center"/>
    </x:xf>
    <x:xf numFmtId="164" fontId="11" fillId="0" borderId="8" xfId="0" applyAlignment="1">
      <x:alignment vertical="center"/>
    </x:xf>
    <x:xf numFmtId="0" fontId="0" fillId="0" borderId="1" xfId="0"/>
    <x:xf numFmtId="0" fontId="0" fillId="0" borderId="5" xfId="0"/>
  </x:cellXfs>
  <x:cellStyles count="1">
    <x:cellStyle name="Normal" xfId="0"/>
  </x:cellStyles>
  <x:dxfs count="1">
    <x:dxf>
      <x:font>
        <x:b/>
        <x:color rgb="008B3A3A"/>
      </x:font>
      <x:fill>
        <x:patternFill>
          <x:bgColor rgb="00F3DED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4892f6fd324bfa" /><Relationship Type="http://schemas.openxmlformats.org/officeDocument/2006/relationships/theme" Target="/xl/theme/theme1.xml" Id="Rbda550697c9045c9" /><Relationship Type="http://schemas.openxmlformats.org/officeDocument/2006/relationships/sharedStrings" Target="/xl/sharedStrings.xml" Id="Rb71fc3f10cf54e98" /><Relationship Type="http://schemas.openxmlformats.org/officeDocument/2006/relationships/worksheet" Target="/xl/worksheets/sheet1.xml" Id="R0cf3f613b2784a68" /><Relationship Type="http://schemas.openxmlformats.org/officeDocument/2006/relationships/worksheet" Target="/xl/worksheets/sheet2.xml" Id="Rc2bef0a0bf044bcf" /><Relationship Type="http://schemas.openxmlformats.org/officeDocument/2006/relationships/worksheet" Target="/xl/worksheets/sheet3.xml" Id="R546a23ed811e4ac6" /><Relationship Type="http://schemas.openxmlformats.org/officeDocument/2006/relationships/worksheet" Target="/xl/worksheets/sheet4.xml" Id="R9d478bac7487405b" /><Relationship Type="http://schemas.openxmlformats.org/officeDocument/2006/relationships/worksheet" Target="/xl/worksheets/sheet5.xml" Id="Rbff60add7551453a" /><Relationship Type="http://schemas.openxmlformats.org/officeDocument/2006/relationships/worksheet" Target="/xl/worksheets/sheet6.xml" Id="R36bb087576054fc8" /><Relationship Type="http://schemas.openxmlformats.org/officeDocument/2006/relationships/worksheet" Target="/xl/worksheets/sheet7.xml" Id="R8af451358ec1418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3" customWidth="1"/>
    <x:col min="2" max="2" width="42" customWidth="1"/>
    <x:col min="3" max="3" width="19" customWidth="1"/>
    <x:col min="4" max="4" width="22" customWidth="1"/>
    <x:col min="5" max="5" width="13" customWidth="1"/>
    <x:col min="6" max="6" width="17" customWidth="1"/>
    <x:col min="7" max="7" width="18" customWidth="1"/>
    <x:col min="8" max="8" width="58" customWidth="1"/>
    <x:col min="9" max="9" width="28" customWidth="1"/>
  </x:cols>
  <x:sheetData>
    <x:row r="1" ht="23" customHeight="1">
      <x:c r="A1" s="1" t="inlineStr">
        <x:is>
          <x:t xml:space="preserve">June 2026 Project Forecast Submissions</x:t>
        </x:is>
      </x:c>
      <x:c r="B1" s="20" t="n"/>
      <x:c r="C1" s="20" t="n"/>
      <x:c r="D1" s="20" t="n"/>
      <x:c r="E1" s="20" t="n"/>
      <x:c r="F1" s="20" t="n"/>
      <x:c r="G1" s="20" t="n"/>
      <x:c r="H1" s="20" t="n"/>
      <x:c r="I1" s="20" t="n"/>
    </x:row>
    <x:row r="2" ht="23" customHeight="1">
      <x:c r="A2" s="2" t="inlineStr">
        <x:is>
          <x:t xml:space="preserve">Snapshot exported 2026-06-29 17:30 PT | Operations Finance working file</x:t>
        </x:is>
      </x:c>
    </x:row>
    <x:row r="3"/>
    <x:row r="4"/>
    <x:row r="5" ht="30" customHeight="1">
      <x:c r="A5" s="3" t="inlineStr">
        <x:is>
          <x:t xml:space="preserve">Project ID</x:t>
        </x:is>
      </x:c>
      <x:c r="B5" s="4" t="inlineStr">
        <x:is>
          <x:t xml:space="preserve">Project</x:t>
        </x:is>
      </x:c>
      <x:c r="C5" s="4" t="inlineStr">
        <x:is>
          <x:t xml:space="preserve">Project Manager</x:t>
        </x:is>
      </x:c>
      <x:c r="D5" s="4" t="inlineStr">
        <x:is>
          <x:t xml:space="preserve">Submitted At</x:t>
        </x:is>
      </x:c>
      <x:c r="E5" s="4" t="inlineStr">
        <x:is>
          <x:t xml:space="preserve">Confidence</x:t>
        </x:is>
      </x:c>
      <x:c r="F5" s="4" t="inlineStr">
        <x:is>
          <x:t xml:space="preserve">Forecast ETC</x:t>
        </x:is>
      </x:c>
      <x:c r="G5" s="4" t="inlineStr">
        <x:is>
          <x:t xml:space="preserve">Current Cost Budget</x:t>
        </x:is>
      </x:c>
      <x:c r="H5" s="4" t="inlineStr">
        <x:is>
          <x:t xml:space="preserve">PM Comment</x:t>
        </x:is>
      </x:c>
      <x:c r="I5" s="5" t="inlineStr">
        <x:is>
          <x:t xml:space="preserve">Submission Status</x:t>
        </x:is>
      </x:c>
    </x:row>
    <x:row r="6">
      <x:c r="A6" s="6" t="inlineStr">
        <x:is>
          <x:t xml:space="preserve">ARM-2318</x:t>
        </x:is>
      </x:c>
      <x:c r="B6" s="6" t="inlineStr">
        <x:is>
          <x:t xml:space="preserve">Columbia Biologics Clean Utilities</x:t>
        </x:is>
      </x:c>
      <x:c r="C6" s="6" t="inlineStr">
        <x:is>
          <x:t xml:space="preserve">Maya Chen</x:t>
        </x:is>
      </x:c>
      <x:c r="D6" s="6" t="inlineStr">
        <x:is>
          <x:t xml:space="preserve">2026-06-27 15:15</x:t>
        </x:is>
      </x:c>
      <x:c r="E6" s="6" t="inlineStr">
        <x:is>
          <x:t xml:space="preserve">Medium</x:t>
        </x:is>
      </x:c>
      <x:c r="F6" s="7" t="n">
        <x:v>173800</x:v>
      </x:c>
      <x:c r="G6" s="8" t="n">
        <x:v>7271000</x:v>
      </x:c>
      <x:c r="H6" s="6" t="inlineStr">
        <x:is>
          <x:t xml:space="preserve">Forecast based on CV-2318-06 and open PO-2318-102.</x:t>
        </x:is>
      </x:c>
      <x:c r="I6" s="6" t="inlineStr">
        <x:is>
          <x:t xml:space="preserve">Received</x:t>
        </x:is>
      </x:c>
    </x:row>
    <x:row r="7">
      <x:c r="A7" s="6" t="inlineStr">
        <x:is>
          <x:t xml:space="preserve">ARM-2403</x:t>
        </x:is>
      </x:c>
      <x:c r="B7" s="6" t="inlineStr">
        <x:is>
          <x:t xml:space="preserve">Riverton Civic Center HVAC Renewal</x:t>
        </x:is>
      </x:c>
      <x:c r="C7" s="6" t="inlineStr">
        <x:is>
          <x:t xml:space="preserve">Elliot Marks</x:t>
        </x:is>
      </x:c>
      <x:c r="D7" s="6" t="inlineStr">
        <x:is>
          <x:t xml:space="preserve">2026-06-27 18:15</x:t>
        </x:is>
      </x:c>
      <x:c r="E7" s="6" t="inlineStr">
        <x:is>
          <x:t xml:space="preserve">High</x:t>
        </x:is>
      </x:c>
      <x:c r="F7" s="7" t="n">
        <x:v>892000</x:v>
      </x:c>
      <x:c r="G7" s="8" t="n">
        <x:v>5109000</x:v>
      </x:c>
      <x:c r="H7" s="6" t="inlineStr">
        <x:is>
          <x:t xml:space="preserve">Current field plan and committed buyout reflected.</x:t>
        </x:is>
      </x:c>
      <x:c r="I7" s="6" t="inlineStr">
        <x:is>
          <x:t xml:space="preserve">Received</x:t>
        </x:is>
      </x:c>
    </x:row>
    <x:row r="8">
      <x:c r="A8" s="6" t="inlineStr">
        <x:is>
          <x:t xml:space="preserve">ARM-2409</x:t>
        </x:is>
      </x:c>
      <x:c r="B8" s="6" t="inlineStr">
        <x:is>
          <x:t xml:space="preserve">Northline Cold Storage Expansion</x:t>
        </x:is>
      </x:c>
      <x:c r="C8" s="6" t="inlineStr">
        <x:is>
          <x:t xml:space="preserve">Priya Raman</x:t>
        </x:is>
      </x:c>
      <x:c r="D8" s="6" t="inlineStr">
        <x:is>
          <x:t xml:space="preserve">2026-06-28 16:15</x:t>
        </x:is>
      </x:c>
      <x:c r="E8" s="6" t="inlineStr">
        <x:is>
          <x:t xml:space="preserve">Low</x:t>
        </x:is>
      </x:c>
      <x:c r="F8" s="7" t="n">
        <x:v>584000</x:v>
      </x:c>
      <x:c r="G8" s="8" t="n">
        <x:v>4321000</x:v>
      </x:c>
      <x:c r="H8" s="6" t="inlineStr">
        <x:is>
          <x:t xml:space="preserve">Forecast refreshed in the weekly project review and submitted 2026-06-28.</x:t>
        </x:is>
      </x:c>
      <x:c r="I8" s="6" t="inlineStr">
        <x:is>
          <x:t xml:space="preserve">Received - review not started</x:t>
        </x:is>
      </x:c>
    </x:row>
    <x:row r="9">
      <x:c r="A9" s="6" t="inlineStr">
        <x:is>
          <x:t xml:space="preserve">ARM-2412</x:t>
        </x:is>
      </x:c>
      <x:c r="B9" s="6" t="inlineStr">
        <x:is>
          <x:t xml:space="preserve">OSU Kelley Engineering Lab Ventilation</x:t>
        </x:is>
      </x:c>
      <x:c r="C9" s="6" t="inlineStr">
        <x:is>
          <x:t xml:space="preserve">Elliot Marks</x:t>
        </x:is>
      </x:c>
      <x:c r="D9" s="6" t="inlineStr">
        <x:is>
          <x:t xml:space="preserve">2026-06-26 17:15</x:t>
        </x:is>
      </x:c>
      <x:c r="E9" s="6" t="inlineStr">
        <x:is>
          <x:t xml:space="preserve">High</x:t>
        </x:is>
      </x:c>
      <x:c r="F9" s="7" t="n">
        <x:v>947000</x:v>
      </x:c>
      <x:c r="G9" s="8" t="n">
        <x:v>4083000</x:v>
      </x:c>
      <x:c r="H9" s="6" t="inlineStr">
        <x:is>
          <x:t xml:space="preserve">Current field plan and committed buyout reflected.</x:t>
        </x:is>
      </x:c>
      <x:c r="I9" s="6" t="inlineStr">
        <x:is>
          <x:t xml:space="preserve">Received</x:t>
        </x:is>
      </x:c>
    </x:row>
    <x:row r="10">
      <x:c r="A10" s="6" t="inlineStr">
        <x:is>
          <x:t xml:space="preserve">ARM-2417</x:t>
        </x:is>
      </x:c>
      <x:c r="B10" s="6" t="inlineStr">
        <x:is>
          <x:t xml:space="preserve">Cascade Health Ambulatory Pavilion</x:t>
        </x:is>
      </x:c>
      <x:c r="C10" s="6" t="inlineStr">
        <x:is>
          <x:t xml:space="preserve">Maya Chen</x:t>
        </x:is>
      </x:c>
      <x:c r="D10" s="6" t="inlineStr">
        <x:is>
          <x:t xml:space="preserve">2026-06-26 18:15</x:t>
        </x:is>
      </x:c>
      <x:c r="E10" s="6" t="inlineStr">
        <x:is>
          <x:t xml:space="preserve">Low</x:t>
        </x:is>
      </x:c>
      <x:c r="F10" s="7" t="n">
        <x:v>3048000</x:v>
      </x:c>
      <x:c r="G10" s="8" t="n">
        <x:v>7970000</x:v>
      </x:c>
      <x:c r="H10" s="6" t="inlineStr">
        <x:is>
          <x:t xml:space="preserve">Forecast based on phasing Rev 5 and open commitments through 6/24.</x:t>
        </x:is>
      </x:c>
      <x:c r="I10" s="6" t="inlineStr">
        <x:is>
          <x:t xml:space="preserve">Received - review not started</x:t>
        </x:is>
      </x:c>
    </x:row>
    <x:row r="11">
      <x:c r="A11" s="6" t="inlineStr">
        <x:is>
          <x:t xml:space="preserve">ARM-2421</x:t>
        </x:is>
      </x:c>
      <x:c r="B11" s="6" t="inlineStr">
        <x:is>
          <x:t xml:space="preserve">Juniper Hotel Boiler Plant Replacement</x:t>
        </x:is>
      </x:c>
      <x:c r="C11" s="6" t="inlineStr">
        <x:is>
          <x:t xml:space="preserve">Lucas Bennett</x:t>
        </x:is>
      </x:c>
      <x:c r="D11" s="6" t="inlineStr">
        <x:is>
          <x:t xml:space="preserve">2026-06-25 16:15</x:t>
        </x:is>
      </x:c>
      <x:c r="E11" s="6" t="inlineStr">
        <x:is>
          <x:t xml:space="preserve">High</x:t>
        </x:is>
      </x:c>
      <x:c r="F11" s="7" t="n">
        <x:v>31000</x:v>
      </x:c>
      <x:c r="G11" s="8" t="n">
        <x:v>1755000</x:v>
      </x:c>
      <x:c r="H11" s="6" t="inlineStr">
        <x:is>
          <x:t xml:space="preserve">Current field plan and committed buyout reflected.</x:t>
        </x:is>
      </x:c>
      <x:c r="I11" s="6" t="inlineStr">
        <x:is>
          <x:t xml:space="preserve">Received</x:t>
        </x:is>
      </x:c>
    </x:row>
    <x:row r="12">
      <x:c r="A12" s="6" t="inlineStr">
        <x:is>
          <x:t xml:space="preserve">ARM-2501</x:t>
        </x:is>
      </x:c>
      <x:c r="B12" s="6" t="inlineStr">
        <x:is>
          <x:t xml:space="preserve">PDX Concourse E Controls Retrofit</x:t>
        </x:is>
      </x:c>
      <x:c r="C12" s="6" t="inlineStr">
        <x:is>
          <x:t xml:space="preserve">Sofia Alvarez</x:t>
        </x:is>
      </x:c>
      <x:c r="D12" s="6" t="inlineStr">
        <x:is>
          <x:t xml:space="preserve">2026-06-25 16:15</x:t>
        </x:is>
      </x:c>
      <x:c r="E12" s="6" t="inlineStr">
        <x:is>
          <x:t xml:space="preserve">High</x:t>
        </x:is>
      </x:c>
      <x:c r="F12" s="7" t="n">
        <x:v>914000</x:v>
      </x:c>
      <x:c r="G12" s="8" t="n">
        <x:v>2624000</x:v>
      </x:c>
      <x:c r="H12" s="6" t="inlineStr">
        <x:is>
          <x:t xml:space="preserve">Current field plan and committed buyout reflected.</x:t>
        </x:is>
      </x:c>
      <x:c r="I12" s="6" t="inlineStr">
        <x:is>
          <x:t xml:space="preserve">Received</x:t>
        </x:is>
      </x:c>
    </x:row>
    <x:row r="13">
      <x:c r="A13" s="6" t="inlineStr">
        <x:is>
          <x:t xml:space="preserve">ARM-2506</x:t>
        </x:is>
      </x:c>
      <x:c r="B13" s="6" t="inlineStr">
        <x:is>
          <x:t xml:space="preserve">Eastbank Data Hall Cooling Expansion</x:t>
        </x:is>
      </x:c>
      <x:c r="C13" s="6" t="inlineStr">
        <x:is>
          <x:t xml:space="preserve">Priya Raman</x:t>
        </x:is>
      </x:c>
      <x:c r="D13" s="6" t="inlineStr">
        <x:is>
          <x:t xml:space="preserve">2026-06-25 17:15</x:t>
        </x:is>
      </x:c>
      <x:c r="E13" s="6" t="inlineStr">
        <x:is>
          <x:t xml:space="preserve">Low</x:t>
        </x:is>
      </x:c>
      <x:c r="F13" s="7" t="n">
        <x:v>4731000</x:v>
      </x:c>
      <x:c r="G13" s="8" t="n">
        <x:v>8722000</x:v>
      </x:c>
      <x:c r="H13" s="6" t="inlineStr">
        <x:is>
          <x:t xml:space="preserve">Forecast based on IFC package E-18 and commitments through 6/24.</x:t>
        </x:is>
      </x:c>
      <x:c r="I13" s="6" t="inlineStr">
        <x:is>
          <x:t xml:space="preserve">Received - review not started</x:t>
        </x:is>
      </x:c>
    </x:row>
    <x:row r="14">
      <x:c r="A14" s="6" t="inlineStr">
        <x:is>
          <x:t xml:space="preserve">ARM-2510</x:t>
        </x:is>
      </x:c>
      <x:c r="B14" s="6" t="inlineStr">
        <x:is>
          <x:t xml:space="preserve">Hawthorne Yard Mixed-Use Mechanical</x:t>
        </x:is>
      </x:c>
      <x:c r="C14" s="6" t="inlineStr">
        <x:is>
          <x:t xml:space="preserve">Maya Chen</x:t>
        </x:is>
      </x:c>
      <x:c r="D14" s="6" t="inlineStr">
        <x:is>
          <x:t xml:space="preserve">2026-06-24 15:15</x:t>
        </x:is>
      </x:c>
      <x:c r="E14" s="6" t="inlineStr">
        <x:is>
          <x:t xml:space="preserve">High</x:t>
        </x:is>
      </x:c>
      <x:c r="F14" s="7" t="n">
        <x:v>3284000</x:v>
      </x:c>
      <x:c r="G14" s="8" t="n">
        <x:v>5968000</x:v>
      </x:c>
      <x:c r="H14" s="6" t="inlineStr">
        <x:is>
          <x:t xml:space="preserve">Current field plan and committed buyout reflected.</x:t>
        </x:is>
      </x:c>
      <x:c r="I14" s="6" t="inlineStr">
        <x:is>
          <x:t xml:space="preserve">Received</x:t>
        </x:is>
      </x:c>
    </x:row>
    <x:row r="15">
      <x:c r="A15" s="6" t="inlineStr">
        <x:is>
          <x:t xml:space="preserve">ARM-2514</x:t>
        </x:is>
      </x:c>
      <x:c r="B15" s="6" t="inlineStr">
        <x:is>
          <x:t xml:space="preserve">Redmond Unified Schools Phase 2</x:t>
        </x:is>
      </x:c>
      <x:c r="C15" s="6" t="inlineStr">
        <x:is>
          <x:t xml:space="preserve">Lucas Bennett</x:t>
        </x:is>
      </x:c>
      <x:c r="D15" s="6" t="inlineStr">
        <x:is>
          <x:t xml:space="preserve">2026-06-28 15:15</x:t>
        </x:is>
      </x:c>
      <x:c r="E15" s="6" t="inlineStr">
        <x:is>
          <x:t xml:space="preserve">High</x:t>
        </x:is>
      </x:c>
      <x:c r="F15" s="7" t="n">
        <x:v>1492000</x:v>
      </x:c>
      <x:c r="G15" s="8" t="n">
        <x:v>5529000</x:v>
      </x:c>
      <x:c r="H15" s="6" t="inlineStr">
        <x:is>
          <x:t xml:space="preserve">Current field plan and committed buyout reflected.</x:t>
        </x:is>
      </x:c>
      <x:c r="I15" s="6" t="inlineStr">
        <x:is>
          <x:t xml:space="preserve">Received</x:t>
        </x:is>
      </x:c>
    </x:row>
    <x:row r="16">
      <x:c r="A16" s="6" t="inlineStr">
        <x:is>
          <x:t xml:space="preserve">ARM-2518</x:t>
        </x:is>
      </x:c>
      <x:c r="B16" s="6" t="inlineStr">
        <x:is>
          <x:t xml:space="preserve">Deschutes Fleet Services Maintenance Facility</x:t>
        </x:is>
      </x:c>
      <x:c r="C16" s="6" t="inlineStr">
        <x:is>
          <x:t xml:space="preserve">Lucas Bennett</x:t>
        </x:is>
      </x:c>
      <x:c r="D16" s="6" t="inlineStr">
        <x:is>
          <x:t xml:space="preserve">2026-06-27 15:15</x:t>
        </x:is>
      </x:c>
      <x:c r="E16" s="6" t="inlineStr">
        <x:is>
          <x:t xml:space="preserve">High</x:t>
        </x:is>
      </x:c>
      <x:c r="F16" s="7" t="n">
        <x:v>1296000</x:v>
      </x:c>
      <x:c r="G16" s="8" t="n">
        <x:v>2523000</x:v>
      </x:c>
      <x:c r="H16" s="6" t="inlineStr">
        <x:is>
          <x:t xml:space="preserve">Current field plan and committed buyout reflected.</x:t>
        </x:is>
      </x:c>
      <x:c r="I16" s="6" t="inlineStr">
        <x:is>
          <x:t xml:space="preserve">Received</x:t>
        </x:is>
      </x:c>
    </x:row>
    <x:row r="17">
      <x:c r="A17" s="6" t="inlineStr">
        <x:is>
          <x:t xml:space="preserve">ARM-2522</x:t>
        </x:is>
      </x:c>
      <x:c r="B17" s="6" t="inlineStr">
        <x:is>
          <x:t xml:space="preserve">Summit Surgical Center Central Plant</x:t>
        </x:is>
      </x:c>
      <x:c r="C17" s="6" t="inlineStr">
        <x:is>
          <x:t xml:space="preserve">Elliot Marks</x:t>
        </x:is>
      </x:c>
      <x:c r="D17" s="6" t="inlineStr">
        <x:is>
          <x:t xml:space="preserve">2026-06-26 17:15</x:t>
        </x:is>
      </x:c>
      <x:c r="E17" s="6" t="inlineStr">
        <x:is>
          <x:t xml:space="preserve">High</x:t>
        </x:is>
      </x:c>
      <x:c r="F17" s="7" t="n">
        <x:v>1982000</x:v>
      </x:c>
      <x:c r="G17" s="8" t="n">
        <x:v>3424000</x:v>
      </x:c>
      <x:c r="H17" s="6" t="inlineStr">
        <x:is>
          <x:t xml:space="preserve">Current field plan and committed buyout reflected.</x:t>
        </x:is>
      </x:c>
      <x:c r="I17" s="6" t="inlineStr">
        <x:is>
          <x:t xml:space="preserve">Received</x:t>
        </x:is>
      </x:c>
    </x:row>
    <x:row r="18">
      <x:c r="A18" s="6" t="inlineStr">
        <x:is>
          <x:t xml:space="preserve">ARM-2526</x:t>
        </x:is>
      </x:c>
      <x:c r="B18" s="6" t="inlineStr">
        <x:is>
          <x:t xml:space="preserve">Willamette Food Co-op Refrigeration Upgrade</x:t>
        </x:is>
      </x:c>
      <x:c r="C18" s="6" t="inlineStr">
        <x:is>
          <x:t xml:space="preserve">Sofia Alvarez</x:t>
        </x:is>
      </x:c>
      <x:c r="D18" s="6" t="inlineStr">
        <x:is>
          <x:t xml:space="preserve">2026-06-25 17:15</x:t>
        </x:is>
      </x:c>
      <x:c r="E18" s="6" t="inlineStr">
        <x:is>
          <x:t xml:space="preserve">High</x:t>
        </x:is>
      </x:c>
      <x:c r="F18" s="7" t="n">
        <x:v>347000</x:v>
      </x:c>
      <x:c r="G18" s="8" t="n">
        <x:v>1370000</x:v>
      </x:c>
      <x:c r="H18" s="6" t="inlineStr">
        <x:is>
          <x:t xml:space="preserve">Current field plan and committed buyout reflected.</x:t>
        </x:is>
      </x:c>
      <x:c r="I18" s="6" t="inlineStr">
        <x:is>
          <x:t xml:space="preserve">Received</x:t>
        </x:is>
      </x:c>
    </x:row>
    <x:row r="19">
      <x:c r="A19" s="6" t="inlineStr">
        <x:is>
          <x:t xml:space="preserve">ARM-2602</x:t>
        </x:is>
      </x:c>
      <x:c r="B19" s="6" t="inlineStr">
        <x:is>
          <x:t xml:space="preserve">Pacific NW Distribution Center Heat Recovery</x:t>
        </x:is>
      </x:c>
      <x:c r="C19" s="6" t="inlineStr">
        <x:is>
          <x:t xml:space="preserve">Priya Raman</x:t>
        </x:is>
      </x:c>
      <x:c r="D19" s="6" t="inlineStr">
        <x:is>
          <x:t xml:space="preserve">2026-06-26 17:15</x:t>
        </x:is>
      </x:c>
      <x:c r="E19" s="6" t="inlineStr">
        <x:is>
          <x:t xml:space="preserve">High</x:t>
        </x:is>
      </x:c>
      <x:c r="F19" s="7" t="n">
        <x:v>3644000</x:v>
      </x:c>
      <x:c r="G19" s="8" t="n">
        <x:v>4455000</x:v>
      </x:c>
      <x:c r="H19" s="6" t="inlineStr">
        <x:is>
          <x:t xml:space="preserve">Current field plan and committed buyout reflected.</x:t>
        </x:is>
      </x:c>
      <x:c r="I19" s="6" t="inlineStr">
        <x:is>
          <x:t xml:space="preserve">Received</x:t>
        </x:is>
      </x:c>
    </x:row>
    <x:row r="20">
      <x:c r="A20" s="6" t="inlineStr">
        <x:is>
          <x:t xml:space="preserve">ARM-2605</x:t>
        </x:is>
      </x:c>
      <x:c r="B20" s="6" t="inlineStr">
        <x:is>
          <x:t xml:space="preserve">Rose Quarter Event Level Ventilation</x:t>
        </x:is>
      </x:c>
      <x:c r="C20" s="6" t="inlineStr">
        <x:is>
          <x:t xml:space="preserve">Elliot Marks</x:t>
        </x:is>
      </x:c>
      <x:c r="D20" s="6" t="inlineStr">
        <x:is>
          <x:t xml:space="preserve">2026-06-24 16:15</x:t>
        </x:is>
      </x:c>
      <x:c r="E20" s="6" t="inlineStr">
        <x:is>
          <x:t xml:space="preserve">Medium</x:t>
        </x:is>
      </x:c>
      <x:c r="F20" s="7" t="n">
        <x:v>4124000</x:v>
      </x:c>
      <x:c r="G20" s="8" t="n">
        <x:v>4782000</x:v>
      </x:c>
      <x:c r="H20" s="6" t="inlineStr">
        <x:is>
          <x:t xml:space="preserve">Current field plan and committed buyout reflected.</x:t>
        </x:is>
      </x:c>
      <x:c r="I20" s="6" t="inlineStr">
        <x:is>
          <x:t xml:space="preserve">Received</x:t>
        </x:is>
      </x:c>
    </x:row>
    <x:row r="21">
      <x:c r="A21" s="6" t="inlineStr">
        <x:is>
          <x:t xml:space="preserve">ARM-2608</x:t>
        </x:is>
      </x:c>
      <x:c r="B21" s="6" t="inlineStr">
        <x:is>
          <x:t xml:space="preserve">Cascade Health Imaging Suite Controls</x:t>
        </x:is>
      </x:c>
      <x:c r="C21" s="6" t="inlineStr">
        <x:is>
          <x:t xml:space="preserve">Sofia Alvarez</x:t>
        </x:is>
      </x:c>
      <x:c r="D21" s="6" t="inlineStr">
        <x:is>
          <x:t xml:space="preserve">2026-06-27 15:15</x:t>
        </x:is>
      </x:c>
      <x:c r="E21" s="6" t="inlineStr">
        <x:is>
          <x:t xml:space="preserve">High</x:t>
        </x:is>
      </x:c>
      <x:c r="F21" s="7" t="n">
        <x:v>881000</x:v>
      </x:c>
      <x:c r="G21" s="8" t="n">
        <x:v>1396000</x:v>
      </x:c>
      <x:c r="H21" s="6" t="inlineStr">
        <x:is>
          <x:t xml:space="preserve">Current field plan and committed buyout reflected.</x:t>
        </x:is>
      </x:c>
      <x:c r="I21" s="6" t="inlineStr">
        <x:is>
          <x:t xml:space="preserve">Received</x:t>
        </x:is>
      </x:c>
    </x:row>
  </x:sheetData>
  <x:mergeCells>
    <x:mergeCell ref="A1:I1"/>
    <x:mergeCell ref="A2:I2"/>
  </x:mergeCells>
  <x:conditionalFormatting sqref="E6:E21">
    <x:cfRule type="containsText" dxfId="0" priority="1" operator="containsText" text="Low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3" customWidth="1"/>
    <x:col min="2" max="2" width="18" customWidth="1"/>
    <x:col min="3" max="3" width="19" customWidth="1"/>
    <x:col min="4" max="4" width="17" customWidth="1"/>
    <x:col min="5" max="5" width="22" customWidth="1"/>
    <x:col min="6" max="6" width="14" customWidth="1"/>
    <x:col min="7" max="8" width="22" customWidth="1"/>
    <x:col min="9" max="9" width="17" customWidth="1"/>
    <x:col min="10" max="10" width="27" customWidth="1"/>
    <x:col min="11" max="11" width="13" customWidth="1"/>
    <x:col min="12" max="12" width="20" customWidth="1"/>
    <x:col min="13" max="13" width="54" customWidth="1"/>
  </x:cols>
  <x:sheetData>
    <x:row r="1" ht="23" customHeight="1">
      <x:c r="A1" s="1" t="inlineStr">
        <x:is>
          <x:t xml:space="preserve">PM Forecast Detail</x:t>
        </x:is>
      </x:c>
      <x:c r="B1" s="20" t="n"/>
      <x:c r="C1" s="20" t="n"/>
      <x:c r="D1" s="20" t="n"/>
      <x:c r="E1" s="20" t="n"/>
      <x:c r="F1" s="20" t="n"/>
      <x:c r="G1" s="20" t="n"/>
      <x:c r="H1" s="20" t="n"/>
      <x:c r="I1" s="20" t="n"/>
      <x:c r="J1" s="20" t="n"/>
      <x:c r="K1" s="20" t="n"/>
      <x:c r="L1" s="20" t="n"/>
      <x:c r="M1" s="20" t="n"/>
    </x:row>
    <x:row r="2" ht="23" customHeight="1">
      <x:c r="A2" s="2" t="inlineStr">
        <x:is>
          <x:t xml:space="preserve">Component build and PM-entered assumptions as submitted; Finance review is outside this workbook</x:t>
        </x:is>
      </x:c>
    </x:row>
    <x:row r="3"/>
    <x:row r="4"/>
    <x:row r="5" ht="30" customHeight="1">
      <x:c r="A5" s="3" t="inlineStr">
        <x:is>
          <x:t xml:space="preserve">Project ID</x:t>
        </x:is>
      </x:c>
      <x:c r="B5" s="4" t="inlineStr">
        <x:is>
          <x:t xml:space="preserve">Remaining Field Labor</x:t>
        </x:is>
      </x:c>
      <x:c r="C5" s="4" t="inlineStr">
        <x:is>
          <x:t xml:space="preserve">Material / Equipment</x:t>
        </x:is>
      </x:c>
      <x:c r="D5" s="4" t="inlineStr">
        <x:is>
          <x:t xml:space="preserve">Subcontract</x:t>
        </x:is>
      </x:c>
      <x:c r="E5" s="4" t="inlineStr">
        <x:is>
          <x:t xml:space="preserve">Commissioning &amp; Close-out</x:t>
        </x:is>
      </x:c>
      <x:c r="F5" s="4" t="inlineStr">
        <x:is>
          <x:t xml:space="preserve">Contingency</x:t>
        </x:is>
      </x:c>
      <x:c r="G5" s="4" t="inlineStr">
        <x:is>
          <x:t xml:space="preserve">Project-specific Exposure</x:t>
        </x:is>
      </x:c>
      <x:c r="H5" s="4" t="inlineStr">
        <x:is>
          <x:t xml:space="preserve">Forecast Credit / (Offset)</x:t>
        </x:is>
      </x:c>
      <x:c r="I5" s="4" t="inlineStr">
        <x:is>
          <x:t xml:space="preserve">Forecast ETC</x:t>
        </x:is>
      </x:c>
      <x:c r="J5" s="4" t="inlineStr">
        <x:is>
          <x:t xml:space="preserve">Assumption Reference</x:t>
        </x:is>
      </x:c>
      <x:c r="K5" s="4" t="inlineStr">
        <x:is>
          <x:t xml:space="preserve">Confidence</x:t>
        </x:is>
      </x:c>
      <x:c r="L5" s="4" t="inlineStr">
        <x:is>
          <x:t xml:space="preserve">Project Manager</x:t>
        </x:is>
      </x:c>
      <x:c r="M5" s="5" t="inlineStr">
        <x:is>
          <x:t xml:space="preserve">Narrative</x:t>
        </x:is>
      </x:c>
    </x:row>
    <x:row r="6">
      <x:c r="A6" s="6" t="inlineStr">
        <x:is>
          <x:t xml:space="preserve">ARM-2318</x:t>
        </x:is>
      </x:c>
      <x:c r="B6" s="8" t="n">
        <x:v>62568</x:v>
      </x:c>
      <x:c r="C6" s="8" t="n">
        <x:v>53878</x:v>
      </x:c>
      <x:c r="D6" s="8" t="n">
        <x:v>31284</x:v>
      </x:c>
      <x:c r="E6" s="8" t="n">
        <x:v>15642</x:v>
      </x:c>
      <x:c r="F6" s="8" t="n">
        <x:v>10428</x:v>
      </x:c>
      <x:c r="G6" s="8" t="n">
        <x:v>0</x:v>
      </x:c>
      <x:c r="H6" s="8" t="n">
        <x:v>0</x:v>
      </x:c>
      <x:c r="I6" s="9" t="n">
        <x:f>SUM(B6:H6)</x:f>
        <x:v>173800</x:v>
      </x:c>
      <x:c r="J6" s="6" t="inlineStr">
        <x:is>
          <x:t xml:space="preserve">PM submission</x:t>
        </x:is>
      </x:c>
      <x:c r="K6" s="6" t="inlineStr">
        <x:is>
          <x:t xml:space="preserve">Medium</x:t>
        </x:is>
      </x:c>
      <x:c r="L6" s="6" t="inlineStr">
        <x:is>
          <x:t xml:space="preserve">Maya Chen</x:t>
        </x:is>
      </x:c>
      <x:c r="M6" s="6" t="inlineStr">
        <x:is>
          <x:t xml:space="preserve">Forecast based on CV-2318-06 and open PO-2318-102.</x:t>
        </x:is>
      </x:c>
    </x:row>
    <x:row r="7">
      <x:c r="A7" s="6" t="inlineStr">
        <x:is>
          <x:t xml:space="preserve">ARM-2403</x:t>
        </x:is>
      </x:c>
      <x:c r="B7" s="8" t="n">
        <x:v>321120</x:v>
      </x:c>
      <x:c r="C7" s="8" t="n">
        <x:v>276520</x:v>
      </x:c>
      <x:c r="D7" s="8" t="n">
        <x:v>160560</x:v>
      </x:c>
      <x:c r="E7" s="8" t="n">
        <x:v>80280</x:v>
      </x:c>
      <x:c r="F7" s="8" t="n">
        <x:v>53520</x:v>
      </x:c>
      <x:c r="G7" s="8" t="n">
        <x:v>0</x:v>
      </x:c>
      <x:c r="H7" s="8" t="n">
        <x:v>0</x:v>
      </x:c>
      <x:c r="I7" s="9" t="n">
        <x:f>SUM(B7:H7)</x:f>
        <x:v>892000</x:v>
      </x:c>
      <x:c r="J7" s="6" t="inlineStr">
        <x:is>
          <x:t xml:space="preserve">PM submission</x:t>
        </x:is>
      </x:c>
      <x:c r="K7" s="6" t="inlineStr">
        <x:is>
          <x:t xml:space="preserve">High</x:t>
        </x:is>
      </x:c>
      <x:c r="L7" s="6" t="inlineStr">
        <x:is>
          <x:t xml:space="preserve">Elliot Marks</x:t>
        </x:is>
      </x:c>
      <x:c r="M7" s="6" t="inlineStr">
        <x:is>
          <x:t xml:space="preserve">Current field plan and committed buyout reflected.</x:t>
        </x:is>
      </x:c>
    </x:row>
    <x:row r="8">
      <x:c r="A8" s="6" t="inlineStr">
        <x:is>
          <x:t xml:space="preserve">ARM-2409</x:t>
        </x:is>
      </x:c>
      <x:c r="B8" s="8" t="n">
        <x:v>210240</x:v>
      </x:c>
      <x:c r="C8" s="8" t="n">
        <x:v>181040</x:v>
      </x:c>
      <x:c r="D8" s="8" t="n">
        <x:v>105120</x:v>
      </x:c>
      <x:c r="E8" s="8" t="n">
        <x:v>52560</x:v>
      </x:c>
      <x:c r="F8" s="8" t="n">
        <x:v>35040</x:v>
      </x:c>
      <x:c r="G8" s="8" t="n">
        <x:v>185000</x:v>
      </x:c>
      <x:c r="H8" s="8" t="n">
        <x:v>-185000</x:v>
      </x:c>
      <x:c r="I8" s="9" t="n">
        <x:f>SUM(B8:H8)</x:f>
        <x:v>584000</x:v>
      </x:c>
      <x:c r="J8" s="6" t="inlineStr">
        <x:is>
          <x:t xml:space="preserve">PCO-011 working estimate</x:t>
        </x:is>
      </x:c>
      <x:c r="K8" s="6" t="inlineStr">
        <x:is>
          <x:t xml:space="preserve">Low</x:t>
        </x:is>
      </x:c>
      <x:c r="L8" s="6" t="inlineStr">
        <x:is>
          <x:t xml:space="preserve">Priya Raman</x:t>
        </x:is>
      </x:c>
      <x:c r="M8" s="6" t="inlineStr">
        <x:is>
          <x:t xml:space="preserve">Forecast refreshed in the weekly project review and submitted 2026-06-28.</x:t>
        </x:is>
      </x:c>
    </x:row>
    <x:row r="9">
      <x:c r="A9" s="6" t="inlineStr">
        <x:is>
          <x:t xml:space="preserve">ARM-2412</x:t>
        </x:is>
      </x:c>
      <x:c r="B9" s="8" t="n">
        <x:v>340920</x:v>
      </x:c>
      <x:c r="C9" s="8" t="n">
        <x:v>293570</x:v>
      </x:c>
      <x:c r="D9" s="8" t="n">
        <x:v>170460</x:v>
      </x:c>
      <x:c r="E9" s="8" t="n">
        <x:v>85230</x:v>
      </x:c>
      <x:c r="F9" s="8" t="n">
        <x:v>56820</x:v>
      </x:c>
      <x:c r="G9" s="8" t="n">
        <x:v>0</x:v>
      </x:c>
      <x:c r="H9" s="8" t="n">
        <x:v>0</x:v>
      </x:c>
      <x:c r="I9" s="9" t="n">
        <x:f>SUM(B9:H9)</x:f>
        <x:v>947000</x:v>
      </x:c>
      <x:c r="J9" s="6" t="inlineStr">
        <x:is>
          <x:t xml:space="preserve">PM submission</x:t>
        </x:is>
      </x:c>
      <x:c r="K9" s="6" t="inlineStr">
        <x:is>
          <x:t xml:space="preserve">High</x:t>
        </x:is>
      </x:c>
      <x:c r="L9" s="6" t="inlineStr">
        <x:is>
          <x:t xml:space="preserve">Elliot Marks</x:t>
        </x:is>
      </x:c>
      <x:c r="M9" s="6" t="inlineStr">
        <x:is>
          <x:t xml:space="preserve">Current field plan and committed buyout reflected.</x:t>
        </x:is>
      </x:c>
    </x:row>
    <x:row r="10">
      <x:c r="A10" s="6" t="inlineStr">
        <x:is>
          <x:t xml:space="preserve">ARM-2417</x:t>
        </x:is>
      </x:c>
      <x:c r="B10" s="8" t="n">
        <x:v>1097280</x:v>
      </x:c>
      <x:c r="C10" s="8" t="n">
        <x:v>944880</x:v>
      </x:c>
      <x:c r="D10" s="8" t="n">
        <x:v>548640</x:v>
      </x:c>
      <x:c r="E10" s="8" t="n">
        <x:v>274320</x:v>
      </x:c>
      <x:c r="F10" s="8" t="n">
        <x:v>182880</x:v>
      </x:c>
      <x:c r="G10" s="8" t="n">
        <x:v>0</x:v>
      </x:c>
      <x:c r="H10" s="8" t="n">
        <x:v>0</x:v>
      </x:c>
      <x:c r="I10" s="9" t="n">
        <x:f>SUM(B10:H10)</x:f>
        <x:v>3048000</x:v>
      </x:c>
      <x:c r="J10" s="6" t="inlineStr">
        <x:is>
          <x:t xml:space="preserve">PM submission</x:t>
        </x:is>
      </x:c>
      <x:c r="K10" s="6" t="inlineStr">
        <x:is>
          <x:t xml:space="preserve">Low</x:t>
        </x:is>
      </x:c>
      <x:c r="L10" s="6" t="inlineStr">
        <x:is>
          <x:t xml:space="preserve">Maya Chen</x:t>
        </x:is>
      </x:c>
      <x:c r="M10" s="6" t="inlineStr">
        <x:is>
          <x:t xml:space="preserve">Forecast based on phasing Rev 5 and open commitments through 6/24.</x:t>
        </x:is>
      </x:c>
    </x:row>
    <x:row r="11">
      <x:c r="A11" s="6" t="inlineStr">
        <x:is>
          <x:t xml:space="preserve">ARM-2421</x:t>
        </x:is>
      </x:c>
      <x:c r="B11" s="8" t="n">
        <x:v>11160</x:v>
      </x:c>
      <x:c r="C11" s="8" t="n">
        <x:v>9610</x:v>
      </x:c>
      <x:c r="D11" s="8" t="n">
        <x:v>5580</x:v>
      </x:c>
      <x:c r="E11" s="8" t="n">
        <x:v>2790</x:v>
      </x:c>
      <x:c r="F11" s="8" t="n">
        <x:v>1860</x:v>
      </x:c>
      <x:c r="G11" s="8" t="n">
        <x:v>0</x:v>
      </x:c>
      <x:c r="H11" s="8" t="n">
        <x:v>0</x:v>
      </x:c>
      <x:c r="I11" s="9" t="n">
        <x:f>SUM(B11:H11)</x:f>
        <x:v>31000</x:v>
      </x:c>
      <x:c r="J11" s="6" t="inlineStr">
        <x:is>
          <x:t xml:space="preserve">PM submission</x:t>
        </x:is>
      </x:c>
      <x:c r="K11" s="6" t="inlineStr">
        <x:is>
          <x:t xml:space="preserve">High</x:t>
        </x:is>
      </x:c>
      <x:c r="L11" s="6" t="inlineStr">
        <x:is>
          <x:t xml:space="preserve">Lucas Bennett</x:t>
        </x:is>
      </x:c>
      <x:c r="M11" s="6" t="inlineStr">
        <x:is>
          <x:t xml:space="preserve">Current field plan and committed buyout reflected.</x:t>
        </x:is>
      </x:c>
    </x:row>
    <x:row r="12">
      <x:c r="A12" s="6" t="inlineStr">
        <x:is>
          <x:t xml:space="preserve">ARM-2501</x:t>
        </x:is>
      </x:c>
      <x:c r="B12" s="8" t="n">
        <x:v>329040</x:v>
      </x:c>
      <x:c r="C12" s="8" t="n">
        <x:v>283340</x:v>
      </x:c>
      <x:c r="D12" s="8" t="n">
        <x:v>164520</x:v>
      </x:c>
      <x:c r="E12" s="8" t="n">
        <x:v>82260</x:v>
      </x:c>
      <x:c r="F12" s="8" t="n">
        <x:v>54840</x:v>
      </x:c>
      <x:c r="G12" s="8" t="n">
        <x:v>0</x:v>
      </x:c>
      <x:c r="H12" s="8" t="n">
        <x:v>0</x:v>
      </x:c>
      <x:c r="I12" s="9" t="n">
        <x:f>SUM(B12:H12)</x:f>
        <x:v>914000</x:v>
      </x:c>
      <x:c r="J12" s="6" t="inlineStr">
        <x:is>
          <x:t xml:space="preserve">PM submission</x:t>
        </x:is>
      </x:c>
      <x:c r="K12" s="6" t="inlineStr">
        <x:is>
          <x:t xml:space="preserve">High</x:t>
        </x:is>
      </x:c>
      <x:c r="L12" s="6" t="inlineStr">
        <x:is>
          <x:t xml:space="preserve">Sofia Alvarez</x:t>
        </x:is>
      </x:c>
      <x:c r="M12" s="6" t="inlineStr">
        <x:is>
          <x:t xml:space="preserve">Current field plan and committed buyout reflected.</x:t>
        </x:is>
      </x:c>
    </x:row>
    <x:row r="13">
      <x:c r="A13" s="6" t="inlineStr">
        <x:is>
          <x:t xml:space="preserve">ARM-2506</x:t>
        </x:is>
      </x:c>
      <x:c r="B13" s="8" t="n">
        <x:v>1703160</x:v>
      </x:c>
      <x:c r="C13" s="8" t="n">
        <x:v>1466610</x:v>
      </x:c>
      <x:c r="D13" s="8" t="n">
        <x:v>851580</x:v>
      </x:c>
      <x:c r="E13" s="8" t="n">
        <x:v>425790</x:v>
      </x:c>
      <x:c r="F13" s="8" t="n">
        <x:v>283860</x:v>
      </x:c>
      <x:c r="G13" s="8" t="n">
        <x:v>0</x:v>
      </x:c>
      <x:c r="H13" s="8" t="n">
        <x:v>0</x:v>
      </x:c>
      <x:c r="I13" s="9" t="n">
        <x:f>SUM(B13:H13)</x:f>
        <x:v>4731000</x:v>
      </x:c>
      <x:c r="J13" s="6" t="inlineStr">
        <x:is>
          <x:t xml:space="preserve">PM submission</x:t>
        </x:is>
      </x:c>
      <x:c r="K13" s="6" t="inlineStr">
        <x:is>
          <x:t xml:space="preserve">Low</x:t>
        </x:is>
      </x:c>
      <x:c r="L13" s="6" t="inlineStr">
        <x:is>
          <x:t xml:space="preserve">Priya Raman</x:t>
        </x:is>
      </x:c>
      <x:c r="M13" s="6" t="inlineStr">
        <x:is>
          <x:t xml:space="preserve">Forecast based on IFC package E-18 and commitments through 6/24.</x:t>
        </x:is>
      </x:c>
    </x:row>
    <x:row r="14">
      <x:c r="A14" s="6" t="inlineStr">
        <x:is>
          <x:t xml:space="preserve">ARM-2510</x:t>
        </x:is>
      </x:c>
      <x:c r="B14" s="8" t="n">
        <x:v>1182240</x:v>
      </x:c>
      <x:c r="C14" s="8" t="n">
        <x:v>1018040</x:v>
      </x:c>
      <x:c r="D14" s="8" t="n">
        <x:v>591120</x:v>
      </x:c>
      <x:c r="E14" s="8" t="n">
        <x:v>295560</x:v>
      </x:c>
      <x:c r="F14" s="8" t="n">
        <x:v>197040</x:v>
      </x:c>
      <x:c r="G14" s="8" t="n">
        <x:v>0</x:v>
      </x:c>
      <x:c r="H14" s="8" t="n">
        <x:v>0</x:v>
      </x:c>
      <x:c r="I14" s="9" t="n">
        <x:f>SUM(B14:H14)</x:f>
        <x:v>3284000</x:v>
      </x:c>
      <x:c r="J14" s="6" t="inlineStr">
        <x:is>
          <x:t xml:space="preserve">PM submission</x:t>
        </x:is>
      </x:c>
      <x:c r="K14" s="6" t="inlineStr">
        <x:is>
          <x:t xml:space="preserve">High</x:t>
        </x:is>
      </x:c>
      <x:c r="L14" s="6" t="inlineStr">
        <x:is>
          <x:t xml:space="preserve">Maya Chen</x:t>
        </x:is>
      </x:c>
      <x:c r="M14" s="6" t="inlineStr">
        <x:is>
          <x:t xml:space="preserve">Current field plan and committed buyout reflected.</x:t>
        </x:is>
      </x:c>
    </x:row>
    <x:row r="15">
      <x:c r="A15" s="6" t="inlineStr">
        <x:is>
          <x:t xml:space="preserve">ARM-2514</x:t>
        </x:is>
      </x:c>
      <x:c r="B15" s="8" t="n">
        <x:v>537120</x:v>
      </x:c>
      <x:c r="C15" s="8" t="n">
        <x:v>462520</x:v>
      </x:c>
      <x:c r="D15" s="8" t="n">
        <x:v>268560</x:v>
      </x:c>
      <x:c r="E15" s="8" t="n">
        <x:v>134280</x:v>
      </x:c>
      <x:c r="F15" s="8" t="n">
        <x:v>89520</x:v>
      </x:c>
      <x:c r="G15" s="8" t="n">
        <x:v>0</x:v>
      </x:c>
      <x:c r="H15" s="8" t="n">
        <x:v>0</x:v>
      </x:c>
      <x:c r="I15" s="9" t="n">
        <x:f>SUM(B15:H15)</x:f>
        <x:v>1492000</x:v>
      </x:c>
      <x:c r="J15" s="6" t="inlineStr">
        <x:is>
          <x:t xml:space="preserve">PM submission</x:t>
        </x:is>
      </x:c>
      <x:c r="K15" s="6" t="inlineStr">
        <x:is>
          <x:t xml:space="preserve">High</x:t>
        </x:is>
      </x:c>
      <x:c r="L15" s="6" t="inlineStr">
        <x:is>
          <x:t xml:space="preserve">Lucas Bennett</x:t>
        </x:is>
      </x:c>
      <x:c r="M15" s="6" t="inlineStr">
        <x:is>
          <x:t xml:space="preserve">Current field plan and committed buyout reflected.</x:t>
        </x:is>
      </x:c>
    </x:row>
    <x:row r="16">
      <x:c r="A16" s="6" t="inlineStr">
        <x:is>
          <x:t xml:space="preserve">ARM-2518</x:t>
        </x:is>
      </x:c>
      <x:c r="B16" s="8" t="n">
        <x:v>466560</x:v>
      </x:c>
      <x:c r="C16" s="8" t="n">
        <x:v>401760</x:v>
      </x:c>
      <x:c r="D16" s="8" t="n">
        <x:v>233280</x:v>
      </x:c>
      <x:c r="E16" s="8" t="n">
        <x:v>116640</x:v>
      </x:c>
      <x:c r="F16" s="8" t="n">
        <x:v>77760</x:v>
      </x:c>
      <x:c r="G16" s="8" t="n">
        <x:v>0</x:v>
      </x:c>
      <x:c r="H16" s="8" t="n">
        <x:v>0</x:v>
      </x:c>
      <x:c r="I16" s="9" t="n">
        <x:f>SUM(B16:H16)</x:f>
        <x:v>1296000</x:v>
      </x:c>
      <x:c r="J16" s="6" t="inlineStr">
        <x:is>
          <x:t xml:space="preserve">PM submission</x:t>
        </x:is>
      </x:c>
      <x:c r="K16" s="6" t="inlineStr">
        <x:is>
          <x:t xml:space="preserve">High</x:t>
        </x:is>
      </x:c>
      <x:c r="L16" s="6" t="inlineStr">
        <x:is>
          <x:t xml:space="preserve">Lucas Bennett</x:t>
        </x:is>
      </x:c>
      <x:c r="M16" s="6" t="inlineStr">
        <x:is>
          <x:t xml:space="preserve">Current field plan and committed buyout reflected.</x:t>
        </x:is>
      </x:c>
    </x:row>
    <x:row r="17">
      <x:c r="A17" s="6" t="inlineStr">
        <x:is>
          <x:t xml:space="preserve">ARM-2522</x:t>
        </x:is>
      </x:c>
      <x:c r="B17" s="8" t="n">
        <x:v>713520</x:v>
      </x:c>
      <x:c r="C17" s="8" t="n">
        <x:v>614420</x:v>
      </x:c>
      <x:c r="D17" s="8" t="n">
        <x:v>356760</x:v>
      </x:c>
      <x:c r="E17" s="8" t="n">
        <x:v>178380</x:v>
      </x:c>
      <x:c r="F17" s="8" t="n">
        <x:v>118920</x:v>
      </x:c>
      <x:c r="G17" s="8" t="n">
        <x:v>0</x:v>
      </x:c>
      <x:c r="H17" s="8" t="n">
        <x:v>0</x:v>
      </x:c>
      <x:c r="I17" s="9" t="n">
        <x:f>SUM(B17:H17)</x:f>
        <x:v>1982000</x:v>
      </x:c>
      <x:c r="J17" s="6" t="inlineStr">
        <x:is>
          <x:t xml:space="preserve">PM submission</x:t>
        </x:is>
      </x:c>
      <x:c r="K17" s="6" t="inlineStr">
        <x:is>
          <x:t xml:space="preserve">High</x:t>
        </x:is>
      </x:c>
      <x:c r="L17" s="6" t="inlineStr">
        <x:is>
          <x:t xml:space="preserve">Elliot Marks</x:t>
        </x:is>
      </x:c>
      <x:c r="M17" s="6" t="inlineStr">
        <x:is>
          <x:t xml:space="preserve">Current field plan and committed buyout reflected.</x:t>
        </x:is>
      </x:c>
    </x:row>
    <x:row r="18">
      <x:c r="A18" s="6" t="inlineStr">
        <x:is>
          <x:t xml:space="preserve">ARM-2526</x:t>
        </x:is>
      </x:c>
      <x:c r="B18" s="8" t="n">
        <x:v>124920</x:v>
      </x:c>
      <x:c r="C18" s="8" t="n">
        <x:v>107570</x:v>
      </x:c>
      <x:c r="D18" s="8" t="n">
        <x:v>62460</x:v>
      </x:c>
      <x:c r="E18" s="8" t="n">
        <x:v>31230</x:v>
      </x:c>
      <x:c r="F18" s="8" t="n">
        <x:v>20820</x:v>
      </x:c>
      <x:c r="G18" s="8" t="n">
        <x:v>0</x:v>
      </x:c>
      <x:c r="H18" s="8" t="n">
        <x:v>0</x:v>
      </x:c>
      <x:c r="I18" s="9" t="n">
        <x:f>SUM(B18:H18)</x:f>
        <x:v>347000</x:v>
      </x:c>
      <x:c r="J18" s="6" t="inlineStr">
        <x:is>
          <x:t xml:space="preserve">PM submission</x:t>
        </x:is>
      </x:c>
      <x:c r="K18" s="6" t="inlineStr">
        <x:is>
          <x:t xml:space="preserve">High</x:t>
        </x:is>
      </x:c>
      <x:c r="L18" s="6" t="inlineStr">
        <x:is>
          <x:t xml:space="preserve">Sofia Alvarez</x:t>
        </x:is>
      </x:c>
      <x:c r="M18" s="6" t="inlineStr">
        <x:is>
          <x:t xml:space="preserve">Current field plan and committed buyout reflected.</x:t>
        </x:is>
      </x:c>
    </x:row>
    <x:row r="19">
      <x:c r="A19" s="6" t="inlineStr">
        <x:is>
          <x:t xml:space="preserve">ARM-2602</x:t>
        </x:is>
      </x:c>
      <x:c r="B19" s="8" t="n">
        <x:v>1311840</x:v>
      </x:c>
      <x:c r="C19" s="8" t="n">
        <x:v>1129640</x:v>
      </x:c>
      <x:c r="D19" s="8" t="n">
        <x:v>655920</x:v>
      </x:c>
      <x:c r="E19" s="8" t="n">
        <x:v>327960</x:v>
      </x:c>
      <x:c r="F19" s="8" t="n">
        <x:v>218640</x:v>
      </x:c>
      <x:c r="G19" s="8" t="n">
        <x:v>0</x:v>
      </x:c>
      <x:c r="H19" s="8" t="n">
        <x:v>0</x:v>
      </x:c>
      <x:c r="I19" s="9" t="n">
        <x:f>SUM(B19:H19)</x:f>
        <x:v>3644000</x:v>
      </x:c>
      <x:c r="J19" s="6" t="inlineStr">
        <x:is>
          <x:t xml:space="preserve">PM submission</x:t>
        </x:is>
      </x:c>
      <x:c r="K19" s="6" t="inlineStr">
        <x:is>
          <x:t xml:space="preserve">High</x:t>
        </x:is>
      </x:c>
      <x:c r="L19" s="6" t="inlineStr">
        <x:is>
          <x:t xml:space="preserve">Priya Raman</x:t>
        </x:is>
      </x:c>
      <x:c r="M19" s="6" t="inlineStr">
        <x:is>
          <x:t xml:space="preserve">Current field plan and committed buyout reflected.</x:t>
        </x:is>
      </x:c>
    </x:row>
    <x:row r="20">
      <x:c r="A20" s="6" t="inlineStr">
        <x:is>
          <x:t xml:space="preserve">ARM-2605</x:t>
        </x:is>
      </x:c>
      <x:c r="B20" s="8" t="n">
        <x:v>1484640</x:v>
      </x:c>
      <x:c r="C20" s="8" t="n">
        <x:v>1278440</x:v>
      </x:c>
      <x:c r="D20" s="8" t="n">
        <x:v>742320</x:v>
      </x:c>
      <x:c r="E20" s="8" t="n">
        <x:v>371160</x:v>
      </x:c>
      <x:c r="F20" s="8" t="n">
        <x:v>247440</x:v>
      </x:c>
      <x:c r="G20" s="8" t="n">
        <x:v>0</x:v>
      </x:c>
      <x:c r="H20" s="8" t="n">
        <x:v>0</x:v>
      </x:c>
      <x:c r="I20" s="9" t="n">
        <x:f>SUM(B20:H20)</x:f>
        <x:v>4124000</x:v>
      </x:c>
      <x:c r="J20" s="6" t="inlineStr">
        <x:is>
          <x:t xml:space="preserve">PM submission</x:t>
        </x:is>
      </x:c>
      <x:c r="K20" s="6" t="inlineStr">
        <x:is>
          <x:t xml:space="preserve">Medium</x:t>
        </x:is>
      </x:c>
      <x:c r="L20" s="6" t="inlineStr">
        <x:is>
          <x:t xml:space="preserve">Elliot Marks</x:t>
        </x:is>
      </x:c>
      <x:c r="M20" s="6" t="inlineStr">
        <x:is>
          <x:t xml:space="preserve">Current field plan and committed buyout reflected.</x:t>
        </x:is>
      </x:c>
    </x:row>
    <x:row r="21">
      <x:c r="A21" s="6" t="inlineStr">
        <x:is>
          <x:t xml:space="preserve">ARM-2608</x:t>
        </x:is>
      </x:c>
      <x:c r="B21" s="8" t="n">
        <x:v>317160</x:v>
      </x:c>
      <x:c r="C21" s="8" t="n">
        <x:v>273110</x:v>
      </x:c>
      <x:c r="D21" s="8" t="n">
        <x:v>158580</x:v>
      </x:c>
      <x:c r="E21" s="8" t="n">
        <x:v>79290</x:v>
      </x:c>
      <x:c r="F21" s="8" t="n">
        <x:v>52860</x:v>
      </x:c>
      <x:c r="G21" s="8" t="n">
        <x:v>0</x:v>
      </x:c>
      <x:c r="H21" s="8" t="n">
        <x:v>0</x:v>
      </x:c>
      <x:c r="I21" s="9" t="n">
        <x:f>SUM(B21:H21)</x:f>
        <x:v>881000</x:v>
      </x:c>
      <x:c r="J21" s="6" t="inlineStr">
        <x:is>
          <x:t xml:space="preserve">PM submission</x:t>
        </x:is>
      </x:c>
      <x:c r="K21" s="6" t="inlineStr">
        <x:is>
          <x:t xml:space="preserve">High</x:t>
        </x:is>
      </x:c>
      <x:c r="L21" s="6" t="inlineStr">
        <x:is>
          <x:t xml:space="preserve">Sofia Alvarez</x:t>
        </x:is>
      </x:c>
      <x:c r="M21" s="6" t="inlineStr">
        <x:is>
          <x:t xml:space="preserve">Current field plan and committed buyout reflected.</x:t>
        </x:is>
      </x:c>
    </x:row>
  </x:sheetData>
  <x:mergeCells>
    <x:mergeCell ref="A2:M2"/>
    <x:mergeCell ref="A1:M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3" customWidth="1"/>
    <x:col min="2" max="2" width="18" customWidth="1"/>
    <x:col min="3" max="3" width="46" customWidth="1"/>
    <x:col min="4" max="4" width="42" customWidth="1"/>
    <x:col min="5" max="5" width="17" customWidth="1"/>
    <x:col min="6" max="6" width="19" customWidth="1"/>
    <x:col min="7" max="7" width="20" customWidth="1"/>
    <x:col min="8" max="8" width="27" customWidth="1"/>
    <x:col min="9" max="9" width="15" customWidth="1"/>
  </x:cols>
  <x:sheetData>
    <x:row r="1" ht="23" customHeight="1">
      <x:c r="A1" s="1" t="inlineStr">
        <x:is>
          <x:t xml:space="preserve">Open Commitment Detail</x:t>
        </x:is>
      </x:c>
      <x:c r="B1" s="20" t="n"/>
      <x:c r="C1" s="20" t="n"/>
      <x:c r="D1" s="20" t="n"/>
      <x:c r="E1" s="20" t="n"/>
      <x:c r="F1" s="20" t="n"/>
      <x:c r="G1" s="20" t="n"/>
      <x:c r="H1" s="20" t="n"/>
      <x:c r="I1" s="20" t="n"/>
    </x:row>
    <x:row r="2" ht="23" customHeight="1">
      <x:c r="A2" s="2" t="inlineStr">
        <x:is>
          <x:t xml:space="preserve">Project forecast module export through 2026-06-28 | Operations Finance working file</x:t>
        </x:is>
      </x:c>
    </x:row>
    <x:row r="3"/>
    <x:row r="4"/>
    <x:row r="5" ht="30" customHeight="1">
      <x:c r="A5" s="3" t="inlineStr">
        <x:is>
          <x:t xml:space="preserve">Project ID</x:t>
        </x:is>
      </x:c>
      <x:c r="B5" s="4" t="inlineStr">
        <x:is>
          <x:t xml:space="preserve">Commitment Ref</x:t>
        </x:is>
      </x:c>
      <x:c r="C5" s="4" t="inlineStr">
        <x:is>
          <x:t xml:space="preserve">Vendor / Trade</x:t>
        </x:is>
      </x:c>
      <x:c r="D5" s="4" t="inlineStr">
        <x:is>
          <x:t xml:space="preserve">Work Package</x:t>
        </x:is>
      </x:c>
      <x:c r="E5" s="4" t="inlineStr">
        <x:is>
          <x:t xml:space="preserve">Cost Bucket</x:t>
        </x:is>
      </x:c>
      <x:c r="F5" s="4" t="inlineStr">
        <x:is>
          <x:t xml:space="preserve">Open Commitment</x:t>
        </x:is>
      </x:c>
      <x:c r="G5" s="4" t="inlineStr">
        <x:is>
          <x:t xml:space="preserve">PM Forecast Amount</x:t>
        </x:is>
      </x:c>
      <x:c r="H5" s="4" t="inlineStr">
        <x:is>
          <x:t xml:space="preserve">PM Status</x:t>
        </x:is>
      </x:c>
      <x:c r="I5" s="5" t="inlineStr">
        <x:is>
          <x:t xml:space="preserve">Last Updated</x:t>
        </x:is>
      </x:c>
    </x:row>
    <x:row r="6">
      <x:c r="A6" s="6" t="str">
        <x:v>ARM-2318</x:v>
      </x:c>
      <x:c r="B6" s="6" t="str">
        <x:v>PO-2318-102</x:v>
      </x:c>
      <x:c r="C6" s="6" t="str">
        <x:v>Columbia Rigging Services</x:v>
      </x:c>
      <x:c r="D6" s="6" t="str">
        <x:v>Process-skid equipment lift</x:v>
      </x:c>
      <x:c r="E6" s="6" t="str">
        <x:v>Subcontract</x:v>
      </x:c>
      <x:c r="F6" s="8" t="n">
        <x:v>22750</x:v>
      </x:c>
      <x:c r="G6" s="7" t="n">
        <x:v>22750</x:v>
      </x:c>
      <x:c r="H6" s="6" t="str">
        <x:v>Open at PM snapshot</x:v>
      </x:c>
      <x:c r="I6" s="10" t="n">
        <x:v>46200</x:v>
      </x:c>
    </x:row>
    <x:row r="7">
      <x:c r="A7" s="6" t="str">
        <x:v>ARM-2318</x:v>
      </x:c>
      <x:c r="B7" s="6" t="str">
        <x:v>SC-2318-08</x:v>
      </x:c>
      <x:c r="C7" s="6" t="str">
        <x:v>High Desert Insulation</x:v>
      </x:c>
      <x:c r="D7" s="6" t="str">
        <x:v>Insulation closeout</x:v>
      </x:c>
      <x:c r="E7" s="6" t="str">
        <x:v>Subcontract</x:v>
      </x:c>
      <x:c r="F7" s="8" t="n">
        <x:v>8534</x:v>
      </x:c>
      <x:c r="G7" s="7" t="n">
        <x:v>8534</x:v>
      </x:c>
      <x:c r="H7" s="6" t="str">
        <x:v>Open at PM snapshot</x:v>
      </x:c>
      <x:c r="I7" s="10" t="n">
        <x:v>46199</x:v>
      </x:c>
    </x:row>
    <x:row r="8">
      <x:c r="A8" s="6" t="inlineStr">
        <x:is>
          <x:t xml:space="preserve">ARM-2403</x:t>
        </x:is>
      </x:c>
      <x:c r="B8" s="6" t="inlineStr">
        <x:is>
          <x:t xml:space="preserve">SC-2403-02</x:t>
        </x:is>
      </x:c>
      <x:c r="C8" s="6" t="inlineStr">
        <x:is>
          <x:t xml:space="preserve">Cascade Controls Integration</x:t>
        </x:is>
      </x:c>
      <x:c r="D8" s="6" t="inlineStr">
        <x:is>
          <x:t xml:space="preserve">controls completion</x:t>
        </x:is>
      </x:c>
      <x:c r="E8" s="6" t="inlineStr">
        <x:is>
          <x:t xml:space="preserve">Subcontract</x:t>
        </x:is>
      </x:c>
      <x:c r="F8" s="8" t="n">
        <x:v>77069</x:v>
      </x:c>
      <x:c r="G8" s="7" t="n">
        <x:v>77069</x:v>
      </x:c>
      <x:c r="H8" s="6" t="inlineStr">
        <x:is>
          <x:t xml:space="preserve">Open at PM snapshot</x:t>
        </x:is>
      </x:c>
      <x:c r="I8" s="10" t="n">
        <x:v>46198</x:v>
      </x:c>
    </x:row>
    <x:row r="9">
      <x:c r="A9" s="6" t="inlineStr">
        <x:is>
          <x:t xml:space="preserve">ARM-2403</x:t>
        </x:is>
      </x:c>
      <x:c r="B9" s="6" t="inlineStr">
        <x:is>
          <x:t xml:space="preserve">SC-2403-09</x:t>
        </x:is>
      </x:c>
      <x:c r="C9" s="6" t="inlineStr">
        <x:is>
          <x:t xml:space="preserve">Pacific Test &amp; Balance</x:t>
        </x:is>
      </x:c>
      <x:c r="D9" s="6" t="inlineStr">
        <x:is>
          <x:t xml:space="preserve">commissioning support</x:t>
        </x:is>
      </x:c>
      <x:c r="E9" s="6" t="inlineStr">
        <x:is>
          <x:t xml:space="preserve">Subcontract</x:t>
        </x:is>
      </x:c>
      <x:c r="F9" s="8" t="n">
        <x:v>83491</x:v>
      </x:c>
      <x:c r="G9" s="7" t="n">
        <x:v>83491</x:v>
      </x:c>
      <x:c r="H9" s="6" t="inlineStr">
        <x:is>
          <x:t xml:space="preserve">Open at PM snapshot</x:t>
        </x:is>
      </x:c>
      <x:c r="I9" s="10" t="n">
        <x:v>46197</x:v>
      </x:c>
    </x:row>
    <x:row r="10">
      <x:c r="A10" s="6" t="inlineStr">
        <x:is>
          <x:t xml:space="preserve">ARM-2409</x:t>
        </x:is>
      </x:c>
      <x:c r="B10" s="6" t="inlineStr">
        <x:is>
          <x:t xml:space="preserve">PO-2409-117</x:t>
        </x:is>
      </x:c>
      <x:c r="C10" s="6" t="inlineStr">
        <x:is>
          <x:t xml:space="preserve">Rogue Valley Sheet Metal Fabrication - Bend LLC</x:t>
        </x:is>
      </x:c>
      <x:c r="D10" s="6" t="inlineStr">
        <x:is>
          <x:t xml:space="preserve">Freezer-slab mechanical rework</x:t>
        </x:is>
      </x:c>
      <x:c r="E10" s="6" t="inlineStr">
        <x:is>
          <x:t xml:space="preserve">Subcontract</x:t>
        </x:is>
      </x:c>
      <x:c r="F10" s="8" t="n">
        <x:v>33796.69</x:v>
      </x:c>
      <x:c r="G10" s="7" t="n">
        <x:v>46800</x:v>
      </x:c>
      <x:c r="H10" s="6" t="inlineStr">
        <x:is>
          <x:t xml:space="preserve">Open at PM snapshot</x:t>
        </x:is>
      </x:c>
      <x:c r="I10" s="10" t="n">
        <x:v>46200</x:v>
      </x:c>
    </x:row>
    <x:row r="11">
      <x:c r="A11" s="6" t="inlineStr">
        <x:is>
          <x:t xml:space="preserve">ARM-2409</x:t>
        </x:is>
      </x:c>
      <x:c r="B11" s="6" t="inlineStr">
        <x:is>
          <x:t xml:space="preserve">SC-2409-08</x:t>
        </x:is>
      </x:c>
      <x:c r="C11" s="6" t="inlineStr">
        <x:is>
          <x:t xml:space="preserve">Cascade Controls Integration</x:t>
        </x:is>
      </x:c>
      <x:c r="D11" s="6" t="inlineStr">
        <x:is>
          <x:t xml:space="preserve">Controls completion and turnover</x:t>
        </x:is>
      </x:c>
      <x:c r="E11" s="6" t="inlineStr">
        <x:is>
          <x:t xml:space="preserve">Subcontract</x:t>
        </x:is>
      </x:c>
      <x:c r="F11" s="8" t="n">
        <x:v>58320</x:v>
      </x:c>
      <x:c r="G11" s="7" t="n">
        <x:v>58320</x:v>
      </x:c>
      <x:c r="H11" s="6" t="inlineStr">
        <x:is>
          <x:t xml:space="preserve">Open at PM snapshot</x:t>
        </x:is>
      </x:c>
      <x:c r="I11" s="10" t="n">
        <x:v>46200</x:v>
      </x:c>
    </x:row>
    <x:row r="12">
      <x:c r="A12" s="6" t="inlineStr">
        <x:is>
          <x:t xml:space="preserve">ARM-2412</x:t>
        </x:is>
      </x:c>
      <x:c r="B12" s="6" t="inlineStr">
        <x:is>
          <x:t xml:space="preserve">SC-2412-04</x:t>
        </x:is>
      </x:c>
      <x:c r="C12" s="6" t="inlineStr">
        <x:is>
          <x:t xml:space="preserve">Pacific Test &amp; Balance</x:t>
        </x:is>
      </x:c>
      <x:c r="D12" s="6" t="inlineStr">
        <x:is>
          <x:t xml:space="preserve">commissioning support</x:t>
        </x:is>
      </x:c>
      <x:c r="E12" s="6" t="inlineStr">
        <x:is>
          <x:t xml:space="preserve">Subcontract</x:t>
        </x:is>
      </x:c>
      <x:c r="F12" s="8" t="n">
        <x:v>71593</x:v>
      </x:c>
      <x:c r="G12" s="7" t="n">
        <x:v>71593</x:v>
      </x:c>
      <x:c r="H12" s="6" t="inlineStr">
        <x:is>
          <x:t xml:space="preserve">Open at PM snapshot</x:t>
        </x:is>
      </x:c>
      <x:c r="I12" s="10" t="n">
        <x:v>46200</x:v>
      </x:c>
    </x:row>
    <x:row r="13">
      <x:c r="A13" s="6" t="inlineStr">
        <x:is>
          <x:t xml:space="preserve">ARM-2412</x:t>
        </x:is>
      </x:c>
      <x:c r="B13" s="6" t="inlineStr">
        <x:is>
          <x:t xml:space="preserve">SC-2412-11</x:t>
        </x:is>
      </x:c>
      <x:c r="C13" s="6" t="inlineStr">
        <x:is>
          <x:t xml:space="preserve">Evergreen Mechanical Supply</x:t>
        </x:is>
      </x:c>
      <x:c r="D13" s="6" t="inlineStr">
        <x:is>
          <x:t xml:space="preserve">remaining material</x:t>
        </x:is>
      </x:c>
      <x:c r="E13" s="6" t="inlineStr">
        <x:is>
          <x:t xml:space="preserve">Subcontract</x:t>
        </x:is>
      </x:c>
      <x:c r="F13" s="8" t="n">
        <x:v>98867</x:v>
      </x:c>
      <x:c r="G13" s="7" t="n">
        <x:v>98867</x:v>
      </x:c>
      <x:c r="H13" s="6" t="inlineStr">
        <x:is>
          <x:t xml:space="preserve">Open at PM snapshot</x:t>
        </x:is>
      </x:c>
      <x:c r="I13" s="10" t="n">
        <x:v>46199</x:v>
      </x:c>
    </x:row>
    <x:row r="14">
      <x:c r="A14" s="6" t="inlineStr">
        <x:is>
          <x:t xml:space="preserve">ARM-2417</x:t>
        </x:is>
      </x:c>
      <x:c r="B14" s="6" t="inlineStr">
        <x:is>
          <x:t xml:space="preserve">SC-2417-05</x:t>
        </x:is>
      </x:c>
      <x:c r="C14" s="6" t="inlineStr">
        <x:is>
          <x:t xml:space="preserve">Columbia Rigging Services</x:t>
        </x:is>
      </x:c>
      <x:c r="D14" s="6" t="inlineStr">
        <x:is>
          <x:t xml:space="preserve">equipment setting</x:t>
        </x:is>
      </x:c>
      <x:c r="E14" s="6" t="inlineStr">
        <x:is>
          <x:t xml:space="preserve">Subcontract</x:t>
        </x:is>
      </x:c>
      <x:c r="F14" s="8" t="n">
        <x:v>263347</x:v>
      </x:c>
      <x:c r="G14" s="7" t="n">
        <x:v>263347</x:v>
      </x:c>
      <x:c r="H14" s="6" t="inlineStr">
        <x:is>
          <x:t xml:space="preserve">Awaiting final field quantity</x:t>
        </x:is>
      </x:c>
      <x:c r="I14" s="10" t="n">
        <x:v>46201</x:v>
      </x:c>
    </x:row>
    <x:row r="15">
      <x:c r="A15" s="6" t="inlineStr">
        <x:is>
          <x:t xml:space="preserve">ARM-2417</x:t>
        </x:is>
      </x:c>
      <x:c r="B15" s="6" t="inlineStr">
        <x:is>
          <x:t xml:space="preserve">SC-2417-12</x:t>
        </x:is>
      </x:c>
      <x:c r="C15" s="6" t="inlineStr">
        <x:is>
          <x:t xml:space="preserve">Northwest Pipe &amp; Valve</x:t>
        </x:is>
      </x:c>
      <x:c r="D15" s="6" t="inlineStr">
        <x:is>
          <x:t xml:space="preserve">equipment and trim</x:t>
        </x:is>
      </x:c>
      <x:c r="E15" s="6" t="inlineStr">
        <x:is>
          <x:t xml:space="preserve">Subcontract</x:t>
        </x:is>
      </x:c>
      <x:c r="F15" s="8" t="n">
        <x:v>285293</x:v>
      </x:c>
      <x:c r="G15" s="7" t="n">
        <x:v>285293</x:v>
      </x:c>
      <x:c r="H15" s="6" t="inlineStr">
        <x:is>
          <x:t xml:space="preserve">Open at PM snapshot</x:t>
        </x:is>
      </x:c>
      <x:c r="I15" s="10" t="n">
        <x:v>46200</x:v>
      </x:c>
    </x:row>
    <x:row r="16">
      <x:c r="A16" s="6" t="inlineStr">
        <x:is>
          <x:t xml:space="preserve">ARM-2421</x:t>
        </x:is>
      </x:c>
      <x:c r="B16" s="6" t="inlineStr">
        <x:is>
          <x:t xml:space="preserve">SC-2421-06</x:t>
        </x:is>
      </x:c>
      <x:c r="C16" s="6" t="inlineStr">
        <x:is>
          <x:t xml:space="preserve">Evergreen Mechanical Supply</x:t>
        </x:is>
      </x:c>
      <x:c r="D16" s="6" t="inlineStr">
        <x:is>
          <x:t xml:space="preserve">remaining material</x:t>
        </x:is>
      </x:c>
      <x:c r="E16" s="6" t="inlineStr">
        <x:is>
          <x:t xml:space="preserve">Subcontract</x:t>
        </x:is>
      </x:c>
      <x:c r="F16" s="8" t="n">
        <x:v>3013</x:v>
      </x:c>
      <x:c r="G16" s="7" t="n">
        <x:v>3013</x:v>
      </x:c>
      <x:c r="H16" s="6" t="inlineStr">
        <x:is>
          <x:t xml:space="preserve">Open at PM snapshot</x:t>
        </x:is>
      </x:c>
      <x:c r="I16" s="10" t="n">
        <x:v>46197</x:v>
      </x:c>
    </x:row>
    <x:row r="17">
      <x:c r="A17" s="6" t="inlineStr">
        <x:is>
          <x:t xml:space="preserve">ARM-2421</x:t>
        </x:is>
      </x:c>
      <x:c r="B17" s="6" t="inlineStr">
        <x:is>
          <x:t xml:space="preserve">SC-2421-13</x:t>
        </x:is>
      </x:c>
      <x:c r="C17" s="6" t="inlineStr">
        <x:is>
          <x:t xml:space="preserve">Cascade Controls Integration</x:t>
        </x:is>
      </x:c>
      <x:c r="D17" s="6" t="inlineStr">
        <x:is>
          <x:t xml:space="preserve">controls completion</x:t>
        </x:is>
      </x:c>
      <x:c r="E17" s="6" t="inlineStr">
        <x:is>
          <x:t xml:space="preserve">Subcontract</x:t>
        </x:is>
      </x:c>
      <x:c r="F17" s="8" t="n">
        <x:v>2567</x:v>
      </x:c>
      <x:c r="G17" s="7" t="n">
        <x:v>2567</x:v>
      </x:c>
      <x:c r="H17" s="6" t="inlineStr">
        <x:is>
          <x:t xml:space="preserve">Open at PM snapshot</x:t>
        </x:is>
      </x:c>
      <x:c r="I17" s="10" t="n">
        <x:v>46201</x:v>
      </x:c>
    </x:row>
    <x:row r="18">
      <x:c r="A18" s="6" t="inlineStr">
        <x:is>
          <x:t xml:space="preserve">ARM-2501</x:t>
        </x:is>
      </x:c>
      <x:c r="B18" s="6" t="inlineStr">
        <x:is>
          <x:t xml:space="preserve">SC-2501-07</x:t>
        </x:is>
      </x:c>
      <x:c r="C18" s="6" t="inlineStr">
        <x:is>
          <x:t xml:space="preserve">Northwest Pipe &amp; Valve</x:t>
        </x:is>
      </x:c>
      <x:c r="D18" s="6" t="inlineStr">
        <x:is>
          <x:t xml:space="preserve">equipment and trim</x:t>
        </x:is>
      </x:c>
      <x:c r="E18" s="6" t="inlineStr">
        <x:is>
          <x:t xml:space="preserve">Subcontract</x:t>
        </x:is>
      </x:c>
      <x:c r="F18" s="8" t="n">
        <x:v>69098</x:v>
      </x:c>
      <x:c r="G18" s="7" t="n">
        <x:v>69098</x:v>
      </x:c>
      <x:c r="H18" s="6" t="inlineStr">
        <x:is>
          <x:t xml:space="preserve">Open at PM snapshot</x:t>
        </x:is>
      </x:c>
      <x:c r="I18" s="10" t="n">
        <x:v>46198</x:v>
      </x:c>
    </x:row>
    <x:row r="19">
      <x:c r="A19" s="6" t="inlineStr">
        <x:is>
          <x:t xml:space="preserve">ARM-2501</x:t>
        </x:is>
      </x:c>
      <x:c r="B19" s="6" t="inlineStr">
        <x:is>
          <x:t xml:space="preserve">SC-2501-14</x:t>
        </x:is>
      </x:c>
      <x:c r="C19" s="6" t="inlineStr">
        <x:is>
          <x:t xml:space="preserve">High Desert Insulation</x:t>
        </x:is>
      </x:c>
      <x:c r="D19" s="6" t="inlineStr">
        <x:is>
          <x:t xml:space="preserve">insulation closeout</x:t>
        </x:is>
      </x:c>
      <x:c r="E19" s="6" t="inlineStr">
        <x:is>
          <x:t xml:space="preserve">Subcontract</x:t>
        </x:is>
      </x:c>
      <x:c r="F19" s="8" t="n">
        <x:v>95422</x:v>
      </x:c>
      <x:c r="G19" s="7" t="n">
        <x:v>95422</x:v>
      </x:c>
      <x:c r="H19" s="6" t="inlineStr">
        <x:is>
          <x:t xml:space="preserve">Open at PM snapshot</x:t>
        </x:is>
      </x:c>
      <x:c r="I19" s="10" t="n">
        <x:v>46196</x:v>
      </x:c>
    </x:row>
    <x:row r="20">
      <x:c r="A20" s="6" t="inlineStr">
        <x:is>
          <x:t xml:space="preserve">ARM-2506</x:t>
        </x:is>
      </x:c>
      <x:c r="B20" s="6" t="inlineStr">
        <x:is>
          <x:t xml:space="preserve">SC-2506-01</x:t>
        </x:is>
      </x:c>
      <x:c r="C20" s="6" t="inlineStr">
        <x:is>
          <x:t xml:space="preserve">Cascade Controls Integration</x:t>
        </x:is>
      </x:c>
      <x:c r="D20" s="6" t="inlineStr">
        <x:is>
          <x:t xml:space="preserve">controls completion</x:t>
        </x:is>
      </x:c>
      <x:c r="E20" s="6" t="inlineStr">
        <x:is>
          <x:t xml:space="preserve">Subcontract</x:t>
        </x:is>
      </x:c>
      <x:c r="F20" s="8" t="n">
        <x:v>408758</x:v>
      </x:c>
      <x:c r="G20" s="7" t="n">
        <x:v>408758</x:v>
      </x:c>
      <x:c r="H20" s="6" t="inlineStr">
        <x:is>
          <x:t xml:space="preserve">Open at PM snapshot</x:t>
        </x:is>
      </x:c>
      <x:c r="I20" s="10" t="n">
        <x:v>46199</x:v>
      </x:c>
    </x:row>
    <x:row r="21">
      <x:c r="A21" s="6" t="inlineStr">
        <x:is>
          <x:t xml:space="preserve">ARM-2506</x:t>
        </x:is>
      </x:c>
      <x:c r="B21" s="6" t="inlineStr">
        <x:is>
          <x:t xml:space="preserve">SC-2506-08</x:t>
        </x:is>
      </x:c>
      <x:c r="C21" s="6" t="inlineStr">
        <x:is>
          <x:t xml:space="preserve">Pacific Test &amp; Balance</x:t>
        </x:is>
      </x:c>
      <x:c r="D21" s="6" t="inlineStr">
        <x:is>
          <x:t xml:space="preserve">commissioning support</x:t>
        </x:is>
      </x:c>
      <x:c r="E21" s="6" t="inlineStr">
        <x:is>
          <x:t xml:space="preserve">Subcontract</x:t>
        </x:is>
      </x:c>
      <x:c r="F21" s="8" t="n">
        <x:v>442822</x:v>
      </x:c>
      <x:c r="G21" s="7" t="n">
        <x:v>442822</x:v>
      </x:c>
      <x:c r="H21" s="6" t="inlineStr">
        <x:is>
          <x:t xml:space="preserve">Open at PM snapshot</x:t>
        </x:is>
      </x:c>
      <x:c r="I21" s="10" t="n">
        <x:v>46197</x:v>
      </x:c>
    </x:row>
    <x:row r="22">
      <x:c r="A22" s="6" t="inlineStr">
        <x:is>
          <x:t xml:space="preserve">ARM-2510</x:t>
        </x:is>
      </x:c>
      <x:c r="B22" s="6" t="inlineStr">
        <x:is>
          <x:t xml:space="preserve">SC-2510-02</x:t>
        </x:is>
      </x:c>
      <x:c r="C22" s="6" t="inlineStr">
        <x:is>
          <x:t xml:space="preserve">High Desert Insulation</x:t>
        </x:is>
      </x:c>
      <x:c r="D22" s="6" t="inlineStr">
        <x:is>
          <x:t xml:space="preserve">insulation closeout</x:t>
        </x:is>
      </x:c>
      <x:c r="E22" s="6" t="inlineStr">
        <x:is>
          <x:t xml:space="preserve">Subcontract</x:t>
        </x:is>
      </x:c>
      <x:c r="F22" s="8" t="n">
        <x:v>319205</x:v>
      </x:c>
      <x:c r="G22" s="7" t="n">
        <x:v>319205</x:v>
      </x:c>
      <x:c r="H22" s="6" t="inlineStr">
        <x:is>
          <x:t xml:space="preserve">Awaiting final field quantity</x:t>
        </x:is>
      </x:c>
      <x:c r="I22" s="10" t="n">
        <x:v>46200</x:v>
      </x:c>
    </x:row>
    <x:row r="23">
      <x:c r="A23" s="6" t="inlineStr">
        <x:is>
          <x:t xml:space="preserve">ARM-2510</x:t>
        </x:is>
      </x:c>
      <x:c r="B23" s="6" t="inlineStr">
        <x:is>
          <x:t xml:space="preserve">SC-2510-09</x:t>
        </x:is>
      </x:c>
      <x:c r="C23" s="6" t="inlineStr">
        <x:is>
          <x:t xml:space="preserve">Columbia Rigging Services</x:t>
        </x:is>
      </x:c>
      <x:c r="D23" s="6" t="inlineStr">
        <x:is>
          <x:t xml:space="preserve">equipment setting</x:t>
        </x:is>
      </x:c>
      <x:c r="E23" s="6" t="inlineStr">
        <x:is>
          <x:t xml:space="preserve">Subcontract</x:t>
        </x:is>
      </x:c>
      <x:c r="F23" s="8" t="n">
        <x:v>271915</x:v>
      </x:c>
      <x:c r="G23" s="7" t="n">
        <x:v>271915</x:v>
      </x:c>
      <x:c r="H23" s="6" t="inlineStr">
        <x:is>
          <x:t xml:space="preserve">Open at PM snapshot</x:t>
        </x:is>
      </x:c>
      <x:c r="I23" s="10" t="n">
        <x:v>46198</x:v>
      </x:c>
    </x:row>
    <x:row r="24">
      <x:c r="A24" s="6" t="inlineStr">
        <x:is>
          <x:t xml:space="preserve">ARM-2514</x:t>
        </x:is>
      </x:c>
      <x:c r="B24" s="6" t="inlineStr">
        <x:is>
          <x:t xml:space="preserve">SC-2514-03</x:t>
        </x:is>
      </x:c>
      <x:c r="C24" s="6" t="inlineStr">
        <x:is>
          <x:t xml:space="preserve">Pacific Test &amp; Balance</x:t>
        </x:is>
      </x:c>
      <x:c r="D24" s="6" t="inlineStr">
        <x:is>
          <x:t xml:space="preserve">commissioning support</x:t>
        </x:is>
      </x:c>
      <x:c r="E24" s="6" t="inlineStr">
        <x:is>
          <x:t xml:space="preserve">Subcontract</x:t>
        </x:is>
      </x:c>
      <x:c r="F24" s="8" t="n">
        <x:v>112795</x:v>
      </x:c>
      <x:c r="G24" s="7" t="n">
        <x:v>112795</x:v>
      </x:c>
      <x:c r="H24" s="6" t="inlineStr">
        <x:is>
          <x:t xml:space="preserve">Open at PM snapshot</x:t>
        </x:is>
      </x:c>
      <x:c r="I24" s="10" t="n">
        <x:v>46201</x:v>
      </x:c>
    </x:row>
    <x:row r="25">
      <x:c r="A25" s="6" t="inlineStr">
        <x:is>
          <x:t xml:space="preserve">ARM-2514</x:t>
        </x:is>
      </x:c>
      <x:c r="B25" s="6" t="inlineStr">
        <x:is>
          <x:t xml:space="preserve">SC-2514-10</x:t>
        </x:is>
      </x:c>
      <x:c r="C25" s="6" t="inlineStr">
        <x:is>
          <x:t xml:space="preserve">Evergreen Mechanical Supply</x:t>
        </x:is>
      </x:c>
      <x:c r="D25" s="6" t="inlineStr">
        <x:is>
          <x:t xml:space="preserve">remaining material</x:t>
        </x:is>
      </x:c>
      <x:c r="E25" s="6" t="inlineStr">
        <x:is>
          <x:t xml:space="preserve">Subcontract</x:t>
        </x:is>
      </x:c>
      <x:c r="F25" s="8" t="n">
        <x:v>155765</x:v>
      </x:c>
      <x:c r="G25" s="7" t="n">
        <x:v>155765</x:v>
      </x:c>
      <x:c r="H25" s="6" t="inlineStr">
        <x:is>
          <x:t xml:space="preserve">Open at PM snapshot</x:t>
        </x:is>
      </x:c>
      <x:c r="I25" s="10" t="n">
        <x:v>46199</x:v>
      </x:c>
    </x:row>
    <x:row r="26">
      <x:c r="A26" s="6" t="inlineStr">
        <x:is>
          <x:t xml:space="preserve">ARM-2518</x:t>
        </x:is>
      </x:c>
      <x:c r="B26" s="6" t="inlineStr">
        <x:is>
          <x:t xml:space="preserve">SC-2518-04</x:t>
        </x:is>
      </x:c>
      <x:c r="C26" s="6" t="inlineStr">
        <x:is>
          <x:t xml:space="preserve">Columbia Rigging Services</x:t>
        </x:is>
      </x:c>
      <x:c r="D26" s="6" t="inlineStr">
        <x:is>
          <x:t xml:space="preserve">equipment setting</x:t>
        </x:is>
      </x:c>
      <x:c r="E26" s="6" t="inlineStr">
        <x:is>
          <x:t xml:space="preserve">Subcontract</x:t>
        </x:is>
      </x:c>
      <x:c r="F26" s="8" t="n">
        <x:v>111974</x:v>
      </x:c>
      <x:c r="G26" s="7" t="n">
        <x:v>111974</x:v>
      </x:c>
      <x:c r="H26" s="6" t="inlineStr">
        <x:is>
          <x:t xml:space="preserve">Open at PM snapshot</x:t>
        </x:is>
      </x:c>
      <x:c r="I26" s="10" t="n">
        <x:v>46197</x:v>
      </x:c>
    </x:row>
    <x:row r="27">
      <x:c r="A27" s="6" t="inlineStr">
        <x:is>
          <x:t xml:space="preserve">ARM-2518</x:t>
        </x:is>
      </x:c>
      <x:c r="B27" s="6" t="inlineStr">
        <x:is>
          <x:t xml:space="preserve">SC-2518-11</x:t>
        </x:is>
      </x:c>
      <x:c r="C27" s="6" t="inlineStr">
        <x:is>
          <x:t xml:space="preserve">Northwest Pipe &amp; Valve</x:t>
        </x:is>
      </x:c>
      <x:c r="D27" s="6" t="inlineStr">
        <x:is>
          <x:t xml:space="preserve">equipment and trim</x:t>
        </x:is>
      </x:c>
      <x:c r="E27" s="6" t="inlineStr">
        <x:is>
          <x:t xml:space="preserve">Subcontract</x:t>
        </x:is>
      </x:c>
      <x:c r="F27" s="8" t="n">
        <x:v>121306</x:v>
      </x:c>
      <x:c r="G27" s="7" t="n">
        <x:v>121306</x:v>
      </x:c>
      <x:c r="H27" s="6" t="inlineStr">
        <x:is>
          <x:t xml:space="preserve">Open at PM snapshot</x:t>
        </x:is>
      </x:c>
      <x:c r="I27" s="10" t="n">
        <x:v>46200</x:v>
      </x:c>
    </x:row>
    <x:row r="28">
      <x:c r="A28" s="6" t="inlineStr">
        <x:is>
          <x:t xml:space="preserve">ARM-2522</x:t>
        </x:is>
      </x:c>
      <x:c r="B28" s="6" t="inlineStr">
        <x:is>
          <x:t xml:space="preserve">SC-2522-11</x:t>
        </x:is>
      </x:c>
      <x:c r="C28" s="6" t="inlineStr">
        <x:is>
          <x:t xml:space="preserve">Prime Electric &amp; Controls</x:t>
        </x:is>
      </x:c>
      <x:c r="D28" s="6" t="inlineStr">
        <x:is>
          <x:t xml:space="preserve">Electrical subcontract completion</x:t>
        </x:is>
      </x:c>
      <x:c r="E28" s="6" t="inlineStr">
        <x:is>
          <x:t xml:space="preserve">Subcontract</x:t>
        </x:is>
      </x:c>
      <x:c r="F28" s="8" t="n">
        <x:v>96000</x:v>
      </x:c>
      <x:c r="G28" s="7" t="n">
        <x:v>96000</x:v>
      </x:c>
      <x:c r="H28" s="6" t="inlineStr">
        <x:is>
          <x:t xml:space="preserve">Open at PM snapshot</x:t>
        </x:is>
      </x:c>
      <x:c r="I28" s="10" t="n">
        <x:v>46201</x:v>
      </x:c>
    </x:row>
    <x:row r="29">
      <x:c r="A29" s="6" t="inlineStr">
        <x:is>
          <x:t xml:space="preserve">ARM-2522</x:t>
        </x:is>
      </x:c>
      <x:c r="B29" s="6" t="inlineStr">
        <x:is>
          <x:t xml:space="preserve">SC-2522-14</x:t>
        </x:is>
      </x:c>
      <x:c r="C29" s="6" t="inlineStr">
        <x:is>
          <x:t xml:space="preserve">Pacific Test &amp; Balance</x:t>
        </x:is>
      </x:c>
      <x:c r="D29" s="6" t="inlineStr">
        <x:is>
          <x:t xml:space="preserve">Testing and commissioning balance</x:t>
        </x:is>
      </x:c>
      <x:c r="E29" s="6" t="inlineStr">
        <x:is>
          <x:t xml:space="preserve">Subcontract</x:t>
        </x:is>
      </x:c>
      <x:c r="F29" s="8" t="n">
        <x:v>260760</x:v>
      </x:c>
      <x:c r="G29" s="7" t="n">
        <x:v>260760</x:v>
      </x:c>
      <x:c r="H29" s="6" t="inlineStr">
        <x:is>
          <x:t xml:space="preserve">Open at PM snapshot</x:t>
        </x:is>
      </x:c>
      <x:c r="I29" s="10" t="n">
        <x:v>46200</x:v>
      </x:c>
    </x:row>
    <x:row r="30">
      <x:c r="A30" s="6" t="inlineStr">
        <x:is>
          <x:t xml:space="preserve">ARM-2526</x:t>
        </x:is>
      </x:c>
      <x:c r="B30" s="6" t="inlineStr">
        <x:is>
          <x:t xml:space="preserve">SC-2526-06</x:t>
        </x:is>
      </x:c>
      <x:c r="C30" s="6" t="inlineStr">
        <x:is>
          <x:t xml:space="preserve">Northwest Pipe &amp; Valve</x:t>
        </x:is>
      </x:c>
      <x:c r="D30" s="6" t="inlineStr">
        <x:is>
          <x:t xml:space="preserve">equipment and trim</x:t>
        </x:is>
      </x:c>
      <x:c r="E30" s="6" t="inlineStr">
        <x:is>
          <x:t xml:space="preserve">Subcontract</x:t>
        </x:is>
      </x:c>
      <x:c r="F30" s="8" t="n">
        <x:v>26233</x:v>
      </x:c>
      <x:c r="G30" s="7" t="n">
        <x:v>26233</x:v>
      </x:c>
      <x:c r="H30" s="6" t="inlineStr">
        <x:is>
          <x:t xml:space="preserve">Awaiting final field quantity</x:t>
        </x:is>
      </x:c>
      <x:c r="I30" s="10" t="n">
        <x:v>46199</x:v>
      </x:c>
    </x:row>
    <x:row r="31">
      <x:c r="A31" s="6" t="inlineStr">
        <x:is>
          <x:t xml:space="preserve">ARM-2526</x:t>
        </x:is>
      </x:c>
      <x:c r="B31" s="6" t="inlineStr">
        <x:is>
          <x:t xml:space="preserve">SC-2526-13</x:t>
        </x:is>
      </x:c>
      <x:c r="C31" s="6" t="inlineStr">
        <x:is>
          <x:t xml:space="preserve">High Desert Insulation</x:t>
        </x:is>
      </x:c>
      <x:c r="D31" s="6" t="inlineStr">
        <x:is>
          <x:t xml:space="preserve">insulation closeout</x:t>
        </x:is>
      </x:c>
      <x:c r="E31" s="6" t="inlineStr">
        <x:is>
          <x:t xml:space="preserve">Subcontract</x:t>
        </x:is>
      </x:c>
      <x:c r="F31" s="8" t="n">
        <x:v>36227</x:v>
      </x:c>
      <x:c r="G31" s="7" t="n">
        <x:v>36227</x:v>
      </x:c>
      <x:c r="H31" s="6" t="inlineStr">
        <x:is>
          <x:t xml:space="preserve">Open at PM snapshot</x:t>
        </x:is>
      </x:c>
      <x:c r="I31" s="10" t="n">
        <x:v>46196</x:v>
      </x:c>
    </x:row>
    <x:row r="32">
      <x:c r="A32" s="6" t="inlineStr">
        <x:is>
          <x:t xml:space="preserve">ARM-2602</x:t>
        </x:is>
      </x:c>
      <x:c r="B32" s="6" t="inlineStr">
        <x:is>
          <x:t xml:space="preserve">SC-2602-07</x:t>
        </x:is>
      </x:c>
      <x:c r="C32" s="6" t="inlineStr">
        <x:is>
          <x:t xml:space="preserve">Cascade Controls Integration</x:t>
        </x:is>
      </x:c>
      <x:c r="D32" s="6" t="inlineStr">
        <x:is>
          <x:t xml:space="preserve">controls completion</x:t>
        </x:is>
      </x:c>
      <x:c r="E32" s="6" t="inlineStr">
        <x:is>
          <x:t xml:space="preserve">Subcontract</x:t>
        </x:is>
      </x:c>
      <x:c r="F32" s="8" t="n">
        <x:v>314842</x:v>
      </x:c>
      <x:c r="G32" s="7" t="n">
        <x:v>314842</x:v>
      </x:c>
      <x:c r="H32" s="6" t="inlineStr">
        <x:is>
          <x:t xml:space="preserve">Open at PM snapshot</x:t>
        </x:is>
      </x:c>
      <x:c r="I32" s="10" t="n">
        <x:v>46200</x:v>
      </x:c>
    </x:row>
    <x:row r="33">
      <x:c r="A33" s="6" t="inlineStr">
        <x:is>
          <x:t xml:space="preserve">ARM-2602</x:t>
        </x:is>
      </x:c>
      <x:c r="B33" s="6" t="inlineStr">
        <x:is>
          <x:t xml:space="preserve">SC-2602-14</x:t>
        </x:is>
      </x:c>
      <x:c r="C33" s="6" t="inlineStr">
        <x:is>
          <x:t xml:space="preserve">Pacific Test &amp; Balance</x:t>
        </x:is>
      </x:c>
      <x:c r="D33" s="6" t="inlineStr">
        <x:is>
          <x:t xml:space="preserve">commissioning support</x:t>
        </x:is>
      </x:c>
      <x:c r="E33" s="6" t="inlineStr">
        <x:is>
          <x:t xml:space="preserve">Subcontract</x:t>
        </x:is>
      </x:c>
      <x:c r="F33" s="8" t="n">
        <x:v>341078</x:v>
      </x:c>
      <x:c r="G33" s="7" t="n">
        <x:v>341078</x:v>
      </x:c>
      <x:c r="H33" s="6" t="inlineStr">
        <x:is>
          <x:t xml:space="preserve">Open at PM snapshot</x:t>
        </x:is>
      </x:c>
      <x:c r="I33" s="10" t="n">
        <x:v>46197</x:v>
      </x:c>
    </x:row>
    <x:row r="34">
      <x:c r="A34" s="6" t="inlineStr">
        <x:is>
          <x:t xml:space="preserve">ARM-2605</x:t>
        </x:is>
      </x:c>
      <x:c r="B34" s="6" t="inlineStr">
        <x:is>
          <x:t xml:space="preserve">SC-2605-01</x:t>
        </x:is>
      </x:c>
      <x:c r="C34" s="6" t="inlineStr">
        <x:is>
          <x:t xml:space="preserve">High Desert Insulation</x:t>
        </x:is>
      </x:c>
      <x:c r="D34" s="6" t="inlineStr">
        <x:is>
          <x:t xml:space="preserve">insulation closeout</x:t>
        </x:is>
      </x:c>
      <x:c r="E34" s="6" t="inlineStr">
        <x:is>
          <x:t xml:space="preserve">Subcontract</x:t>
        </x:is>
      </x:c>
      <x:c r="F34" s="8" t="n">
        <x:v>400853</x:v>
      </x:c>
      <x:c r="G34" s="7" t="n">
        <x:v>400853</x:v>
      </x:c>
      <x:c r="H34" s="6" t="inlineStr">
        <x:is>
          <x:t xml:space="preserve">Open at PM snapshot</x:t>
        </x:is>
      </x:c>
      <x:c r="I34" s="10" t="n">
        <x:v>46201</x:v>
      </x:c>
    </x:row>
    <x:row r="35">
      <x:c r="A35" s="6" t="inlineStr">
        <x:is>
          <x:t xml:space="preserve">ARM-2605</x:t>
        </x:is>
      </x:c>
      <x:c r="B35" s="6" t="inlineStr">
        <x:is>
          <x:t xml:space="preserve">SC-2605-08</x:t>
        </x:is>
      </x:c>
      <x:c r="C35" s="6" t="inlineStr">
        <x:is>
          <x:t xml:space="preserve">Columbia Rigging Services</x:t>
        </x:is>
      </x:c>
      <x:c r="D35" s="6" t="inlineStr">
        <x:is>
          <x:t xml:space="preserve">equipment setting</x:t>
        </x:is>
      </x:c>
      <x:c r="E35" s="6" t="inlineStr">
        <x:is>
          <x:t xml:space="preserve">Subcontract</x:t>
        </x:is>
      </x:c>
      <x:c r="F35" s="8" t="n">
        <x:v>341467</x:v>
      </x:c>
      <x:c r="G35" s="7" t="n">
        <x:v>341467</x:v>
      </x:c>
      <x:c r="H35" s="6" t="inlineStr">
        <x:is>
          <x:t xml:space="preserve">Open at PM snapshot</x:t>
        </x:is>
      </x:c>
      <x:c r="I35" s="10" t="n">
        <x:v>46198</x:v>
      </x:c>
    </x:row>
    <x:row r="36">
      <x:c r="A36" s="6" t="inlineStr">
        <x:is>
          <x:t xml:space="preserve">ARM-2608</x:t>
        </x:is>
      </x:c>
      <x:c r="B36" s="6" t="inlineStr">
        <x:is>
          <x:t xml:space="preserve">SC-2608-02</x:t>
        </x:is>
      </x:c>
      <x:c r="C36" s="6" t="inlineStr">
        <x:is>
          <x:t xml:space="preserve">Pacific Test &amp; Balance</x:t>
        </x:is>
      </x:c>
      <x:c r="D36" s="6" t="inlineStr">
        <x:is>
          <x:t xml:space="preserve">commissioning support</x:t>
        </x:is>
      </x:c>
      <x:c r="E36" s="6" t="inlineStr">
        <x:is>
          <x:t xml:space="preserve">Subcontract</x:t>
        </x:is>
      </x:c>
      <x:c r="F36" s="8" t="n">
        <x:v>66604</x:v>
      </x:c>
      <x:c r="G36" s="7" t="n">
        <x:v>66604</x:v>
      </x:c>
      <x:c r="H36" s="6" t="inlineStr">
        <x:is>
          <x:t xml:space="preserve">Open at PM snapshot</x:t>
        </x:is>
      </x:c>
      <x:c r="I36" s="10" t="n">
        <x:v>46197</x:v>
      </x:c>
    </x:row>
    <x:row r="37">
      <x:c r="A37" s="6" t="inlineStr">
        <x:is>
          <x:t xml:space="preserve">ARM-2608</x:t>
        </x:is>
      </x:c>
      <x:c r="B37" s="6" t="inlineStr">
        <x:is>
          <x:t xml:space="preserve">SC-2608-09</x:t>
        </x:is>
      </x:c>
      <x:c r="C37" s="6" t="inlineStr">
        <x:is>
          <x:t xml:space="preserve">Evergreen Mechanical Supply</x:t>
        </x:is>
      </x:c>
      <x:c r="D37" s="6" t="inlineStr">
        <x:is>
          <x:t xml:space="preserve">remaining material</x:t>
        </x:is>
      </x:c>
      <x:c r="E37" s="6" t="inlineStr">
        <x:is>
          <x:t xml:space="preserve">Subcontract</x:t>
        </x:is>
      </x:c>
      <x:c r="F37" s="8" t="n">
        <x:v>91976</x:v>
      </x:c>
      <x:c r="G37" s="7" t="n">
        <x:v>91976</x:v>
      </x:c>
      <x:c r="H37" s="6" t="inlineStr">
        <x:is>
          <x:t xml:space="preserve">Open at PM snapshot</x:t>
        </x:is>
      </x:c>
      <x:c r="I37" s="10" t="n">
        <x:v>46199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2" width="13" customWidth="1"/>
    <x:col min="3" max="3" width="48" customWidth="1"/>
    <x:col min="4" max="4" width="19" customWidth="1"/>
    <x:col min="5" max="5" width="22" customWidth="1"/>
    <x:col min="6" max="6" width="18" customWidth="1"/>
    <x:col min="7" max="7" width="13" customWidth="1"/>
    <x:col min="8" max="8" width="15" customWidth="1"/>
    <x:col min="9" max="9" width="22" customWidth="1"/>
  </x:cols>
  <x:sheetData>
    <x:row r="1" ht="23" customHeight="1">
      <x:c r="A1" s="1" t="inlineStr">
        <x:is>
          <x:t xml:space="preserve">Risks, Opportunities and Unpriced Exposure</x:t>
        </x:is>
      </x:c>
      <x:c r="B1" s="20" t="n"/>
      <x:c r="C1" s="20" t="n"/>
      <x:c r="D1" s="20" t="n"/>
      <x:c r="E1" s="20" t="n"/>
      <x:c r="F1" s="20" t="n"/>
      <x:c r="G1" s="20" t="n"/>
      <x:c r="H1" s="20" t="n"/>
      <x:c r="I1" s="20" t="n"/>
    </x:row>
    <x:row r="2" ht="23" customHeight="1">
      <x:c r="A2" s="2" t="inlineStr">
        <x:is>
          <x:t xml:space="preserve">Working PM register; current status and support must be verified in the commercial file</x:t>
        </x:is>
      </x:c>
    </x:row>
    <x:row r="3"/>
    <x:row r="4"/>
    <x:row r="5" ht="30" customHeight="1">
      <x:c r="A5" s="3" t="inlineStr">
        <x:is>
          <x:t xml:space="preserve">Project ID</x:t>
        </x:is>
      </x:c>
      <x:c r="B5" s="4" t="inlineStr">
        <x:is>
          <x:t xml:space="preserve">Reference</x:t>
        </x:is>
      </x:c>
      <x:c r="C5" s="4" t="inlineStr">
        <x:is>
          <x:t xml:space="preserve">Description</x:t>
        </x:is>
      </x:c>
      <x:c r="D5" s="4" t="inlineStr">
        <x:is>
          <x:t xml:space="preserve">Revenue Opportunity</x:t>
        </x:is>
      </x:c>
      <x:c r="E5" s="4" t="inlineStr">
        <x:is>
          <x:t xml:space="preserve">Cost Exposure / (Recovery)</x:t>
        </x:is>
      </x:c>
      <x:c r="F5" s="4" t="inlineStr">
        <x:is>
          <x:t xml:space="preserve">Commercial Status</x:t>
        </x:is>
      </x:c>
      <x:c r="G5" s="4" t="inlineStr">
        <x:is>
          <x:t xml:space="preserve">Probability</x:t>
        </x:is>
      </x:c>
      <x:c r="H5" s="4" t="inlineStr">
        <x:is>
          <x:t xml:space="preserve">Last Updated</x:t>
        </x:is>
      </x:c>
      <x:c r="I5" s="5" t="inlineStr">
        <x:is>
          <x:t xml:space="preserve">Owner</x:t>
        </x:is>
      </x:c>
    </x:row>
    <x:row r="6">
      <x:c r="A6" s="6" t="inlineStr">
        <x:is>
          <x:t xml:space="preserve">ARM-2417</x:t>
        </x:is>
      </x:c>
      <x:c r="B6" s="6" t="inlineStr">
        <x:is>
          <x:t xml:space="preserve">PCO-017</x:t>
        </x:is>
      </x:c>
      <x:c r="C6" s="6" t="inlineStr">
        <x:is>
          <x:t xml:space="preserve">OR congestion and after-hours premium</x:t>
        </x:is>
      </x:c>
      <x:c r="D6" s="8" t="n">
        <x:v>382000</x:v>
      </x:c>
      <x:c r="E6" s="8" t="n">
        <x:v>275000</x:v>
      </x:c>
      <x:c r="F6" s="6" t="inlineStr">
        <x:is>
          <x:t xml:space="preserve">Submitted</x:t>
        </x:is>
      </x:c>
      <x:c r="G6" s="6" t="inlineStr">
        <x:is>
          <x:t xml:space="preserve">75%</x:t>
        </x:is>
      </x:c>
      <x:c r="H6" s="10" t="n">
        <x:v>46190</x:v>
      </x:c>
      <x:c r="I6" s="6" t="inlineStr">
        <x:is>
          <x:t xml:space="preserve">Maya Chen</x:t>
        </x:is>
      </x:c>
    </x:row>
    <x:row r="7">
      <x:c r="A7" s="6" t="inlineStr">
        <x:is>
          <x:t xml:space="preserve">ARM-2409</x:t>
        </x:is>
      </x:c>
      <x:c r="B7" s="6" t="inlineStr">
        <x:is>
          <x:t xml:space="preserve">PCO-011</x:t>
        </x:is>
      </x:c>
      <x:c r="C7" s="6" t="inlineStr">
        <x:is>
          <x:t xml:space="preserve">Freezer slab rework backcharge to concrete trade</x:t>
        </x:is>
      </x:c>
      <x:c r="D7" s="8" t="n">
        <x:v>185000</x:v>
      </x:c>
      <x:c r="E7" s="8" t="n">
        <x:v>-185000</x:v>
      </x:c>
      <x:c r="F7" s="6" t="inlineStr">
        <x:is>
          <x:t xml:space="preserve">Draft</x:t>
        </x:is>
      </x:c>
      <x:c r="G7" s="6" t="inlineStr">
        <x:is>
          <x:t xml:space="preserve">40%</x:t>
        </x:is>
      </x:c>
      <x:c r="H7" s="10" t="n">
        <x:v>46197</x:v>
      </x:c>
      <x:c r="I7" s="6" t="inlineStr">
        <x:is>
          <x:t xml:space="preserve">Priya Raman</x:t>
        </x:is>
      </x:c>
    </x:row>
    <x:row r="8">
      <x:c r="A8" s="6" t="inlineStr">
        <x:is>
          <x:t xml:space="preserve">ARM-2506</x:t>
        </x:is>
      </x:c>
      <x:c r="B8" s="6" t="inlineStr">
        <x:is>
          <x:t xml:space="preserve">PCO-006</x:t>
        </x:is>
      </x:c>
      <x:c r="C8" s="6" t="inlineStr">
        <x:is>
          <x:t xml:space="preserve">Chiller electrical service redesign</x:t>
        </x:is>
      </x:c>
      <x:c r="D8" s="8" t="n">
        <x:v>296000</x:v>
      </x:c>
      <x:c r="E8" s="8" t="n">
        <x:v>210000</x:v>
      </x:c>
      <x:c r="F8" s="6" t="inlineStr">
        <x:is>
          <x:t xml:space="preserve">Pricing</x:t>
        </x:is>
      </x:c>
      <x:c r="G8" s="6" t="inlineStr">
        <x:is>
          <x:t xml:space="preserve">80%</x:t>
        </x:is>
      </x:c>
      <x:c r="H8" s="10" t="n">
        <x:v>46194</x:v>
      </x:c>
      <x:c r="I8" s="6" t="inlineStr">
        <x:is>
          <x:t xml:space="preserve">Priya Raman</x:t>
        </x:is>
      </x:c>
    </x:row>
    <x:row r="9">
      <x:c r="A9" s="6" t="inlineStr">
        <x:is>
          <x:t xml:space="preserve">ARM-2514</x:t>
        </x:is>
      </x:c>
      <x:c r="B9" s="6" t="inlineStr">
        <x:is>
          <x:t xml:space="preserve">CO-008</x:t>
        </x:is>
      </x:c>
      <x:c r="C9" s="6" t="inlineStr">
        <x:is>
          <x:t xml:space="preserve">Gym ventilation scope revision</x:t>
        </x:is>
      </x:c>
      <x:c r="D9" s="8" t="n">
        <x:v>214000</x:v>
      </x:c>
      <x:c r="E9" s="8" t="n">
        <x:v>147000</x:v>
      </x:c>
      <x:c r="F9" s="6" t="inlineStr">
        <x:is>
          <x:t xml:space="preserve">Approved</x:t>
        </x:is>
      </x:c>
      <x:c r="G9" s="6" t="inlineStr">
        <x:is>
          <x:t xml:space="preserve">100%</x:t>
        </x:is>
      </x:c>
      <x:c r="H9" s="10" t="n">
        <x:v>46185</x:v>
      </x:c>
      <x:c r="I9" s="6" t="inlineStr">
        <x:is>
          <x:t xml:space="preserve">Lucas Bennett</x:t>
        </x:is>
      </x:c>
    </x:row>
    <x:row r="10">
      <x:c r="A10" s="6" t="inlineStr">
        <x:is>
          <x:t xml:space="preserve">ARM-2318</x:t>
        </x:is>
      </x:c>
      <x:c r="B10" s="6" t="inlineStr">
        <x:is>
          <x:t xml:space="preserve">PCO-029</x:t>
        </x:is>
      </x:c>
      <x:c r="C10" s="6" t="inlineStr">
        <x:is>
          <x:t xml:space="preserve">Final validation retest and extended support</x:t>
        </x:is>
      </x:c>
      <x:c r="D10" s="8" t="n">
        <x:v>68000</x:v>
      </x:c>
      <x:c r="E10" s="8" t="n">
        <x:v>45000</x:v>
      </x:c>
      <x:c r="F10" s="6" t="inlineStr">
        <x:is>
          <x:t xml:space="preserve">Submitted</x:t>
        </x:is>
      </x:c>
      <x:c r="G10" s="6" t="inlineStr">
        <x:is>
          <x:t xml:space="preserve">65%</x:t>
        </x:is>
      </x:c>
      <x:c r="H10" s="10" t="n">
        <x:v>46200</x:v>
      </x:c>
      <x:c r="I10" s="6" t="inlineStr">
        <x:is>
          <x:t xml:space="preserve">Maya Chen</x:t>
        </x:is>
      </x:c>
    </x:row>
    <x:row r="11">
      <x:c r="A11" s="6" t="inlineStr">
        <x:is>
          <x:t xml:space="preserve">ARM-2605</x:t>
        </x:is>
      </x:c>
      <x:c r="B11" s="6" t="inlineStr">
        <x:is>
          <x:t xml:space="preserve">PCO-002</x:t>
        </x:is>
      </x:c>
      <x:c r="C11" s="6" t="inlineStr">
        <x:is>
          <x:t xml:space="preserve">Temporary ventilation for summer events</x:t>
        </x:is>
      </x:c>
      <x:c r="D11" s="8" t="n">
        <x:v>174000</x:v>
      </x:c>
      <x:c r="E11" s="8" t="n">
        <x:v>121000</x:v>
      </x:c>
      <x:c r="F11" s="6" t="inlineStr">
        <x:is>
          <x:t xml:space="preserve">Under Review</x:t>
        </x:is>
      </x:c>
      <x:c r="G11" s="6" t="inlineStr">
        <x:is>
          <x:t xml:space="preserve">25%</x:t>
        </x:is>
      </x:c>
      <x:c r="H11" s="10" t="n">
        <x:v>46201</x:v>
      </x:c>
      <x:c r="I11" s="6" t="inlineStr">
        <x:is>
          <x:t xml:space="preserve">Elliot Marks</x:t>
        </x:is>
      </x:c>
    </x:row>
    <x:row r="12">
      <x:c r="A12" s="6" t="inlineStr">
        <x:is>
          <x:t xml:space="preserve">ARM-2403</x:t>
        </x:is>
      </x:c>
      <x:c r="B12" s="6" t="inlineStr">
        <x:is>
          <x:t xml:space="preserve">CO-014</x:t>
        </x:is>
      </x:c>
      <x:c r="C12" s="6" t="inlineStr">
        <x:is>
          <x:t xml:space="preserve">AHU-4 controls sequence revision</x:t>
        </x:is>
      </x:c>
      <x:c r="D12" s="8" t="n">
        <x:v>96000</x:v>
      </x:c>
      <x:c r="E12" s="8" t="n">
        <x:v>62000</x:v>
      </x:c>
      <x:c r="F12" s="6" t="inlineStr">
        <x:is>
          <x:t xml:space="preserve">Approved</x:t>
        </x:is>
      </x:c>
      <x:c r="G12" s="6" t="inlineStr">
        <x:is>
          <x:t xml:space="preserve">100%</x:t>
        </x:is>
      </x:c>
      <x:c r="H12" s="10" t="n">
        <x:v>46161</x:v>
      </x:c>
      <x:c r="I12" s="6" t="inlineStr">
        <x:is>
          <x:t xml:space="preserve">Elliot Marks</x:t>
        </x:is>
      </x:c>
    </x:row>
    <x:row r="13">
      <x:c r="A13" s="6" t="inlineStr">
        <x:is>
          <x:t xml:space="preserve">ARM-2412</x:t>
        </x:is>
      </x:c>
      <x:c r="B13" s="6" t="inlineStr">
        <x:is>
          <x:t xml:space="preserve">CO-009</x:t>
        </x:is>
      </x:c>
      <x:c r="C13" s="6" t="inlineStr">
        <x:is>
          <x:t xml:space="preserve">Lab exhaust fan VFD replacements</x:t>
        </x:is>
      </x:c>
      <x:c r="D13" s="8" t="n">
        <x:v>133000</x:v>
      </x:c>
      <x:c r="E13" s="8" t="n">
        <x:v>88000</x:v>
      </x:c>
      <x:c r="F13" s="6" t="inlineStr">
        <x:is>
          <x:t xml:space="preserve">Approved</x:t>
        </x:is>
      </x:c>
      <x:c r="G13" s="6" t="inlineStr">
        <x:is>
          <x:t xml:space="preserve">100%</x:t>
        </x:is>
      </x:c>
      <x:c r="H13" s="10" t="n">
        <x:v>46176</x:v>
      </x:c>
      <x:c r="I13" s="6" t="inlineStr">
        <x:is>
          <x:t xml:space="preserve">Elliot Marks</x:t>
        </x:is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" customWidth="1"/>
    <x:col min="2" max="2" width="94" customWidth="1"/>
    <x:col min="3" max="6" width="12" customWidth="1"/>
  </x:cols>
  <x:sheetData>
    <x:row r="1" ht="23" customHeight="1">
      <x:c r="A1" s="1" t="inlineStr">
        <x:is>
          <x:t xml:space="preserve">Forecast Submission Protocol</x:t>
        </x:is>
      </x:c>
      <x:c r="B1" s="20" t="n"/>
      <x:c r="C1" s="20" t="n"/>
      <x:c r="D1" s="20" t="n"/>
      <x:c r="E1" s="20" t="n"/>
      <x:c r="F1" s="20" t="n"/>
    </x:row>
    <x:row r="2" ht="23" customHeight="1">
      <x:c r="A2" s="2" t="inlineStr">
        <x:is>
          <x:t xml:space="preserve">Operations Finance | Rev. 2026-03</x:t>
        </x:is>
      </x:c>
    </x:row>
    <x:row r="3"/>
    <x:row r="4">
      <x:c r="A4" s="11" t="inlineStr">
        <x:is>
          <x:t xml:space="preserve">Submission steps</x:t>
        </x:is>
      </x:c>
      <x:c r="B4" s="21" t="n"/>
      <x:c r="C4" s="21" t="n"/>
      <x:c r="D4" s="21" t="n"/>
      <x:c r="E4" s="21" t="n"/>
      <x:c r="F4" s="21" t="n"/>
    </x:row>
    <x:row r="5"/>
    <x:row r="6" ht="35" customHeight="1">
      <x:c r="A6" s="12" t="n">
        <x:v>1</x:v>
      </x:c>
      <x:c r="B6" s="13" t="inlineStr">
        <x:is>
          <x:t xml:space="preserve">Update remaining labor, material, subcontract, commissioning, close-out and contingency from the current field plan.</x:t>
        </x:is>
      </x:c>
    </x:row>
    <x:row r="7" ht="35" customHeight="1">
      <x:c r="A7" s="12" t="n">
        <x:v>2</x:v>
      </x:c>
      <x:c r="B7" s="13" t="inlineStr">
        <x:is>
          <x:t xml:space="preserve">Enter project-specific exposures and forecast credits separately rather than inside another component.</x:t>
        </x:is>
      </x:c>
    </x:row>
    <x:row r="8" ht="35" customHeight="1">
      <x:c r="A8" s="12" t="n">
        <x:v>3</x:v>
      </x:c>
      <x:c r="B8" s="13" t="inlineStr">
        <x:is>
          <x:t xml:space="preserve">Reference the supporting commercial or project file for each non-routine assumption.</x:t>
        </x:is>
      </x:c>
    </x:row>
    <x:row r="9" ht="35" customHeight="1">
      <x:c r="A9" s="12" t="n">
        <x:v>4</x:v>
      </x:c>
      <x:c r="B9" s="13" t="inlineStr">
        <x:is>
          <x:t xml:space="preserve">Keep each risk or opportunity on a separate register line until the underlying matter is resolved.</x:t>
        </x:is>
      </x:c>
    </x:row>
    <x:row r="10" ht="35" customHeight="1">
      <x:c r="A10" s="12" t="n">
        <x:v>5</x:v>
      </x:c>
      <x:c r="B10" s="13" t="inlineStr">
        <x:is>
          <x:t xml:space="preserve">Do not overwrite posted actual cost or billing fields in a PM submission.</x:t>
        </x:is>
      </x:c>
    </x:row>
    <x:row r="11" ht="35" customHeight="1">
      <x:c r="A11" s="12" t="n">
        <x:v>6</x:v>
      </x:c>
      <x:c r="B11" s="13" t="inlineStr">
        <x:is>
          <x:t xml:space="preserve">Retain the submitted timestamp, PM name and confidence assessment.</x:t>
        </x:is>
      </x:c>
    </x:row>
    <x:row r="12" ht="35" customHeight="1">
      <x:c r="A12" s="12" t="n">
        <x:v>7</x:v>
      </x:c>
      <x:c r="B12" s="13" t="inlineStr">
        <x:is>
          <x:t xml:space="preserve">Finance applies the current close policy and documents any accounting adjustment outside this workbook.</x:t>
        </x:is>
      </x:c>
    </x:row>
  </x:sheetData>
  <x:mergeCells>
    <x:mergeCell ref="A2:F2"/>
    <x:mergeCell ref="A1:F1"/>
    <x:mergeCell ref="A4:F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3" customWidth="1"/>
    <x:col min="2" max="2" width="20" customWidth="1"/>
    <x:col min="3" max="3" width="23" customWidth="1"/>
    <x:col min="4" max="4" width="16" customWidth="1"/>
    <x:col min="5" max="5" width="18" customWidth="1"/>
    <x:col min="6" max="6" width="70" customWidth="1"/>
    <x:col min="7" max="7" width="42" customWidth="1"/>
    <x:col min="8" max="8" width="34" customWidth="1"/>
  </x:cols>
  <x:sheetData>
    <x:row r="1">
      <x:c r="A1" s="14" t="inlineStr">
        <x:is>
          <x:t xml:space="preserve">Combined from individual PM files and two e-mail replies at 5:30pm 6/29. Timestamps differ because some files were resaved by Ops Finance.</x:t>
        </x:is>
      </x:c>
    </x:row>
    <x:row r="2"/>
    <x:row r="3">
      <x:c r="A3" s="15" t="inlineStr">
        <x:is>
          <x:t xml:space="preserve">job_no</x:t>
        </x:is>
      </x:c>
      <x:c r="B3" s="15" t="inlineStr">
        <x:is>
          <x:t xml:space="preserve">pm</x:t>
        </x:is>
      </x:c>
      <x:c r="C3" s="15" t="inlineStr">
        <x:is>
          <x:t xml:space="preserve">submitted</x:t>
        </x:is>
      </x:c>
      <x:c r="D3" s="15" t="inlineStr">
        <x:is>
          <x:t xml:space="preserve">etc_from_pm</x:t>
        </x:is>
      </x:c>
      <x:c r="E3" s="15" t="inlineStr">
        <x:is>
          <x:t xml:space="preserve">confidence typed</x:t>
        </x:is>
      </x:c>
      <x:c r="F3" s="15" t="inlineStr">
        <x:is>
          <x:t xml:space="preserve">comment copied</x:t>
        </x:is>
      </x:c>
      <x:c r="G3" s="15" t="inlineStr">
        <x:is>
          <x:t xml:space="preserve">source filename</x:t>
        </x:is>
      </x:c>
      <x:c r="H3" s="15" t="inlineStr">
        <x:is>
          <x:t xml:space="preserve">Ops Fin note</x:t>
        </x:is>
      </x:c>
    </x:row>
    <x:row r="4">
      <x:c r="A4" s="16" t="inlineStr">
        <x:is>
          <x:t xml:space="preserve">ARM-2318</x:t>
        </x:is>
      </x:c>
      <x:c r="B4" s="16" t="inlineStr">
        <x:is>
          <x:t xml:space="preserve">Maya Chen</x:t>
        </x:is>
      </x:c>
      <x:c r="C4" s="16" t="inlineStr">
        <x:is>
          <x:t xml:space="preserve">2026-06-27 15:15</x:t>
        </x:is>
      </x:c>
      <x:c r="D4" s="16" t="n">
        <x:v>173800</x:v>
      </x:c>
      <x:c r="E4" s="16" t="inlineStr">
        <x:is>
          <x:t xml:space="preserve">medium</x:t>
        </x:is>
      </x:c>
      <x:c r="F4" s="16" t="inlineStr">
        <x:is>
          <x:t xml:space="preserve">Forecast based on CV-2318-06 and open PO-2318-102.</x:t>
        </x:is>
      </x:c>
      <x:c r="G4" s="16" t="inlineStr">
        <x:is>
          <x:t xml:space="preserve">ARM-2318_Maya_ETC_final.xlsx</x:t>
        </x:is>
      </x:c>
      <x:c r="H4" s="16" t="inlineStr">
        <x:is>
          <x:t xml:space="preserve">manual copy - formulas removed</x:t>
        </x:is>
      </x:c>
    </x:row>
    <x:row r="5">
      <x:c r="A5" s="16" t="inlineStr">
        <x:is>
          <x:t xml:space="preserve">ARM-2403</x:t>
        </x:is>
      </x:c>
      <x:c r="B5" s="16" t="inlineStr">
        <x:is>
          <x:t xml:space="preserve">Elliot Marks</x:t>
        </x:is>
      </x:c>
      <x:c r="C5" s="16" t="inlineStr">
        <x:is>
          <x:t xml:space="preserve">2026-06-27 18:15</x:t>
        </x:is>
      </x:c>
      <x:c r="D5" s="16" t="n">
        <x:v>892000</x:v>
      </x:c>
      <x:c r="E5" s="16" t="inlineStr">
        <x:is>
          <x:t xml:space="preserve">High</x:t>
        </x:is>
      </x:c>
      <x:c r="F5" s="16" t="inlineStr">
        <x:is>
          <x:t xml:space="preserve">Current field plan and committed buyout reflected.</x:t>
        </x:is>
      </x:c>
      <x:c r="G5" s="16" t="inlineStr">
        <x:is>
          <x:t xml:space="preserve">ARM-2403_Elliot_ETC_v2.xlsx</x:t>
        </x:is>
      </x:c>
      <x:c r="H5" s="16" t="inlineStr">
        <x:is>
          <x:t xml:space="preserve">linked then pasted values</x:t>
        </x:is>
      </x:c>
    </x:row>
    <x:row r="6">
      <x:c r="A6" s="16" t="inlineStr">
        <x:is>
          <x:t xml:space="preserve">ARM-2409</x:t>
        </x:is>
      </x:c>
      <x:c r="B6" s="16" t="inlineStr">
        <x:is>
          <x:t xml:space="preserve">Priya Raman</x:t>
        </x:is>
      </x:c>
      <x:c r="C6" s="16" t="inlineStr">
        <x:is>
          <x:t xml:space="preserve">2026-06-28 16:15</x:t>
        </x:is>
      </x:c>
      <x:c r="D6" s="16" t="n">
        <x:v>584000</x:v>
      </x:c>
      <x:c r="E6" s="16" t="inlineStr">
        <x:is>
          <x:t xml:space="preserve">Low</x:t>
        </x:is>
      </x:c>
      <x:c r="F6" s="16" t="inlineStr">
        <x:is>
          <x:t xml:space="preserve">Forecast refreshed in the weekly project review and submitted 2026-06-28.</x:t>
        </x:is>
      </x:c>
      <x:c r="G6" s="16" t="inlineStr">
        <x:is>
          <x:t xml:space="preserve">ARM-2409_Priya_ETC_6.29.xlsx</x:t>
        </x:is>
      </x:c>
      <x:c r="H6" s="16" t="inlineStr">
        <x:is>
          <x:t xml:space="preserve">linked then pasted values</x:t>
        </x:is>
      </x:c>
    </x:row>
    <x:row r="7">
      <x:c r="A7" s="16" t="inlineStr">
        <x:is>
          <x:t xml:space="preserve">ARM-2412</x:t>
        </x:is>
      </x:c>
      <x:c r="B7" s="16" t="inlineStr">
        <x:is>
          <x:t xml:space="preserve">Elliot Marks</x:t>
        </x:is>
      </x:c>
      <x:c r="C7" s="16" t="inlineStr">
        <x:is>
          <x:t xml:space="preserve">2026-06-26 17:15</x:t>
        </x:is>
      </x:c>
      <x:c r="D7" s="16" t="n">
        <x:v>947000</x:v>
      </x:c>
      <x:c r="E7" s="16" t="inlineStr">
        <x:is>
          <x:t xml:space="preserve">High</x:t>
        </x:is>
      </x:c>
      <x:c r="F7" s="16" t="inlineStr">
        <x:is>
          <x:t xml:space="preserve">Current field plan and committed buyout reflected.</x:t>
        </x:is>
      </x:c>
      <x:c r="G7" s="16" t="inlineStr">
        <x:is>
          <x:t xml:space="preserve">ARM-2412_Elliot_ETC_USE THIS.xlsx</x:t>
        </x:is>
      </x:c>
      <x:c r="H7" s="16" t="inlineStr">
        <x:is>
          <x:t xml:space="preserve">linked then pasted values</x:t>
        </x:is>
      </x:c>
    </x:row>
    <x:row r="8">
      <x:c r="A8" s="16" t="inlineStr">
        <x:is>
          <x:t xml:space="preserve">ARM-2417</x:t>
        </x:is>
      </x:c>
      <x:c r="B8" s="16" t="inlineStr">
        <x:is>
          <x:t xml:space="preserve">Maya Chen</x:t>
        </x:is>
      </x:c>
      <x:c r="C8" s="16" t="inlineStr">
        <x:is>
          <x:t xml:space="preserve">2026-06-26 18:15</x:t>
        </x:is>
      </x:c>
      <x:c r="D8" s="16" t="n">
        <x:v>3048000</x:v>
      </x:c>
      <x:c r="E8" s="16" t="inlineStr">
        <x:is>
          <x:t xml:space="preserve">low</x:t>
        </x:is>
      </x:c>
      <x:c r="F8" s="16" t="inlineStr">
        <x:is>
          <x:t xml:space="preserve">Forecast based on phasing Rev 5 and open commitments through 6/24.</x:t>
        </x:is>
      </x:c>
      <x:c r="G8" s="16" t="inlineStr">
        <x:is>
          <x:t xml:space="preserve">ARM-2417_Maya_ETC_final.xlsx</x:t>
        </x:is>
      </x:c>
      <x:c r="H8" s="16" t="inlineStr">
        <x:is>
          <x:t xml:space="preserve">linked then pasted values</x:t>
        </x:is>
      </x:c>
    </x:row>
    <x:row r="9">
      <x:c r="A9" s="16" t="inlineStr">
        <x:is>
          <x:t xml:space="preserve">ARM-2421</x:t>
        </x:is>
      </x:c>
      <x:c r="B9" s="16" t="inlineStr">
        <x:is>
          <x:t xml:space="preserve">Lucas Bennett</x:t>
        </x:is>
      </x:c>
      <x:c r="C9" s="16" t="inlineStr">
        <x:is>
          <x:t xml:space="preserve">2026-06-25 16:15</x:t>
        </x:is>
      </x:c>
      <x:c r="D9" s="16" t="n">
        <x:v>31000</x:v>
      </x:c>
      <x:c r="E9" s="16" t="inlineStr">
        <x:is>
          <x:t xml:space="preserve">High</x:t>
        </x:is>
      </x:c>
      <x:c r="F9" s="16" t="inlineStr">
        <x:is>
          <x:t xml:space="preserve">Current field plan and committed buyout reflected.</x:t>
        </x:is>
      </x:c>
      <x:c r="G9" s="16" t="inlineStr">
        <x:is>
          <x:t xml:space="preserve">ARM-2421_Lucas_ETC_v2.xlsx</x:t>
        </x:is>
      </x:c>
      <x:c r="H9" s="16" t="inlineStr">
        <x:is>
          <x:t xml:space="preserve">manual copy - formulas removed</x:t>
        </x:is>
      </x:c>
    </x:row>
    <x:row r="10">
      <x:c r="A10" s="16" t="inlineStr">
        <x:is>
          <x:t xml:space="preserve">ARM-2501</x:t>
        </x:is>
      </x:c>
      <x:c r="B10" s="16" t="inlineStr">
        <x:is>
          <x:t xml:space="preserve">Sofia Alvarez</x:t>
        </x:is>
      </x:c>
      <x:c r="C10" s="16" t="inlineStr">
        <x:is>
          <x:t xml:space="preserve">2026-06-25 16:15</x:t>
        </x:is>
      </x:c>
      <x:c r="D10" s="16" t="n">
        <x:v>914000</x:v>
      </x:c>
      <x:c r="E10" s="16" t="inlineStr">
        <x:is>
          <x:t xml:space="preserve">High</x:t>
        </x:is>
      </x:c>
      <x:c r="F10" s="16" t="inlineStr">
        <x:is>
          <x:t xml:space="preserve">Current field plan and committed buyout reflected.</x:t>
        </x:is>
      </x:c>
      <x:c r="G10" s="16" t="inlineStr">
        <x:is>
          <x:t xml:space="preserve">ARM-2501_Sofia_ETC_6.29.xlsx</x:t>
        </x:is>
      </x:c>
      <x:c r="H10" s="16" t="inlineStr">
        <x:is>
          <x:t xml:space="preserve">linked then pasted values</x:t>
        </x:is>
      </x:c>
    </x:row>
    <x:row r="11">
      <x:c r="A11" s="16" t="inlineStr">
        <x:is>
          <x:t xml:space="preserve">ARM-2506</x:t>
        </x:is>
      </x:c>
      <x:c r="B11" s="16" t="inlineStr">
        <x:is>
          <x:t xml:space="preserve">Priya Raman</x:t>
        </x:is>
      </x:c>
      <x:c r="C11" s="16" t="inlineStr">
        <x:is>
          <x:t xml:space="preserve">2026-06-25 17:15</x:t>
        </x:is>
      </x:c>
      <x:c r="D11" s="16" t="n">
        <x:v>4731000</x:v>
      </x:c>
      <x:c r="E11" s="16" t="inlineStr">
        <x:is>
          <x:t xml:space="preserve">Low</x:t>
        </x:is>
      </x:c>
      <x:c r="F11" s="16" t="inlineStr">
        <x:is>
          <x:t xml:space="preserve">Forecast based on IFC package E-18 and commitments through 6/24.</x:t>
        </x:is>
      </x:c>
      <x:c r="G11" s="16" t="inlineStr">
        <x:is>
          <x:t xml:space="preserve">ARM-2506_Priya_ETC_USE THIS.xlsx</x:t>
        </x:is>
      </x:c>
      <x:c r="H11" s="16" t="inlineStr">
        <x:is>
          <x:t xml:space="preserve">linked then pasted values</x:t>
        </x:is>
      </x:c>
    </x:row>
    <x:row r="12">
      <x:c r="A12" s="16" t="inlineStr">
        <x:is>
          <x:t xml:space="preserve">ARM-2510</x:t>
        </x:is>
      </x:c>
      <x:c r="B12" s="16" t="inlineStr">
        <x:is>
          <x:t xml:space="preserve">Maya Chen</x:t>
        </x:is>
      </x:c>
      <x:c r="C12" s="16" t="inlineStr">
        <x:is>
          <x:t xml:space="preserve">2026-06-24 15:15</x:t>
        </x:is>
      </x:c>
      <x:c r="D12" s="16" t="n">
        <x:v>3284000</x:v>
      </x:c>
      <x:c r="E12" s="16" t="inlineStr">
        <x:is>
          <x:t xml:space="preserve">high</x:t>
        </x:is>
      </x:c>
      <x:c r="F12" s="16" t="inlineStr">
        <x:is>
          <x:t xml:space="preserve">Current field plan and committed buyout reflected.</x:t>
        </x:is>
      </x:c>
      <x:c r="G12" s="16" t="inlineStr">
        <x:is>
          <x:t xml:space="preserve">ARM-2510_Maya_ETC_final.xlsx</x:t>
        </x:is>
      </x:c>
      <x:c r="H12" s="16" t="inlineStr">
        <x:is>
          <x:t xml:space="preserve">linked then pasted values</x:t>
        </x:is>
      </x:c>
    </x:row>
    <x:row r="13">
      <x:c r="A13" s="16" t="inlineStr">
        <x:is>
          <x:t xml:space="preserve">ARM-2514</x:t>
        </x:is>
      </x:c>
      <x:c r="B13" s="16" t="inlineStr">
        <x:is>
          <x:t xml:space="preserve">Lucas Bennett</x:t>
        </x:is>
      </x:c>
      <x:c r="C13" s="16" t="inlineStr">
        <x:is>
          <x:t xml:space="preserve">2026-06-28 15:15</x:t>
        </x:is>
      </x:c>
      <x:c r="D13" s="16" t="n">
        <x:v>1492000</x:v>
      </x:c>
      <x:c r="E13" s="16" t="inlineStr">
        <x:is>
          <x:t xml:space="preserve">High</x:t>
        </x:is>
      </x:c>
      <x:c r="F13" s="16" t="inlineStr">
        <x:is>
          <x:t xml:space="preserve">Current field plan and committed buyout reflected.</x:t>
        </x:is>
      </x:c>
      <x:c r="G13" s="16" t="inlineStr">
        <x:is>
          <x:t xml:space="preserve">ARM-2514_Lucas_ETC_v2.xlsx</x:t>
        </x:is>
      </x:c>
      <x:c r="H13" s="16" t="inlineStr">
        <x:is>
          <x:t xml:space="preserve">linked then pasted values</x:t>
        </x:is>
      </x:c>
    </x:row>
    <x:row r="14">
      <x:c r="A14" s="16" t="inlineStr">
        <x:is>
          <x:t xml:space="preserve">ARM-2518</x:t>
        </x:is>
      </x:c>
      <x:c r="B14" s="16" t="inlineStr">
        <x:is>
          <x:t xml:space="preserve">Lucas Bennett</x:t>
        </x:is>
      </x:c>
      <x:c r="C14" s="16" t="inlineStr">
        <x:is>
          <x:t xml:space="preserve">2026-06-27 15:15</x:t>
        </x:is>
      </x:c>
      <x:c r="D14" s="16" t="n">
        <x:v>1296000</x:v>
      </x:c>
      <x:c r="E14" s="16" t="inlineStr">
        <x:is>
          <x:t xml:space="preserve">High</x:t>
        </x:is>
      </x:c>
      <x:c r="F14" s="16" t="inlineStr">
        <x:is>
          <x:t xml:space="preserve">Current field plan and committed buyout reflected.</x:t>
        </x:is>
      </x:c>
      <x:c r="G14" s="16" t="inlineStr">
        <x:is>
          <x:t xml:space="preserve">ARM-2518_Lucas_ETC_6.29.xlsx</x:t>
        </x:is>
      </x:c>
      <x:c r="H14" s="16" t="inlineStr">
        <x:is>
          <x:t xml:space="preserve">manual copy - formulas removed</x:t>
        </x:is>
      </x:c>
    </x:row>
    <x:row r="15">
      <x:c r="A15" s="16" t="inlineStr">
        <x:is>
          <x:t xml:space="preserve">ARM-2522</x:t>
        </x:is>
      </x:c>
      <x:c r="B15" s="16" t="inlineStr">
        <x:is>
          <x:t xml:space="preserve">Elliot Marks</x:t>
        </x:is>
      </x:c>
      <x:c r="C15" s="16" t="inlineStr">
        <x:is>
          <x:t xml:space="preserve">2026-06-26 17:15</x:t>
        </x:is>
      </x:c>
      <x:c r="D15" s="16" t="n">
        <x:v>1982000</x:v>
      </x:c>
      <x:c r="E15" s="16" t="inlineStr">
        <x:is>
          <x:t xml:space="preserve">High</x:t>
        </x:is>
      </x:c>
      <x:c r="F15" s="16" t="inlineStr">
        <x:is>
          <x:t xml:space="preserve">Current field plan and committed buyout reflected.</x:t>
        </x:is>
      </x:c>
      <x:c r="G15" s="16" t="inlineStr">
        <x:is>
          <x:t xml:space="preserve">ARM-2522_Elliot_ETC_USE THIS.xlsx</x:t>
        </x:is>
      </x:c>
      <x:c r="H15" s="16" t="inlineStr">
        <x:is>
          <x:t xml:space="preserve">linked then pasted values</x:t>
        </x:is>
      </x:c>
    </x:row>
    <x:row r="16">
      <x:c r="A16" s="16" t="inlineStr">
        <x:is>
          <x:t xml:space="preserve">ARM-2526</x:t>
        </x:is>
      </x:c>
      <x:c r="B16" s="16" t="inlineStr">
        <x:is>
          <x:t xml:space="preserve">Sofia Alvarez</x:t>
        </x:is>
      </x:c>
      <x:c r="C16" s="16" t="inlineStr">
        <x:is>
          <x:t xml:space="preserve">2026-06-25 17:15</x:t>
        </x:is>
      </x:c>
      <x:c r="D16" s="16" t="n">
        <x:v>347000</x:v>
      </x:c>
      <x:c r="E16" s="16" t="inlineStr">
        <x:is>
          <x:t xml:space="preserve">high</x:t>
        </x:is>
      </x:c>
      <x:c r="F16" s="16" t="inlineStr">
        <x:is>
          <x:t xml:space="preserve">Current field plan and committed buyout reflected.</x:t>
        </x:is>
      </x:c>
      <x:c r="G16" s="16" t="inlineStr">
        <x:is>
          <x:t xml:space="preserve">ARM-2526_Sofia_ETC_final.xlsx</x:t>
        </x:is>
      </x:c>
      <x:c r="H16" s="16" t="inlineStr">
        <x:is>
          <x:t xml:space="preserve">linked then pasted values</x:t>
        </x:is>
      </x:c>
    </x:row>
    <x:row r="17">
      <x:c r="A17" s="16" t="inlineStr">
        <x:is>
          <x:t xml:space="preserve">ARM-2602</x:t>
        </x:is>
      </x:c>
      <x:c r="B17" s="16" t="inlineStr">
        <x:is>
          <x:t xml:space="preserve">Priya Raman</x:t>
        </x:is>
      </x:c>
      <x:c r="C17" s="16" t="inlineStr">
        <x:is>
          <x:t xml:space="preserve">2026-06-26 17:15</x:t>
        </x:is>
      </x:c>
      <x:c r="D17" s="16" t="n">
        <x:v>3644000</x:v>
      </x:c>
      <x:c r="E17" s="16" t="inlineStr">
        <x:is>
          <x:t xml:space="preserve">High</x:t>
        </x:is>
      </x:c>
      <x:c r="F17" s="16" t="inlineStr">
        <x:is>
          <x:t xml:space="preserve">Current field plan and committed buyout reflected.</x:t>
        </x:is>
      </x:c>
      <x:c r="G17" s="16" t="inlineStr">
        <x:is>
          <x:t xml:space="preserve">ARM-2602_Priya_ETC_v2.xlsx</x:t>
        </x:is>
      </x:c>
      <x:c r="H17" s="16" t="inlineStr">
        <x:is>
          <x:t xml:space="preserve">linked then pasted values</x:t>
        </x:is>
      </x:c>
    </x:row>
    <x:row r="18">
      <x:c r="A18" s="16" t="inlineStr">
        <x:is>
          <x:t xml:space="preserve">ARM-2605</x:t>
        </x:is>
      </x:c>
      <x:c r="B18" s="16" t="inlineStr">
        <x:is>
          <x:t xml:space="preserve">Elliot Marks</x:t>
        </x:is>
      </x:c>
      <x:c r="C18" s="16" t="inlineStr">
        <x:is>
          <x:t xml:space="preserve">2026-06-24 16:15</x:t>
        </x:is>
      </x:c>
      <x:c r="D18" s="16" t="n">
        <x:v>4124000</x:v>
      </x:c>
      <x:c r="E18" s="16" t="inlineStr">
        <x:is>
          <x:t xml:space="preserve">Medium</x:t>
        </x:is>
      </x:c>
      <x:c r="F18" s="16" t="inlineStr">
        <x:is>
          <x:t xml:space="preserve">Current field plan and committed buyout reflected.</x:t>
        </x:is>
      </x:c>
      <x:c r="G18" s="16" t="inlineStr">
        <x:is>
          <x:t xml:space="preserve">ARM-2605_Elliot_ETC_6.29.xlsx</x:t>
        </x:is>
      </x:c>
      <x:c r="H18" s="16" t="inlineStr">
        <x:is>
          <x:t xml:space="preserve">linked then pasted values</x:t>
        </x:is>
      </x:c>
    </x:row>
    <x:row r="19">
      <x:c r="A19" s="17" t="inlineStr">
        <x:is>
          <x:t xml:space="preserve">ARM-2608</x:t>
        </x:is>
      </x:c>
      <x:c r="B19" s="17" t="inlineStr">
        <x:is>
          <x:t xml:space="preserve">Sofia Alvarez</x:t>
        </x:is>
      </x:c>
      <x:c r="C19" s="17" t="inlineStr">
        <x:is>
          <x:t xml:space="preserve">2026-06-27 15:15</x:t>
        </x:is>
      </x:c>
      <x:c r="D19" s="17" t="n">
        <x:v>881000</x:v>
      </x:c>
      <x:c r="E19" s="17" t="inlineStr">
        <x:is>
          <x:t xml:space="preserve">High</x:t>
        </x:is>
      </x:c>
      <x:c r="F19" s="17" t="inlineStr">
        <x:is>
          <x:t xml:space="preserve">Current field plan and committed buyout reflected.</x:t>
        </x:is>
      </x:c>
      <x:c r="G19" s="17" t="inlineStr">
        <x:is>
          <x:t xml:space="preserve">ARM-2608_Sofia_ETC_USE THIS.xlsx</x:t>
        </x:is>
      </x:c>
      <x:c r="H19" s="17" t="inlineStr">
        <x:is>
          <x:t xml:space="preserve">manual copy - formulas removed</x:t>
        </x:is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13" customWidth="1"/>
    <x:col min="2" max="2" width="16" customWidth="1"/>
    <x:col min="3" max="3" width="18" customWidth="1"/>
    <x:col min="4" max="4" width="14" customWidth="1"/>
    <x:col min="5" max="5" width="17" customWidth="1"/>
    <x:col min="6" max="6" width="56" customWidth="1"/>
  </x:cols>
  <x:sheetData>
    <x:row r="1">
      <x:c r="A1" s="14" t="inlineStr">
        <x:is>
          <x:t xml:space="preserve">Copied from May combined file. Kept because Submission Register formulas used to reference columns C/F; no longer authoritative.</x:t>
        </x:is>
      </x:c>
    </x:row>
    <x:row r="2"/>
    <x:row r="3">
      <x:c r="A3" s="15" t="inlineStr">
        <x:is>
          <x:t xml:space="preserve">Job</x:t>
        </x:is>
      </x:c>
      <x:c r="B3" s="15" t="inlineStr">
        <x:is>
          <x:t xml:space="preserve">May ETC</x:t>
        </x:is>
      </x:c>
      <x:c r="C3" s="15" t="inlineStr">
        <x:is>
          <x:t xml:space="preserve">June placeholder</x:t>
        </x:is>
      </x:c>
      <x:c r="D3" s="15" t="inlineStr">
        <x:is>
          <x:t xml:space="preserve">delta</x:t>
        </x:is>
      </x:c>
      <x:c r="E3" s="15" t="inlineStr">
        <x:is>
          <x:t xml:space="preserve">old flag</x:t>
        </x:is>
      </x:c>
      <x:c r="F3" s="15" t="inlineStr">
        <x:is>
          <x:t xml:space="preserve">May reviewer note</x:t>
        </x:is>
      </x:c>
    </x:row>
    <x:row r="4">
      <x:c r="A4" s="16" t="inlineStr">
        <x:is>
          <x:t xml:space="preserve">ARM-2318</x:t>
        </x:is>
      </x:c>
      <x:c r="B4" s="18" t="n">
        <x:v>167543</x:v>
      </x:c>
      <x:c r="C4" s="18" t="n">
        <x:v>173800</x:v>
      </x:c>
      <x:c r="D4" s="18" t="n">
        <x:f>C4-B4</x:f>
        <x:v>6257</x:v>
      </x:c>
      <x:c r="E4" s="16" t="inlineStr">
        <x:is>
          <x:t xml:space="preserve">FOLLOW UP</x:t>
        </x:is>
      </x:c>
      <x:c r="F4" s="16" t="inlineStr">
        <x:is>
          <x:t xml:space="preserve">waiting on quote</x:t>
        </x:is>
      </x:c>
    </x:row>
    <x:row r="5">
      <x:c r="A5" s="16" t="inlineStr">
        <x:is>
          <x:t xml:space="preserve">ARM-2403</x:t>
        </x:is>
      </x:c>
      <x:c r="B5" s="18" t="n">
        <x:v>875944</x:v>
      </x:c>
      <x:c r="C5" s="18" t="n">
        <x:v>892000</x:v>
      </x:c>
      <x:c r="D5" s="18" t="n">
        <x:f>C5-B5</x:f>
        <x:v>16056</x:v>
      </x:c>
      <x:c r="E5" s="16" t="n"/>
      <x:c r="F5" s="16" t="inlineStr">
        <x:is>
          <x:t xml:space="preserve">crew plan updated</x:t>
        </x:is>
      </x:c>
    </x:row>
    <x:row r="6">
      <x:c r="A6" s="16" t="inlineStr">
        <x:is>
          <x:t xml:space="preserve">ARM-2409</x:t>
        </x:is>
      </x:c>
      <x:c r="B6" s="18" t="n">
        <x:v>584000</x:v>
      </x:c>
      <x:c r="C6" s="18" t="n">
        <x:v>584000</x:v>
      </x:c>
      <x:c r="D6" s="18" t="n">
        <x:f>C6-B6</x:f>
        <x:v>0</x:v>
      </x:c>
      <x:c r="E6" s="16" t="n"/>
      <x:c r="F6" s="16" t="inlineStr">
        <x:is>
          <x:t xml:space="preserve">closeout only</x:t>
        </x:is>
      </x:c>
    </x:row>
    <x:row r="7">
      <x:c r="A7" s="16" t="inlineStr">
        <x:is>
          <x:t xml:space="preserve">ARM-2412</x:t>
        </x:is>
      </x:c>
      <x:c r="B7" s="18" t="n">
        <x:v>964046</x:v>
      </x:c>
      <x:c r="C7" s="18" t="n">
        <x:v>947000</x:v>
      </x:c>
      <x:c r="D7" s="18" t="n">
        <x:f>C7-B7</x:f>
        <x:v>-17046</x:v>
      </x:c>
      <x:c r="E7" s="16" t="n"/>
      <x:c r="F7" s="16" t="inlineStr">
        <x:is>
          <x:t xml:space="preserve">carry prior until PM reply</x:t>
        </x:is>
      </x:c>
    </x:row>
    <x:row r="8">
      <x:c r="A8" s="16" t="inlineStr">
        <x:is>
          <x:t xml:space="preserve">ARM-2417</x:t>
        </x:is>
      </x:c>
      <x:c r="B8" s="18" t="n">
        <x:v>3157728</x:v>
      </x:c>
      <x:c r="C8" s="18" t="n">
        <x:v>3048000</x:v>
      </x:c>
      <x:c r="D8" s="18" t="n">
        <x:f>C8-B8</x:f>
        <x:v>-109728</x:v>
      </x:c>
      <x:c r="E8" s="16" t="n"/>
      <x:c r="F8" s="16" t="inlineStr">
        <x:is>
          <x:t xml:space="preserve">waiting on quote</x:t>
        </x:is>
      </x:c>
    </x:row>
    <x:row r="9">
      <x:c r="A9" s="16" t="inlineStr">
        <x:is>
          <x:t xml:space="preserve">ARM-2421</x:t>
        </x:is>
      </x:c>
      <x:c r="B9" s="18" t="n">
        <x:v>29884</x:v>
      </x:c>
      <x:c r="C9" s="18" t="n">
        <x:v>31000</x:v>
      </x:c>
      <x:c r="D9" s="18" t="n">
        <x:f>C9-B9</x:f>
        <x:v>1116</x:v>
      </x:c>
      <x:c r="E9" s="16" t="n"/>
      <x:c r="F9" s="16" t="inlineStr">
        <x:is>
          <x:t xml:space="preserve">crew plan updated</x:t>
        </x:is>
      </x:c>
    </x:row>
    <x:row r="10">
      <x:c r="A10" s="16" t="inlineStr">
        <x:is>
          <x:t xml:space="preserve">ARM-2501</x:t>
        </x:is>
      </x:c>
      <x:c r="B10" s="18" t="n">
        <x:v>897548</x:v>
      </x:c>
      <x:c r="C10" s="18" t="n">
        <x:v>914000</x:v>
      </x:c>
      <x:c r="D10" s="18" t="n">
        <x:f>C10-B10</x:f>
        <x:v>16452</x:v>
      </x:c>
      <x:c r="E10" s="16" t="inlineStr">
        <x:is>
          <x:t xml:space="preserve">FOLLOW UP</x:t>
        </x:is>
      </x:c>
      <x:c r="F10" s="16" t="inlineStr">
        <x:is>
          <x:t xml:space="preserve">closeout only</x:t>
        </x:is>
      </x:c>
    </x:row>
    <x:row r="11">
      <x:c r="A11" s="16" t="inlineStr">
        <x:is>
          <x:t xml:space="preserve">ARM-2506</x:t>
        </x:is>
      </x:c>
      <x:c r="B11" s="18" t="n">
        <x:v>4731000</x:v>
      </x:c>
      <x:c r="C11" s="18" t="n">
        <x:v>4731000</x:v>
      </x:c>
      <x:c r="D11" s="18" t="n">
        <x:f>C11-B11</x:f>
        <x:v>0</x:v>
      </x:c>
      <x:c r="E11" s="16" t="n"/>
      <x:c r="F11" s="16" t="inlineStr">
        <x:is>
          <x:t xml:space="preserve">carry prior until PM reply</x:t>
        </x:is>
      </x:c>
    </x:row>
    <x:row r="12">
      <x:c r="A12" s="16" t="inlineStr">
        <x:is>
          <x:t xml:space="preserve">ARM-2510</x:t>
        </x:is>
      </x:c>
      <x:c r="B12" s="18" t="n">
        <x:v>3343112</x:v>
      </x:c>
      <x:c r="C12" s="18" t="n">
        <x:v>3284000</x:v>
      </x:c>
      <x:c r="D12" s="18" t="n">
        <x:f>C12-B12</x:f>
        <x:v>-59112</x:v>
      </x:c>
      <x:c r="E12" s="16" t="n"/>
      <x:c r="F12" s="16" t="inlineStr">
        <x:is>
          <x:t xml:space="preserve">waiting on quote</x:t>
        </x:is>
      </x:c>
    </x:row>
    <x:row r="13">
      <x:c r="A13" s="16" t="inlineStr">
        <x:is>
          <x:t xml:space="preserve">ARM-2514</x:t>
        </x:is>
      </x:c>
      <x:c r="B13" s="18" t="n">
        <x:v>1545712</x:v>
      </x:c>
      <x:c r="C13" s="18" t="n">
        <x:v>1492000</x:v>
      </x:c>
      <x:c r="D13" s="18" t="n">
        <x:f>C13-B13</x:f>
        <x:v>-53712</x:v>
      </x:c>
      <x:c r="E13" s="16" t="n"/>
      <x:c r="F13" s="16" t="inlineStr">
        <x:is>
          <x:t xml:space="preserve">crew plan updated</x:t>
        </x:is>
      </x:c>
    </x:row>
    <x:row r="14">
      <x:c r="A14" s="16" t="inlineStr">
        <x:is>
          <x:t xml:space="preserve">ARM-2518</x:t>
        </x:is>
      </x:c>
      <x:c r="B14" s="18" t="n">
        <x:v>1249344</x:v>
      </x:c>
      <x:c r="C14" s="18" t="n">
        <x:v>1296000</x:v>
      </x:c>
      <x:c r="D14" s="18" t="n">
        <x:f>C14-B14</x:f>
        <x:v>46656</x:v>
      </x:c>
      <x:c r="E14" s="16" t="n"/>
      <x:c r="F14" s="16" t="inlineStr">
        <x:is>
          <x:t xml:space="preserve">closeout only</x:t>
        </x:is>
      </x:c>
    </x:row>
    <x:row r="15">
      <x:c r="A15" s="16" t="inlineStr">
        <x:is>
          <x:t xml:space="preserve">ARM-2522</x:t>
        </x:is>
      </x:c>
      <x:c r="B15" s="18" t="n">
        <x:v>1946324</x:v>
      </x:c>
      <x:c r="C15" s="18" t="n">
        <x:v>1982000</x:v>
      </x:c>
      <x:c r="D15" s="18" t="n">
        <x:f>C15-B15</x:f>
        <x:v>35676</x:v>
      </x:c>
      <x:c r="E15" s="16" t="n"/>
      <x:c r="F15" s="16" t="inlineStr">
        <x:is>
          <x:t xml:space="preserve">carry prior until PM reply</x:t>
        </x:is>
      </x:c>
    </x:row>
    <x:row r="16">
      <x:c r="A16" s="16" t="inlineStr">
        <x:is>
          <x:t xml:space="preserve">ARM-2526</x:t>
        </x:is>
      </x:c>
      <x:c r="B16" s="18" t="n">
        <x:v>347000</x:v>
      </x:c>
      <x:c r="C16" s="18" t="n">
        <x:v>347000</x:v>
      </x:c>
      <x:c r="D16" s="18" t="n">
        <x:f>C16-B16</x:f>
        <x:v>0</x:v>
      </x:c>
      <x:c r="E16" s="16" t="inlineStr">
        <x:is>
          <x:t xml:space="preserve">FOLLOW UP</x:t>
        </x:is>
      </x:c>
      <x:c r="F16" s="16" t="inlineStr">
        <x:is>
          <x:t xml:space="preserve">waiting on quote</x:t>
        </x:is>
      </x:c>
    </x:row>
    <x:row r="17">
      <x:c r="A17" s="16" t="inlineStr">
        <x:is>
          <x:t xml:space="preserve">ARM-2602</x:t>
        </x:is>
      </x:c>
      <x:c r="B17" s="18" t="n">
        <x:v>3709592</x:v>
      </x:c>
      <x:c r="C17" s="18" t="n">
        <x:v>3644000</x:v>
      </x:c>
      <x:c r="D17" s="18" t="n">
        <x:f>C17-B17</x:f>
        <x:v>-65592</x:v>
      </x:c>
      <x:c r="E17" s="16" t="n"/>
      <x:c r="F17" s="16" t="inlineStr">
        <x:is>
          <x:t xml:space="preserve">crew plan updated</x:t>
        </x:is>
      </x:c>
    </x:row>
    <x:row r="18">
      <x:c r="A18" s="16" t="inlineStr">
        <x:is>
          <x:t xml:space="preserve">ARM-2605</x:t>
        </x:is>
      </x:c>
      <x:c r="B18" s="18" t="n">
        <x:v>4272464</x:v>
      </x:c>
      <x:c r="C18" s="18" t="n">
        <x:v>4124000</x:v>
      </x:c>
      <x:c r="D18" s="18" t="n">
        <x:f>C18-B18</x:f>
        <x:v>-148464</x:v>
      </x:c>
      <x:c r="E18" s="16" t="n"/>
      <x:c r="F18" s="16" t="inlineStr">
        <x:is>
          <x:t xml:space="preserve">closeout only</x:t>
        </x:is>
      </x:c>
    </x:row>
    <x:row r="19">
      <x:c r="A19" s="17" t="inlineStr">
        <x:is>
          <x:t xml:space="preserve">ARM-2608</x:t>
        </x:is>
      </x:c>
      <x:c r="B19" s="19" t="n">
        <x:v>849284</x:v>
      </x:c>
      <x:c r="C19" s="19" t="n">
        <x:v>881000</x:v>
      </x:c>
      <x:c r="D19" s="19" t="n">
        <x:f>C19-B19</x:f>
        <x:v>31716</x:v>
      </x:c>
      <x:c r="E19" s="17" t="n"/>
      <x:c r="F19" s="17" t="inlineStr">
        <x:is>
          <x:t xml:space="preserve">carry prior until PM reply</x:t>
        </x:is>
      </x:c>
    </x:row>
  </x:sheetData>
  <x:mergeCells>
    <x:mergeCell ref="A1:F1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Alder Ridge Mechanical - Operations Finance</dc:creator>
  <dcterms:created xmlns:dcterms="http://purl.org/dc/terms/" xmlns:xsi="http://www.w3.org/2001/XMLSchema-instance" xsi:type="dcterms:W3CDTF">2026-06-30T00:30:00Z</dcterms:created>
  <dcterms:modified xmlns:dcterms="http://purl.org/dc/terms/" xmlns:xsi="http://www.w3.org/2001/XMLSchema-instance" xsi:type="dcterms:W3CDTF">2026-06-30T00:30:00Z</dcterms:modified>
  <cp:lastModifiedBy>Priya Raman</cp:lastModifiedBy>
</cp:coreProperties>
</file>