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rcial Log" sheetId="1" r:id="R1415cc246d5b4f3d"/>
    <x:sheet xmlns:r="http://schemas.openxmlformats.org/officeDocument/2006/relationships" name="Status Summary" sheetId="2" r:id="R7036759f40c84ad6"/>
    <x:sheet xmlns:r="http://schemas.openxmlformats.org/officeDocument/2006/relationships" name="Data Dictionary" sheetId="3" r:id="R74504074e90e463a"/>
    <x:sheet xmlns:r="http://schemas.openxmlformats.org/officeDocument/2006/relationships" name="PR working notes" sheetId="4" r:id="R72c710b5181244ac"/>
    <x:sheet xmlns:r="http://schemas.openxmlformats.org/officeDocument/2006/relationships" name="status xwalk old" sheetId="5" r:id="R1ecafea7f627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;[Red]($#,##0);-"/>
    <x:numFmt numFmtId="165" formatCode="yyyy-mm-dd"/>
  </x:numFmts>
  <x:fonts count="10">
    <x:font>
      <x:sz val="11"/>
      <x:name val="Carlito"/>
    </x:font>
    <x:font>
      <x:b/>
      <x:sz val="15"/>
      <x:color rgb="FF2A4337"/>
      <x:name val="Arial"/>
    </x:font>
    <x:font>
      <x:i/>
      <x:sz val="9"/>
      <x:color rgb="FF5E5A55"/>
      <x:name val="Arial"/>
    </x:font>
    <x:font>
      <x:b/>
      <x:sz val="9"/>
      <x:color rgb="FFFFFFFF"/>
      <x:name val="Arial"/>
    </x:font>
    <x:font>
      <x:sz val="9"/>
      <x:color rgb="FF252321"/>
      <x:name val="Arial"/>
    </x:font>
    <x:font>
      <x:sz val="9"/>
      <x:color rgb="FF8B5E3C"/>
      <x:name val="Arial"/>
    </x:font>
    <x:font>
      <x:sz val="11"/>
      <x:name val="Carlito"/>
    </x:font>
    <x:font>
      <x:b/>
      <x:sz val="9"/>
      <x:color rgb="FF252321"/>
      <x:name val="Arial"/>
    </x:font>
    <x:font>
      <x:b/>
      <x:sz val="8"/>
      <x:color rgb="FFFFFFFF"/>
      <x:name val="Arial"/>
    </x:font>
    <x:font>
      <x:sz val="8"/>
      <x:color rgb="FF25232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8F5EF"/>
      </x:patternFill>
    </x:fill>
    <x:fill>
      <x:patternFill patternType="solid">
        <x:fgColor rgb="FFF3E6D5"/>
      </x:patternFill>
    </x:fill>
    <x:fill>
      <x:patternFill patternType="solid">
        <x:fgColor rgb="FF2A4337"/>
      </x:patternFill>
    </x:fill>
    <x:fill>
      <x:patternFill patternType="solid">
        <x:fgColor rgb="FFFFF4B8"/>
      </x:patternFill>
    </x:fill>
    <x:fill>
      <x:patternFill patternType="solid">
        <x:fgColor rgb="FF4A4743"/>
      </x:patternFill>
    </x:fill>
  </x:fills>
  <x:borders count="8">
    <x:border/>
    <x:border>
      <x:bottom style="medium">
        <x:color rgb="FF8B5E3C"/>
      </x:bottom>
    </x:border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1C8"/>
      </x:bottom>
    </x:border>
    <x:border>
      <x:top style="hair">
        <x:color rgb="FFD8D1C8"/>
      </x:top>
      <x:bottom style="hair">
        <x:color rgb="FFD8D1C8"/>
      </x:bottom>
    </x:border>
    <x:border>
      <x:top style="hair">
        <x:color rgb="FFD8D1C8"/>
      </x:top>
    </x:border>
  </x:borders>
  <x:cellStyleXfs count="1">
    <x:xf numFmtId="0" fontId="6" fillId="0" borderId="0"/>
  </x:cellStyleXfs>
  <x:cellXfs count="17">
    <x:xf numFmtId="0" fontId="0" fillId="0" borderId="0" xfId="0"/>
    <x:xf numFmtId="0" fontId="1" fillId="2" borderId="1" xfId="0" applyAlignment="1">
      <x:alignment vertical="center"/>
    </x:xf>
    <x:xf numFmtId="0" fontId="2" fillId="3" borderId="0" xfId="0"/>
    <x:xf numFmtId="0" fontId="3" fillId="4" borderId="2" xfId="0" applyAlignment="1">
      <x:alignment vertical="center" wrapText="1"/>
    </x:xf>
    <x:xf numFmtId="0" fontId="3" fillId="4" borderId="3" xfId="0" applyAlignment="1">
      <x:alignment vertical="center" wrapText="1"/>
    </x:xf>
    <x:xf numFmtId="0" fontId="3" fillId="4" borderId="4" xfId="0" applyAlignment="1">
      <x:alignment vertical="center" wrapText="1"/>
    </x:xf>
    <x:xf numFmtId="0" fontId="4" fillId="0" borderId="0" xfId="0" applyAlignment="1">
      <x:alignment vertical="center"/>
    </x:xf>
    <x:xf numFmtId="164" fontId="5" fillId="0" borderId="0" xfId="0" applyAlignment="1">
      <x:alignment vertical="center"/>
    </x:xf>
    <x:xf numFmtId="164" fontId="4" fillId="0" borderId="0" xfId="0" applyAlignment="1">
      <x:alignment vertical="center"/>
    </x:xf>
    <x:xf numFmtId="165" fontId="4" fillId="0" borderId="0" xfId="0" applyAlignment="1">
      <x:alignment vertical="center"/>
    </x:xf>
    <x:xf numFmtId="0" fontId="6" fillId="0" borderId="0" xfId="0"/>
    <x:xf numFmtId="164" fontId="6" fillId="0" borderId="0" xfId="0"/>
    <x:xf numFmtId="0" fontId="7" fillId="5" borderId="0" xfId="0" applyAlignment="1">
      <x:alignment wrapText="1"/>
    </x:xf>
    <x:xf numFmtId="0" fontId="8" fillId="6" borderId="5" xfId="0" applyAlignment="1">
      <x:alignment wrapText="1"/>
    </x:xf>
    <x:xf numFmtId="0" fontId="9" fillId="0" borderId="6" xfId="0" applyAlignment="1">
      <x:alignment vertical="center"/>
    </x:xf>
    <x:xf numFmtId="0" fontId="9" fillId="0" borderId="7" xfId="0" applyAlignment="1">
      <x:alignment vertical="center"/>
    </x:xf>
    <x:xf numFmtId="0" fontId="0" fillId="0" borderId="1" xfId="0"/>
  </x:cellXfs>
  <x:cellStyles count="1">
    <x:cellStyle name="Normal" xfId="0"/>
  </x:cellStyles>
  <x:dxfs count="1">
    <x:dxf>
      <x:font>
        <x:b/>
        <x:color rgb="005A7669"/>
      </x:font>
      <x:fill>
        <x:patternFill>
          <x:bgColor rgb="00E4E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e8f252dd04283" /><Relationship Type="http://schemas.openxmlformats.org/officeDocument/2006/relationships/theme" Target="/xl/theme/theme1.xml" Id="R4c125f30e9af4148" /><Relationship Type="http://schemas.openxmlformats.org/officeDocument/2006/relationships/sharedStrings" Target="/xl/sharedStrings.xml" Id="Re9ff3f6bfca64015" /><Relationship Type="http://schemas.openxmlformats.org/officeDocument/2006/relationships/worksheet" Target="/xl/worksheets/sheet1.xml" Id="R1415cc246d5b4f3d" /><Relationship Type="http://schemas.openxmlformats.org/officeDocument/2006/relationships/worksheet" Target="/xl/worksheets/sheet2.xml" Id="R7036759f40c84ad6" /><Relationship Type="http://schemas.openxmlformats.org/officeDocument/2006/relationships/worksheet" Target="/xl/worksheets/sheet3.xml" Id="R74504074e90e463a" /><Relationship Type="http://schemas.openxmlformats.org/officeDocument/2006/relationships/worksheet" Target="/xl/worksheets/sheet4.xml" Id="R72c710b5181244ac" /><Relationship Type="http://schemas.openxmlformats.org/officeDocument/2006/relationships/worksheet" Target="/xl/worksheets/sheet5.xml" Id="R1ecafea7f6274e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8dff073e874f75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Change-order revenue by commercial status ($)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'Status Summary'!B5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'Status Summary'!$A$6:$A$10</c:f>
              <c:strCache>
                <c:ptCount val="0"/>
              </c:strCache>
            </c:strRef>
          </c:cat>
          <c:val>
            <c:numRef>
              <c:f>'Status Summary'!$B$6:$B$10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'Status Summary'!C5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'Status Summary'!$A$6:$A$10</c:f>
              <c:strCache>
                <c:ptCount val="0"/>
              </c:strCache>
            </c:strRef>
          </c:cat>
          <c:val>
            <c:numRef>
              <c:f>'Status Summary'!$C$6:$C$10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4</xdr:row>
      <xdr:rowOff>0</xdr:rowOff>
    </xdr:from>
    <xdr:ext cx="4860000" cy="2592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8dff073e874f7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b7fea9456849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2" width="13" customWidth="1"/>
    <x:col min="3" max="3" width="52" customWidth="1"/>
    <x:col min="4" max="6" width="17" customWidth="1"/>
    <x:col min="7" max="7" width="18" customWidth="1"/>
    <x:col min="8" max="8" width="15" customWidth="1"/>
    <x:col min="9" max="9" width="18" customWidth="1"/>
    <x:col min="10" max="10" width="54" customWidth="1"/>
    <x:col min="11" max="11" width="44" customWidth="1"/>
  </x:cols>
  <x:sheetData>
    <x:row r="1" ht="23" customHeight="1">
      <x:c r="A1" s="1" t="inlineStr">
        <x:is>
          <x:t xml:space="preserve">Change Order and Claims Log</x:t>
        </x:is>
      </x:c>
      <x:c r="B1" s="16" t="n"/>
      <x:c r="C1" s="16" t="n"/>
      <x:c r="D1" s="16" t="n"/>
      <x:c r="E1" s="16" t="n"/>
      <x:c r="F1" s="16" t="n"/>
      <x:c r="G1" s="16" t="n"/>
      <x:c r="H1" s="16" t="n"/>
      <x:c r="I1" s="16" t="n"/>
      <x:c r="J1" s="16" t="n"/>
      <x:c r="K1" s="16" t="n"/>
    </x:row>
    <x:row r="2" ht="23" customHeight="1">
      <x:c r="A2" s="2" t="inlineStr">
        <x:is>
          <x:t xml:space="preserve">Commercial status through 2026-06-30 17:00 PT | Executed changes are reflected in Vista ERP</x:t>
        </x:is>
      </x:c>
    </x:row>
    <x:row r="3"/>
    <x:row r="4"/>
    <x:row r="5" ht="30" customHeight="1">
      <x:c r="A5" s="3" t="inlineStr">
        <x:is>
          <x:t xml:space="preserve">Project ID</x:t>
        </x:is>
      </x:c>
      <x:c r="B5" s="4" t="inlineStr">
        <x:is>
          <x:t xml:space="preserve">Reference</x:t>
        </x:is>
      </x:c>
      <x:c r="C5" s="4" t="inlineStr">
        <x:is>
          <x:t xml:space="preserve">Description</x:t>
        </x:is>
      </x:c>
      <x:c r="D5" s="4" t="inlineStr">
        <x:is>
          <x:t xml:space="preserve">Revenue Amount</x:t>
        </x:is>
      </x:c>
      <x:c r="E5" s="4" t="inlineStr">
        <x:is>
          <x:t xml:space="preserve">Estimated Cost</x:t>
        </x:is>
      </x:c>
      <x:c r="F5" s="4" t="inlineStr">
        <x:is>
          <x:t xml:space="preserve">Estimated Margin</x:t>
        </x:is>
      </x:c>
      <x:c r="G5" s="4" t="inlineStr">
        <x:is>
          <x:t xml:space="preserve">Status</x:t>
        </x:is>
      </x:c>
      <x:c r="H5" s="4" t="inlineStr">
        <x:is>
          <x:t xml:space="preserve">Last Updated</x:t>
        </x:is>
      </x:c>
      <x:c r="I5" s="4" t="inlineStr">
        <x:is>
          <x:t xml:space="preserve">Contract Included?</x:t>
        </x:is>
      </x:c>
      <x:c r="J5" s="4" t="inlineStr">
        <x:is>
          <x:t xml:space="preserve">Commercial Owner</x:t>
        </x:is>
      </x:c>
      <x:c r="K5" s="5" t="inlineStr">
        <x:is>
          <x:t xml:space="preserve">Support / Notes</x:t>
        </x:is>
      </x:c>
    </x:row>
    <x:row r="6">
      <x:c r="A6" s="6" t="inlineStr">
        <x:is>
          <x:t xml:space="preserve">ARM-2417</x:t>
        </x:is>
      </x:c>
      <x:c r="B6" s="6" t="inlineStr">
        <x:is>
          <x:t xml:space="preserve">PCO-017</x:t>
        </x:is>
      </x:c>
      <x:c r="C6" s="6" t="inlineStr">
        <x:is>
          <x:t xml:space="preserve">OR congestion and after-hours premium</x:t>
        </x:is>
      </x:c>
      <x:c r="D6" s="7" t="n">
        <x:v>382000</x:v>
      </x:c>
      <x:c r="E6" s="7" t="n">
        <x:v>275000</x:v>
      </x:c>
      <x:c r="F6" s="8" t="n">
        <x:f>D6-E6</x:f>
        <x:v>107000</x:v>
      </x:c>
      <x:c r="G6" s="6" t="inlineStr">
        <x:is>
          <x:t xml:space="preserve">Submitted</x:t>
        </x:is>
      </x:c>
      <x:c r="H6" s="9" t="n">
        <x:v>46190</x:v>
      </x:c>
      <x:c r="I6" s="6" t="inlineStr">
        <x:is>
          <x:t xml:space="preserve">No</x:t>
        </x:is>
      </x:c>
      <x:c r="J6" s="6" t="inlineStr">
        <x:is>
          <x:t xml:space="preserve">Leah Moreno</x:t>
        </x:is>
      </x:c>
      <x:c r="K6" s="6" t="str">
        <x:v>Owner/CM reviewing phasing alternative; estimate validity extended</x:v>
      </x:c>
    </x:row>
    <x:row r="7">
      <x:c r="A7" s="6" t="inlineStr">
        <x:is>
          <x:t xml:space="preserve">ARM-2409</x:t>
        </x:is>
      </x:c>
      <x:c r="B7" s="6" t="inlineStr">
        <x:is>
          <x:t xml:space="preserve">PCO-011</x:t>
        </x:is>
      </x:c>
      <x:c r="C7" s="6" t="inlineStr">
        <x:is>
          <x:t xml:space="preserve">Freezer slab rework backcharge to concrete trade</x:t>
        </x:is>
      </x:c>
      <x:c r="D7" s="7" t="n">
        <x:v>185000</x:v>
      </x:c>
      <x:c r="E7" s="7" t="n">
        <x:v>-185000</x:v>
      </x:c>
      <x:c r="F7" s="8" t="n">
        <x:f>D7-E7</x:f>
        <x:v>370000</x:v>
      </x:c>
      <x:c r="G7" s="6" t="inlineStr">
        <x:is>
          <x:t xml:space="preserve">Draft</x:t>
        </x:is>
      </x:c>
      <x:c r="H7" s="9" t="n">
        <x:v>46197</x:v>
      </x:c>
      <x:c r="I7" s="6" t="inlineStr">
        <x:is>
          <x:t xml:space="preserve">No</x:t>
        </x:is>
      </x:c>
      <x:c r="J7" s="6" t="inlineStr">
        <x:is>
          <x:t xml:space="preserve">Leah Moreno</x:t>
        </x:is>
      </x:c>
      <x:c r="K7" s="6" t="inlineStr">
        <x:is>
          <x:t xml:space="preserve">Concrete trade response dated 6/19; internal estimate updated 6/24; follow-up open</x:t>
        </x:is>
      </x:c>
    </x:row>
    <x:row r="8">
      <x:c r="A8" s="6" t="inlineStr">
        <x:is>
          <x:t xml:space="preserve">ARM-2506</x:t>
        </x:is>
      </x:c>
      <x:c r="B8" s="6" t="inlineStr">
        <x:is>
          <x:t xml:space="preserve">PCO-006</x:t>
        </x:is>
      </x:c>
      <x:c r="C8" s="6" t="inlineStr">
        <x:is>
          <x:t xml:space="preserve">Chiller electrical service redesign</x:t>
        </x:is>
      </x:c>
      <x:c r="D8" s="7" t="n">
        <x:v>296000</x:v>
      </x:c>
      <x:c r="E8" s="7" t="n">
        <x:v>210000</x:v>
      </x:c>
      <x:c r="F8" s="8" t="n">
        <x:f>D8-E8</x:f>
        <x:v>86000</x:v>
      </x:c>
      <x:c r="G8" s="6" t="inlineStr">
        <x:is>
          <x:t xml:space="preserve">Pricing</x:t>
        </x:is>
      </x:c>
      <x:c r="H8" s="9" t="n">
        <x:v>46194</x:v>
      </x:c>
      <x:c r="I8" s="6" t="inlineStr">
        <x:is>
          <x:t xml:space="preserve">No</x:t>
        </x:is>
      </x:c>
      <x:c r="J8" s="6" t="inlineStr">
        <x:is>
          <x:t xml:space="preserve">Leah Moreno</x:t>
        </x:is>
      </x:c>
      <x:c r="K8" s="6" t="str">
        <x:v>DB-27 and quote PEC-0611 retained; responsibility markup open</x:v>
      </x:c>
    </x:row>
    <x:row r="9">
      <x:c r="A9" s="6" t="inlineStr">
        <x:is>
          <x:t xml:space="preserve">ARM-2514</x:t>
        </x:is>
      </x:c>
      <x:c r="B9" s="6" t="inlineStr">
        <x:is>
          <x:t xml:space="preserve">CO-008</x:t>
        </x:is>
      </x:c>
      <x:c r="C9" s="6" t="inlineStr">
        <x:is>
          <x:t xml:space="preserve">Gym ventilation scope revision</x:t>
        </x:is>
      </x:c>
      <x:c r="D9" s="7" t="n">
        <x:v>214000</x:v>
      </x:c>
      <x:c r="E9" s="7" t="n">
        <x:v>147000</x:v>
      </x:c>
      <x:c r="F9" s="8" t="n">
        <x:f>D9-E9</x:f>
        <x:v>67000</x:v>
      </x:c>
      <x:c r="G9" s="6" t="inlineStr">
        <x:is>
          <x:t xml:space="preserve">Approved</x:t>
        </x:is>
      </x:c>
      <x:c r="H9" s="9" t="n">
        <x:v>46185</x:v>
      </x:c>
      <x:c r="I9" s="6" t="inlineStr">
        <x:is>
          <x:t xml:space="preserve">Yes</x:t>
        </x:is>
      </x:c>
      <x:c r="J9" s="6" t="inlineStr">
        <x:is>
          <x:t xml:space="preserve">Leah Moreno</x:t>
        </x:is>
      </x:c>
      <x:c r="K9" s="6" t="inlineStr">
        <x:is>
          <x:t xml:space="preserve">Executed bilateral change order</x:t>
        </x:is>
      </x:c>
    </x:row>
    <x:row r="10">
      <x:c r="A10" s="6" t="inlineStr">
        <x:is>
          <x:t xml:space="preserve">ARM-2318</x:t>
        </x:is>
      </x:c>
      <x:c r="B10" s="6" t="inlineStr">
        <x:is>
          <x:t xml:space="preserve">PCO-029</x:t>
        </x:is>
      </x:c>
      <x:c r="C10" s="6" t="inlineStr">
        <x:is>
          <x:t xml:space="preserve">Final validation retest and extended support</x:t>
        </x:is>
      </x:c>
      <x:c r="D10" s="7" t="n">
        <x:v>68000</x:v>
      </x:c>
      <x:c r="E10" s="7" t="n">
        <x:v>45000</x:v>
      </x:c>
      <x:c r="F10" s="8" t="n">
        <x:f>D10-E10</x:f>
        <x:v>23000</x:v>
      </x:c>
      <x:c r="G10" s="6" t="inlineStr">
        <x:is>
          <x:t xml:space="preserve">Submitted</x:t>
        </x:is>
      </x:c>
      <x:c r="H10" s="9" t="n">
        <x:v>46200</x:v>
      </x:c>
      <x:c r="I10" s="6" t="inlineStr">
        <x:is>
          <x:t xml:space="preserve">No</x:t>
        </x:is>
      </x:c>
      <x:c r="J10" s="6" t="inlineStr">
        <x:is>
          <x:t xml:space="preserve">Leah Moreno</x:t>
        </x:is>
      </x:c>
      <x:c r="K10" s="6" t="str">
        <x:v>Customer disputes responsibility; CV-2318-06 remains open</x:v>
      </x:c>
    </x:row>
    <x:row r="11">
      <x:c r="A11" s="6" t="inlineStr">
        <x:is>
          <x:t xml:space="preserve">ARM-2605</x:t>
        </x:is>
      </x:c>
      <x:c r="B11" s="6" t="inlineStr">
        <x:is>
          <x:t xml:space="preserve">PCO-002</x:t>
        </x:is>
      </x:c>
      <x:c r="C11" s="6" t="inlineStr">
        <x:is>
          <x:t xml:space="preserve">Temporary ventilation for summer events</x:t>
        </x:is>
      </x:c>
      <x:c r="D11" s="7" t="n">
        <x:v>174000</x:v>
      </x:c>
      <x:c r="E11" s="7" t="n">
        <x:v>121000</x:v>
      </x:c>
      <x:c r="F11" s="8" t="n">
        <x:f>D11-E11</x:f>
        <x:v>53000</x:v>
      </x:c>
      <x:c r="G11" s="6" t="inlineStr">
        <x:is>
          <x:t xml:space="preserve">Under Review</x:t>
        </x:is>
      </x:c>
      <x:c r="H11" s="9" t="n">
        <x:v>46201</x:v>
      </x:c>
      <x:c r="I11" s="6" t="inlineStr">
        <x:is>
          <x:t xml:space="preserve">No</x:t>
        </x:is>
      </x:c>
      <x:c r="J11" s="6" t="inlineStr">
        <x:is>
          <x:t xml:space="preserve">Leah Moreno</x:t>
        </x:is>
      </x:c>
      <x:c r="K11" s="6" t="inlineStr">
        <x:is>
          <x:t xml:space="preserve">Work not authorized at cutoff</x:t>
        </x:is>
      </x:c>
    </x:row>
    <x:row r="12">
      <x:c r="A12" s="6" t="inlineStr">
        <x:is>
          <x:t xml:space="preserve">ARM-2403</x:t>
        </x:is>
      </x:c>
      <x:c r="B12" s="6" t="inlineStr">
        <x:is>
          <x:t xml:space="preserve">CO-014</x:t>
        </x:is>
      </x:c>
      <x:c r="C12" s="6" t="inlineStr">
        <x:is>
          <x:t xml:space="preserve">AHU-4 controls sequence revision</x:t>
        </x:is>
      </x:c>
      <x:c r="D12" s="7" t="n">
        <x:v>96000</x:v>
      </x:c>
      <x:c r="E12" s="7" t="n">
        <x:v>62000</x:v>
      </x:c>
      <x:c r="F12" s="8" t="n">
        <x:f>D12-E12</x:f>
        <x:v>34000</x:v>
      </x:c>
      <x:c r="G12" s="6" t="inlineStr">
        <x:is>
          <x:t xml:space="preserve">Approved</x:t>
        </x:is>
      </x:c>
      <x:c r="H12" s="9" t="n">
        <x:v>46161</x:v>
      </x:c>
      <x:c r="I12" s="6" t="inlineStr">
        <x:is>
          <x:t xml:space="preserve">Yes</x:t>
        </x:is>
      </x:c>
      <x:c r="J12" s="6" t="inlineStr">
        <x:is>
          <x:t xml:space="preserve">Leah Moreno</x:t>
        </x:is>
      </x:c>
      <x:c r="K12" s="6" t="inlineStr">
        <x:is>
          <x:t xml:space="preserve">Executed</x:t>
        </x:is>
      </x:c>
    </x:row>
    <x:row r="13">
      <x:c r="A13" s="6" t="inlineStr">
        <x:is>
          <x:t xml:space="preserve">ARM-2412</x:t>
        </x:is>
      </x:c>
      <x:c r="B13" s="6" t="inlineStr">
        <x:is>
          <x:t xml:space="preserve">CO-009</x:t>
        </x:is>
      </x:c>
      <x:c r="C13" s="6" t="inlineStr">
        <x:is>
          <x:t xml:space="preserve">Lab exhaust fan VFD replacements</x:t>
        </x:is>
      </x:c>
      <x:c r="D13" s="7" t="n">
        <x:v>133000</x:v>
      </x:c>
      <x:c r="E13" s="7" t="n">
        <x:v>88000</x:v>
      </x:c>
      <x:c r="F13" s="8" t="n">
        <x:f>D13-E13</x:f>
        <x:v>45000</x:v>
      </x:c>
      <x:c r="G13" s="6" t="inlineStr">
        <x:is>
          <x:t xml:space="preserve">Approved</x:t>
        </x:is>
      </x:c>
      <x:c r="H13" s="9" t="n">
        <x:v>46176</x:v>
      </x:c>
      <x:c r="I13" s="6" t="inlineStr">
        <x:is>
          <x:t xml:space="preserve">Yes</x:t>
        </x:is>
      </x:c>
      <x:c r="J13" s="6" t="inlineStr">
        <x:is>
          <x:t xml:space="preserve">Leah Moreno</x:t>
        </x:is>
      </x:c>
      <x:c r="K13" s="6" t="inlineStr">
        <x:is>
          <x:t xml:space="preserve">Executed</x:t>
        </x:is>
      </x:c>
    </x:row>
  </x:sheetData>
  <x:mergeCells>
    <x:mergeCell ref="A2:K2"/>
    <x:mergeCell ref="A1:K1"/>
  </x:mergeCells>
  <x:conditionalFormatting sqref="G6:G13">
    <x:cfRule type="containsText" dxfId="0" priority="1" operator="containsText" text="Approved"/>
  </x:conditionalFormatting>
  <x:dataValidations count="1">
    <x:dataValidation type="list" allowBlank="1" showDropDown="0" showInputMessage="0" showErrorMessage="0" sqref="I6:I1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4" customWidth="1"/>
    <x:col min="3" max="4" width="19" customWidth="1"/>
    <x:col min="5" max="5" width="8" customWidth="1"/>
    <x:col min="6" max="8" width="16" customWidth="1"/>
  </x:cols>
  <x:sheetData>
    <x:row r="1" ht="23" customHeight="1">
      <x:c r="A1" s="1" t="inlineStr">
        <x:is>
          <x:t xml:space="preserve">Commercial Pipeline Summary</x:t>
        </x:is>
      </x:c>
      <x:c r="B1" s="16" t="n"/>
      <x:c r="C1" s="16" t="n"/>
      <x:c r="D1" s="16" t="n"/>
      <x:c r="E1" s="16" t="n"/>
      <x:c r="F1" s="16" t="n"/>
      <x:c r="G1" s="16" t="n"/>
      <x:c r="H1" s="16" t="n"/>
    </x:row>
    <x:row r="2" ht="23" customHeight="1">
      <x:c r="A2" s="2" t="inlineStr">
        <x:is>
          <x:t xml:space="preserve">Working amounts summarized by the current Commercial Log status</x:t>
        </x:is>
      </x:c>
    </x:row>
    <x:row r="3"/>
    <x:row r="4"/>
    <x:row r="5" ht="30" customHeight="1">
      <x:c r="A5" s="3" t="inlineStr">
        <x:is>
          <x:t xml:space="preserve">Status</x:t>
        </x:is>
      </x:c>
      <x:c r="B5" s="4" t="inlineStr">
        <x:is>
          <x:t xml:space="preserve">Item Count</x:t>
        </x:is>
      </x:c>
      <x:c r="C5" s="4" t="inlineStr">
        <x:is>
          <x:t xml:space="preserve">Revenue Amount</x:t>
        </x:is>
      </x:c>
      <x:c r="D5" s="5" t="inlineStr">
        <x:is>
          <x:t xml:space="preserve">Estimated Cost</x:t>
        </x:is>
      </x:c>
    </x:row>
    <x:row r="6">
      <x:c r="A6" s="10" t="inlineStr">
        <x:is>
          <x:t xml:space="preserve">Approved</x:t>
        </x:is>
      </x:c>
      <x:c r="B6" s="10" t="n">
        <x:f>COUNTIF('Commercial Log'!G$6:G$13,A6)</x:f>
        <x:v>3</x:v>
      </x:c>
      <x:c r="C6" s="11" t="n">
        <x:f>SUMIF('Commercial Log'!G$6:G$13,A6,'Commercial Log'!D$6:D$13)</x:f>
        <x:v>443000</x:v>
      </x:c>
      <x:c r="D6" s="11" t="n">
        <x:f>SUMIF('Commercial Log'!G$6:G$13,A6,'Commercial Log'!E$6:E$13)</x:f>
        <x:v>297000</x:v>
      </x:c>
    </x:row>
    <x:row r="7">
      <x:c r="A7" s="10" t="inlineStr">
        <x:is>
          <x:t xml:space="preserve">Submitted</x:t>
        </x:is>
      </x:c>
      <x:c r="B7" s="10" t="n">
        <x:f>COUNTIF('Commercial Log'!G$6:G$13,A7)</x:f>
        <x:v>2</x:v>
      </x:c>
      <x:c r="C7" s="11" t="n">
        <x:f>SUMIF('Commercial Log'!G$6:G$13,A7,'Commercial Log'!D$6:D$13)</x:f>
        <x:v>450000</x:v>
      </x:c>
      <x:c r="D7" s="11" t="n">
        <x:f>SUMIF('Commercial Log'!G$6:G$13,A7,'Commercial Log'!E$6:E$13)</x:f>
        <x:v>320000</x:v>
      </x:c>
    </x:row>
    <x:row r="8">
      <x:c r="A8" s="10" t="inlineStr">
        <x:is>
          <x:t xml:space="preserve">Under Review</x:t>
        </x:is>
      </x:c>
      <x:c r="B8" s="10" t="n">
        <x:f>COUNTIF('Commercial Log'!G$6:G$13,A8)</x:f>
        <x:v>1</x:v>
      </x:c>
      <x:c r="C8" s="11" t="n">
        <x:f>SUMIF('Commercial Log'!G$6:G$13,A8,'Commercial Log'!D$6:D$13)</x:f>
        <x:v>174000</x:v>
      </x:c>
      <x:c r="D8" s="11" t="n">
        <x:f>SUMIF('Commercial Log'!G$6:G$13,A8,'Commercial Log'!E$6:E$13)</x:f>
        <x:v>121000</x:v>
      </x:c>
    </x:row>
    <x:row r="9">
      <x:c r="A9" s="10" t="inlineStr">
        <x:is>
          <x:t xml:space="preserve">Pricing</x:t>
        </x:is>
      </x:c>
      <x:c r="B9" s="10" t="n">
        <x:f>COUNTIF('Commercial Log'!G$6:G$13,A9)</x:f>
        <x:v>1</x:v>
      </x:c>
      <x:c r="C9" s="11" t="n">
        <x:f>SUMIF('Commercial Log'!G$6:G$13,A9,'Commercial Log'!D$6:D$13)</x:f>
        <x:v>296000</x:v>
      </x:c>
      <x:c r="D9" s="11" t="n">
        <x:f>SUMIF('Commercial Log'!G$6:G$13,A9,'Commercial Log'!E$6:E$13)</x:f>
        <x:v>210000</x:v>
      </x:c>
    </x:row>
    <x:row r="10">
      <x:c r="A10" s="10" t="inlineStr">
        <x:is>
          <x:t xml:space="preserve">Draft</x:t>
        </x:is>
      </x:c>
      <x:c r="B10" s="10" t="n">
        <x:f>COUNTIF('Commercial Log'!G$6:G$13,A10)</x:f>
        <x:v>1</x:v>
      </x:c>
      <x:c r="C10" s="11" t="n">
        <x:f>SUMIF('Commercial Log'!G$6:G$13,A10,'Commercial Log'!D$6:D$13)</x:f>
        <x:v>185000</x:v>
      </x:c>
      <x:c r="D10" s="11" t="n">
        <x:f>SUMIF('Commercial Log'!G$6:G$13,A10,'Commercial Log'!E$6:E$13)</x:f>
        <x:v>-185000</x:v>
      </x:c>
    </x:row>
  </x:sheetData>
  <x:mergeCells>
    <x:mergeCell ref="A2:H2"/>
    <x:mergeCell ref="A1:H1"/>
  </x:mergeCells>
  <x:pageMargins left="0.7" right="0.7" top="0.75" bottom="0.75" header="0.3" footer="0.3"/>
  <x:drawing xmlns:r="http://schemas.openxmlformats.org/officeDocument/2006/relationships" r:id="Re0b7fea94568494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64" customWidth="1"/>
    <x:col min="3" max="3" width="24" customWidth="1"/>
    <x:col min="4" max="4" width="62" customWidth="1"/>
  </x:cols>
  <x:sheetData>
    <x:row r="1" ht="23" customHeight="1">
      <x:c r="A1" s="1" t="inlineStr">
        <x:is>
          <x:t xml:space="preserve">Commercial Log Data Dictionary</x:t>
        </x:is>
      </x:c>
      <x:c r="B1" s="16" t="n"/>
      <x:c r="C1" s="16" t="n"/>
      <x:c r="D1" s="16" t="n"/>
    </x:row>
    <x:row r="2" ht="23" customHeight="1">
      <x:c r="A2" s="2" t="inlineStr">
        <x:is>
          <x:t xml:space="preserve">Definitions used by Commercial, Project Accounting and WIP review</x:t>
        </x:is>
      </x:c>
    </x:row>
    <x:row r="3"/>
    <x:row r="4"/>
    <x:row r="5" ht="30" customHeight="1">
      <x:c r="A5" s="3" t="inlineStr">
        <x:is>
          <x:t xml:space="preserve">Field</x:t>
        </x:is>
      </x:c>
      <x:c r="B5" s="4" t="inlineStr">
        <x:is>
          <x:t xml:space="preserve">Definition</x:t>
        </x:is>
      </x:c>
      <x:c r="C5" s="4" t="inlineStr">
        <x:is>
          <x:t xml:space="preserve">Owner</x:t>
        </x:is>
      </x:c>
      <x:c r="D5" s="5" t="inlineStr">
        <x:is>
          <x:t xml:space="preserve">System Use</x:t>
        </x:is>
      </x:c>
    </x:row>
    <x:row r="6">
      <x:c r="A6" s="6" t="inlineStr">
        <x:is>
          <x:t xml:space="preserve">Approved</x:t>
        </x:is>
      </x:c>
      <x:c r="B6" s="6" t="inlineStr">
        <x:is>
          <x:t xml:space="preserve">Executed bilateral change order or written directive meeting contract authorization requirements.</x:t>
        </x:is>
      </x:c>
      <x:c r="C6" s="6" t="inlineStr">
        <x:is>
          <x:t xml:space="preserve">Commercial Manager</x:t>
        </x:is>
      </x:c>
      <x:c r="D6" s="6" t="inlineStr">
        <x:is>
          <x:t xml:space="preserve">Eligible for contract-system update after Project Accounting validation.</x:t>
        </x:is>
      </x:c>
    </x:row>
    <x:row r="7">
      <x:c r="A7" s="6" t="inlineStr">
        <x:is>
          <x:t xml:space="preserve">Submitted</x:t>
        </x:is>
      </x:c>
      <x:c r="B7" s="6" t="inlineStr">
        <x:is>
          <x:t xml:space="preserve">Formal pricing transmitted to the owner or general contractor; response remains open.</x:t>
        </x:is>
      </x:c>
      <x:c r="C7" s="6" t="inlineStr">
        <x:is>
          <x:t xml:space="preserve">Project Manager</x:t>
        </x:is>
      </x:c>
      <x:c r="D7" s="6" t="inlineStr">
        <x:is>
          <x:t xml:space="preserve">Commercial pipeline status.</x:t>
        </x:is>
      </x:c>
    </x:row>
    <x:row r="8">
      <x:c r="A8" s="6" t="inlineStr">
        <x:is>
          <x:t xml:space="preserve">Under Review</x:t>
        </x:is>
      </x:c>
      <x:c r="B8" s="6" t="inlineStr">
        <x:is>
          <x:t xml:space="preserve">Scope and commercial terms remain under owner or general-contractor review.</x:t>
        </x:is>
      </x:c>
      <x:c r="C8" s="6" t="inlineStr">
        <x:is>
          <x:t xml:space="preserve">Commercial Manager</x:t>
        </x:is>
      </x:c>
      <x:c r="D8" s="6" t="inlineStr">
        <x:is>
          <x:t xml:space="preserve">Commercial pipeline status.</x:t>
        </x:is>
      </x:c>
    </x:row>
    <x:row r="9">
      <x:c r="A9" s="6" t="inlineStr">
        <x:is>
          <x:t xml:space="preserve">Pricing</x:t>
        </x:is>
      </x:c>
      <x:c r="B9" s="6" t="inlineStr">
        <x:is>
          <x:t xml:space="preserve">Scope is being estimated or negotiated and is not yet a complete submission.</x:t>
        </x:is>
      </x:c>
      <x:c r="C9" s="6" t="inlineStr">
        <x:is>
          <x:t xml:space="preserve">Estimator / PM</x:t>
        </x:is>
      </x:c>
      <x:c r="D9" s="6" t="inlineStr">
        <x:is>
          <x:t xml:space="preserve">Commercial pipeline status.</x:t>
        </x:is>
      </x:c>
    </x:row>
    <x:row r="10">
      <x:c r="A10" s="6" t="inlineStr">
        <x:is>
          <x:t xml:space="preserve">Draft</x:t>
        </x:is>
      </x:c>
      <x:c r="B10" s="6" t="inlineStr">
        <x:is>
          <x:t xml:space="preserve">Internal position or claim theory not yet formally transmitted.</x:t>
        </x:is>
      </x:c>
      <x:c r="C10" s="6" t="inlineStr">
        <x:is>
          <x:t xml:space="preserve">Commercial Manager</x:t>
        </x:is>
      </x:c>
      <x:c r="D10" s="6" t="inlineStr">
        <x:is>
          <x:t xml:space="preserve">Commercial pipeline status.</x:t>
        </x:is>
      </x:c>
    </x:row>
    <x:row r="11">
      <x:c r="A11" s="6" t="inlineStr">
        <x:is>
          <x:t xml:space="preserve">Contract Included?</x:t>
        </x:is>
      </x:c>
      <x:c r="B11" s="6" t="inlineStr">
        <x:is>
          <x:t xml:space="preserve">Whether the accounting-system current contract value reflects the item at cutoff.</x:t>
        </x:is>
      </x:c>
      <x:c r="C11" s="6" t="inlineStr">
        <x:is>
          <x:t xml:space="preserve">Project Accounting</x:t>
        </x:is>
      </x:c>
      <x:c r="D11" s="6" t="inlineStr">
        <x:is>
          <x:t xml:space="preserve">Yes / No reference field.</x:t>
        </x:is>
      </x:c>
    </x:row>
    <x:row r="12">
      <x:c r="A12" s="6" t="inlineStr">
        <x:is>
          <x:t xml:space="preserve">Support / Notes</x:t>
        </x:is>
      </x:c>
      <x:c r="B12" s="6" t="inlineStr">
        <x:is>
          <x:t xml:space="preserve">Current correspondence, estimate, directive or contract-file reference.</x:t>
        </x:is>
      </x:c>
      <x:c r="C12" s="6" t="inlineStr">
        <x:is>
          <x:t xml:space="preserve">Commercial Manager</x:t>
        </x:is>
      </x:c>
      <x:c r="D12" s="6" t="inlineStr">
        <x:is>
          <x:t xml:space="preserve">Source locator; not a substitute for the underlying document.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customWidth="1"/>
    <x:col min="2" max="3" width="13" customWidth="1"/>
    <x:col min="4" max="4" width="11" customWidth="1"/>
    <x:col min="5" max="5" width="72" customWidth="1"/>
    <x:col min="6" max="6" width="14" customWidth="1"/>
    <x:col min="7" max="7" width="15" customWidth="1"/>
  </x:cols>
  <x:sheetData>
    <x:row r="1">
      <x:c r="A1" s="12" t="inlineStr">
        <x:is>
          <x:t xml:space="preserve">Priya's running commercial notes. Status values are informal; the Commercial Log and executed documents control.</x:t>
        </x:is>
      </x:c>
    </x:row>
    <x:row r="2"/>
    <x:row r="3">
      <x:c r="A3" s="13" t="inlineStr">
        <x:is>
          <x:t xml:space="preserve">date typed</x:t>
        </x:is>
      </x:c>
      <x:c r="B3" s="13" t="inlineStr">
        <x:is>
          <x:t xml:space="preserve">job</x:t>
        </x:is>
      </x:c>
      <x:c r="C3" s="13" t="inlineStr">
        <x:is>
          <x:t xml:space="preserve">ref</x:t>
        </x:is>
      </x:c>
      <x:c r="D3" s="13" t="inlineStr">
        <x:is>
          <x:t xml:space="preserve">person</x:t>
        </x:is>
      </x:c>
      <x:c r="E3" s="13" t="inlineStr">
        <x:is>
          <x:t xml:space="preserve">note copied from call/e-mail</x:t>
        </x:is>
      </x:c>
      <x:c r="F3" s="13" t="inlineStr">
        <x:is>
          <x:t xml:space="preserve">next chase</x:t>
        </x:is>
      </x:c>
      <x:c r="G3" s="13" t="inlineStr">
        <x:is>
          <x:t xml:space="preserve">resolved?</x:t>
        </x:is>
      </x:c>
    </x:row>
    <x:row r="4">
      <x:c r="A4" s="14" t="inlineStr">
        <x:is>
          <x:t xml:space="preserve">2026-06-17</x:t>
        </x:is>
      </x:c>
      <x:c r="B4" s="14" t="inlineStr">
        <x:is>
          <x:t xml:space="preserve">ARM-2417</x:t>
        </x:is>
      </x:c>
      <x:c r="C4" s="14" t="inlineStr">
        <x:is>
          <x:t xml:space="preserve">PCO-017</x:t>
        </x:is>
      </x:c>
      <x:c r="D4" s="14" t="inlineStr">
        <x:is>
          <x:t xml:space="preserve">PR</x:t>
        </x:is>
      </x:c>
      <x:c r="E4" s="14" t="str">
        <x:v>Owner/CM reviewing phasing alternative; estimate validity extended</x:v>
      </x:c>
      <x:c r="F4" s="14" t="inlineStr">
        <x:is>
          <x:t xml:space="preserve">7/2</x:t>
        </x:is>
      </x:c>
      <x:c r="G4" s="14" t="inlineStr">
        <x:is>
          <x:t xml:space="preserve">NO</x:t>
        </x:is>
      </x:c>
    </x:row>
    <x:row r="5">
      <x:c r="A5" s="14" t="inlineStr">
        <x:is>
          <x:t xml:space="preserve">6/12</x:t>
        </x:is>
      </x:c>
      <x:c r="B5" s="14" t="inlineStr">
        <x:is>
          <x:t xml:space="preserve">ARM-2417</x:t>
        </x:is>
      </x:c>
      <x:c r="C5" s="14" t="inlineStr">
        <x:is>
          <x:t xml:space="preserve">PCO-017</x:t>
        </x:is>
      </x:c>
      <x:c r="D5" s="14" t="inlineStr">
        <x:is>
          <x:t xml:space="preserve">PR</x:t>
        </x:is>
      </x:c>
      <x:c r="E5" s="14" t="str">
        <x:v>next commercial follow-up assigned</x:v>
      </x:c>
      <x:c r="F5" s="14" t="inlineStr">
        <x:is>
          <x:t xml:space="preserve">see above</x:t>
        </x:is>
      </x:c>
      <x:c r="G5" s="14" t="n"/>
    </x:row>
    <x:row r="6">
      <x:c r="A6" s="14" t="inlineStr">
        <x:is>
          <x:t xml:space="preserve">2026-06-24</x:t>
        </x:is>
      </x:c>
      <x:c r="B6" s="14" t="inlineStr">
        <x:is>
          <x:t xml:space="preserve">ARM-2409</x:t>
        </x:is>
      </x:c>
      <x:c r="C6" s="14" t="inlineStr">
        <x:is>
          <x:t xml:space="preserve">PCO-011</x:t>
        </x:is>
      </x:c>
      <x:c r="D6" s="14" t="inlineStr">
        <x:is>
          <x:t xml:space="preserve">MC</x:t>
        </x:is>
      </x:c>
      <x:c r="E6" s="14" t="inlineStr">
        <x:is>
          <x:t xml:space="preserve">Concrete trade response dated 6/19; internal estimate updated 6/24; follow-up open</x:t>
        </x:is>
      </x:c>
      <x:c r="F6" s="14" t="inlineStr">
        <x:is>
          <x:t xml:space="preserve">7/3</x:t>
        </x:is>
      </x:c>
      <x:c r="G6" s="14" t="inlineStr">
        <x:is>
          <x:t xml:space="preserve">NO</x:t>
        </x:is>
      </x:c>
    </x:row>
    <x:row r="7">
      <x:c r="A7" s="14" t="inlineStr">
        <x:is>
          <x:t xml:space="preserve">6/13</x:t>
        </x:is>
      </x:c>
      <x:c r="B7" s="14" t="inlineStr">
        <x:is>
          <x:t xml:space="preserve">ARM-2409</x:t>
        </x:is>
      </x:c>
      <x:c r="C7" s="14" t="inlineStr">
        <x:is>
          <x:t xml:space="preserve">PCO-011</x:t>
        </x:is>
      </x:c>
      <x:c r="D7" s="14" t="inlineStr">
        <x:is>
          <x:t xml:space="preserve">PR</x:t>
        </x:is>
      </x:c>
      <x:c r="E7" s="14" t="inlineStr">
        <x:is>
          <x:t xml:space="preserve">need executed page not meeting minutes</x:t>
        </x:is>
      </x:c>
      <x:c r="F7" s="14" t="inlineStr">
        <x:is>
          <x:t xml:space="preserve">see above</x:t>
        </x:is>
      </x:c>
      <x:c r="G7" s="14" t="n"/>
    </x:row>
    <x:row r="8">
      <x:c r="A8" s="14" t="inlineStr">
        <x:is>
          <x:t xml:space="preserve">2026-06-21</x:t>
        </x:is>
      </x:c>
      <x:c r="B8" s="14" t="inlineStr">
        <x:is>
          <x:t xml:space="preserve">ARM-2506</x:t>
        </x:is>
      </x:c>
      <x:c r="C8" s="14" t="inlineStr">
        <x:is>
          <x:t xml:space="preserve">PCO-006</x:t>
        </x:is>
      </x:c>
      <x:c r="D8" s="14" t="inlineStr">
        <x:is>
          <x:t xml:space="preserve">EM</x:t>
        </x:is>
      </x:c>
      <x:c r="E8" s="14" t="str">
        <x:v>DB-27 and quote PEC-0611 retained; responsibility markup open</x:v>
      </x:c>
      <x:c r="F8" s="14" t="inlineStr">
        <x:is>
          <x:t xml:space="preserve">7/4</x:t>
        </x:is>
      </x:c>
      <x:c r="G8" s="14" t="inlineStr">
        <x:is>
          <x:t xml:space="preserve">NO</x:t>
        </x:is>
      </x:c>
    </x:row>
    <x:row r="9">
      <x:c r="A9" s="14" t="inlineStr">
        <x:is>
          <x:t xml:space="preserve">6/14</x:t>
        </x:is>
      </x:c>
      <x:c r="B9" s="14" t="inlineStr">
        <x:is>
          <x:t xml:space="preserve">ARM-2506</x:t>
        </x:is>
      </x:c>
      <x:c r="C9" s="14" t="inlineStr">
        <x:is>
          <x:t xml:space="preserve">PCO-006</x:t>
        </x:is>
      </x:c>
      <x:c r="D9" s="14" t="inlineStr">
        <x:is>
          <x:t xml:space="preserve">PR</x:t>
        </x:is>
      </x:c>
      <x:c r="E9" s="14" t="str">
        <x:v>estimate revision retained in project folder</x:v>
      </x:c>
      <x:c r="F9" s="14" t="inlineStr">
        <x:is>
          <x:t xml:space="preserve">see above</x:t>
        </x:is>
      </x:c>
      <x:c r="G9" s="14" t="n"/>
    </x:row>
    <x:row r="10">
      <x:c r="A10" s="14" t="inlineStr">
        <x:is>
          <x:t xml:space="preserve">2026-06-12</x:t>
        </x:is>
      </x:c>
      <x:c r="B10" s="14" t="inlineStr">
        <x:is>
          <x:t xml:space="preserve">ARM-2514</x:t>
        </x:is>
      </x:c>
      <x:c r="C10" s="14" t="inlineStr">
        <x:is>
          <x:t xml:space="preserve">CO-008</x:t>
        </x:is>
      </x:c>
      <x:c r="D10" s="14" t="inlineStr">
        <x:is>
          <x:t xml:space="preserve">LB</x:t>
        </x:is>
      </x:c>
      <x:c r="E10" s="14" t="inlineStr">
        <x:is>
          <x:t xml:space="preserve">Executed bilateral change order</x:t>
        </x:is>
      </x:c>
      <x:c r="F10" s="14" t="inlineStr">
        <x:is>
          <x:t xml:space="preserve">7/5</x:t>
        </x:is>
      </x:c>
      <x:c r="G10" s="14" t="inlineStr">
        <x:is>
          <x:t xml:space="preserve">maybe</x:t>
        </x:is>
      </x:c>
    </x:row>
    <x:row r="11">
      <x:c r="A11" s="14" t="inlineStr">
        <x:is>
          <x:t xml:space="preserve">6/15</x:t>
        </x:is>
      </x:c>
      <x:c r="B11" s="14" t="inlineStr">
        <x:is>
          <x:t xml:space="preserve">ARM-2514</x:t>
        </x:is>
      </x:c>
      <x:c r="C11" s="14" t="inlineStr">
        <x:is>
          <x:t xml:space="preserve">CO-008</x:t>
        </x:is>
      </x:c>
      <x:c r="D11" s="14" t="inlineStr">
        <x:is>
          <x:t xml:space="preserve">PR</x:t>
        </x:is>
      </x:c>
      <x:c r="E11" s="14" t="inlineStr">
        <x:is>
          <x:t xml:space="preserve">PM forecast cross-reference noted</x:t>
        </x:is>
      </x:c>
      <x:c r="F11" s="14" t="inlineStr">
        <x:is>
          <x:t xml:space="preserve">see above</x:t>
        </x:is>
      </x:c>
      <x:c r="G11" s="14" t="n"/>
    </x:row>
    <x:row r="12">
      <x:c r="A12" s="14" t="inlineStr">
        <x:is>
          <x:t xml:space="preserve">2026-06-27</x:t>
        </x:is>
      </x:c>
      <x:c r="B12" s="14" t="inlineStr">
        <x:is>
          <x:t xml:space="preserve">ARM-2318</x:t>
        </x:is>
      </x:c>
      <x:c r="C12" s="14" t="inlineStr">
        <x:is>
          <x:t xml:space="preserve">PCO-029</x:t>
        </x:is>
      </x:c>
      <x:c r="D12" s="14" t="inlineStr">
        <x:is>
          <x:t xml:space="preserve">PR</x:t>
        </x:is>
      </x:c>
      <x:c r="E12" s="14" t="str">
        <x:v>Customer disputes responsibility; CV-2318-06 remains open</x:v>
      </x:c>
      <x:c r="F12" s="14" t="inlineStr">
        <x:is>
          <x:t xml:space="preserve">7/6</x:t>
        </x:is>
      </x:c>
      <x:c r="G12" s="14" t="inlineStr">
        <x:is>
          <x:t xml:space="preserve">NO</x:t>
        </x:is>
      </x:c>
    </x:row>
    <x:row r="13">
      <x:c r="A13" s="14" t="inlineStr">
        <x:is>
          <x:t xml:space="preserve">6/16</x:t>
        </x:is>
      </x:c>
      <x:c r="B13" s="14" t="inlineStr">
        <x:is>
          <x:t xml:space="preserve">ARM-2318</x:t>
        </x:is>
      </x:c>
      <x:c r="C13" s="14" t="inlineStr">
        <x:is>
          <x:t xml:space="preserve">PCO-029</x:t>
        </x:is>
      </x:c>
      <x:c r="D13" s="14" t="inlineStr">
        <x:is>
          <x:t xml:space="preserve">PR</x:t>
        </x:is>
      </x:c>
      <x:c r="E13" s="14" t="str">
        <x:v>weekly review date noted</x:v>
      </x:c>
      <x:c r="F13" s="14" t="inlineStr">
        <x:is>
          <x:t xml:space="preserve">see above</x:t>
        </x:is>
      </x:c>
      <x:c r="G13" s="14" t="n"/>
    </x:row>
    <x:row r="14">
      <x:c r="A14" s="14" t="inlineStr">
        <x:is>
          <x:t xml:space="preserve">2026-06-28</x:t>
        </x:is>
      </x:c>
      <x:c r="B14" s="14" t="inlineStr">
        <x:is>
          <x:t xml:space="preserve">ARM-2605</x:t>
        </x:is>
      </x:c>
      <x:c r="C14" s="14" t="inlineStr">
        <x:is>
          <x:t xml:space="preserve">PCO-002</x:t>
        </x:is>
      </x:c>
      <x:c r="D14" s="14" t="inlineStr">
        <x:is>
          <x:t xml:space="preserve">MC</x:t>
        </x:is>
      </x:c>
      <x:c r="E14" s="14" t="inlineStr">
        <x:is>
          <x:t xml:space="preserve">Work not authorized at cutoff</x:t>
        </x:is>
      </x:c>
      <x:c r="F14" s="14" t="inlineStr">
        <x:is>
          <x:t xml:space="preserve">7/7</x:t>
        </x:is>
      </x:c>
      <x:c r="G14" s="14" t="inlineStr">
        <x:is>
          <x:t xml:space="preserve">NO</x:t>
        </x:is>
      </x:c>
    </x:row>
    <x:row r="15">
      <x:c r="A15" s="14" t="inlineStr">
        <x:is>
          <x:t xml:space="preserve">6/17</x:t>
        </x:is>
      </x:c>
      <x:c r="B15" s="14" t="inlineStr">
        <x:is>
          <x:t xml:space="preserve">ARM-2605</x:t>
        </x:is>
      </x:c>
      <x:c r="C15" s="14" t="inlineStr">
        <x:is>
          <x:t xml:space="preserve">PCO-002</x:t>
        </x:is>
      </x:c>
      <x:c r="D15" s="14" t="inlineStr">
        <x:is>
          <x:t xml:space="preserve">PR</x:t>
        </x:is>
      </x:c>
      <x:c r="E15" s="14" t="inlineStr">
        <x:is>
          <x:t xml:space="preserve">need executed page not meeting minutes</x:t>
        </x:is>
      </x:c>
      <x:c r="F15" s="14" t="inlineStr">
        <x:is>
          <x:t xml:space="preserve">see above</x:t>
        </x:is>
      </x:c>
      <x:c r="G15" s="14" t="n"/>
    </x:row>
    <x:row r="16">
      <x:c r="A16" s="14" t="inlineStr">
        <x:is>
          <x:t xml:space="preserve">2026-05-19</x:t>
        </x:is>
      </x:c>
      <x:c r="B16" s="14" t="inlineStr">
        <x:is>
          <x:t xml:space="preserve">ARM-2403</x:t>
        </x:is>
      </x:c>
      <x:c r="C16" s="14" t="inlineStr">
        <x:is>
          <x:t xml:space="preserve">CO-014</x:t>
        </x:is>
      </x:c>
      <x:c r="D16" s="14" t="inlineStr">
        <x:is>
          <x:t xml:space="preserve">EM</x:t>
        </x:is>
      </x:c>
      <x:c r="E16" s="14" t="inlineStr">
        <x:is>
          <x:t xml:space="preserve">Executed</x:t>
        </x:is>
      </x:c>
      <x:c r="F16" s="14" t="inlineStr">
        <x:is>
          <x:t xml:space="preserve">7/2</x:t>
        </x:is>
      </x:c>
      <x:c r="G16" s="14" t="inlineStr">
        <x:is>
          <x:t xml:space="preserve">NO</x:t>
        </x:is>
      </x:c>
    </x:row>
    <x:row r="17">
      <x:c r="A17" s="14" t="inlineStr">
        <x:is>
          <x:t xml:space="preserve">6/18</x:t>
        </x:is>
      </x:c>
      <x:c r="B17" s="14" t="inlineStr">
        <x:is>
          <x:t xml:space="preserve">ARM-2403</x:t>
        </x:is>
      </x:c>
      <x:c r="C17" s="14" t="inlineStr">
        <x:is>
          <x:t xml:space="preserve">CO-014</x:t>
        </x:is>
      </x:c>
      <x:c r="D17" s="14" t="inlineStr">
        <x:is>
          <x:t xml:space="preserve">PR</x:t>
        </x:is>
      </x:c>
      <x:c r="E17" s="14" t="inlineStr">
        <x:is>
          <x:t xml:space="preserve">cost is moving before price</x:t>
        </x:is>
      </x:c>
      <x:c r="F17" s="14" t="inlineStr">
        <x:is>
          <x:t xml:space="preserve">see above</x:t>
        </x:is>
      </x:c>
      <x:c r="G17" s="14" t="n"/>
    </x:row>
    <x:row r="18">
      <x:c r="A18" s="14" t="inlineStr">
        <x:is>
          <x:t xml:space="preserve">2026-06-03</x:t>
        </x:is>
      </x:c>
      <x:c r="B18" s="14" t="inlineStr">
        <x:is>
          <x:t xml:space="preserve">ARM-2412</x:t>
        </x:is>
      </x:c>
      <x:c r="C18" s="14" t="inlineStr">
        <x:is>
          <x:t xml:space="preserve">CO-009</x:t>
        </x:is>
      </x:c>
      <x:c r="D18" s="14" t="inlineStr">
        <x:is>
          <x:t xml:space="preserve">LB</x:t>
        </x:is>
      </x:c>
      <x:c r="E18" s="14" t="inlineStr">
        <x:is>
          <x:t xml:space="preserve">Executed</x:t>
        </x:is>
      </x:c>
      <x:c r="F18" s="14" t="inlineStr">
        <x:is>
          <x:t xml:space="preserve">7/3</x:t>
        </x:is>
      </x:c>
      <x:c r="G18" s="14" t="inlineStr">
        <x:is>
          <x:t xml:space="preserve">maybe</x:t>
        </x:is>
      </x:c>
    </x:row>
    <x:row r="19">
      <x:c r="A19" s="15" t="inlineStr">
        <x:is>
          <x:t xml:space="preserve">6/19</x:t>
        </x:is>
      </x:c>
      <x:c r="B19" s="15" t="inlineStr">
        <x:is>
          <x:t xml:space="preserve">ARM-2412</x:t>
        </x:is>
      </x:c>
      <x:c r="C19" s="15" t="inlineStr">
        <x:is>
          <x:t xml:space="preserve">CO-009</x:t>
        </x:is>
      </x:c>
      <x:c r="D19" s="15" t="inlineStr">
        <x:is>
          <x:t xml:space="preserve">PR</x:t>
        </x:is>
      </x:c>
      <x:c r="E19" s="15" t="inlineStr">
        <x:is>
          <x:t xml:space="preserve">PM forecast cross-reference noted</x:t>
        </x:is>
      </x:c>
      <x:c r="F19" s="15" t="inlineStr">
        <x:is>
          <x:t xml:space="preserve">see above</x:t>
        </x:is>
      </x:c>
      <x:c r="G19" s="15" t="n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4" customWidth="1"/>
    <x:col min="3" max="3" width="19" customWidth="1"/>
    <x:col min="4" max="4" width="24" customWidth="1"/>
    <x:col min="5" max="5" width="30" customWidth="1"/>
    <x:col min="6" max="6" width="18" customWidth="1"/>
  </x:cols>
  <x:sheetData>
    <x:row r="1">
      <x:c r="A1" s="12" t="inlineStr">
        <x:is>
          <x:t xml:space="preserve">Old Procore-to-accounting status crosswalk. 'Directed' was removed from the current policy but is still present in historical exports.</x:t>
        </x:is>
      </x:c>
    </x:row>
    <x:row r="2"/>
    <x:row r="3">
      <x:c r="A3" s="13" t="str">
        <x:v>Ops status</x:v>
      </x:c>
      <x:c r="B3" s="13" t="str">
        <x:v>Commercial log status</x:v>
      </x:c>
      <x:c r="C3" s="13" t="str">
        <x:v>Legacy code</x:v>
      </x:c>
      <x:c r="D3" s="13" t="str">
        <x:v>Current-system queue</x:v>
      </x:c>
      <x:c r="E3" s="13" t="str">
        <x:v>Record owner</x:v>
      </x:c>
      <x:c r="F3" s="13" t="str">
        <x:v>Last mapping review</x:v>
      </x:c>
    </x:row>
    <x:row r="4">
      <x:c r="A4" s="14" t="str">
        <x:v>Potential</x:v>
      </x:c>
      <x:c r="B4" s="14" t="str">
        <x:v>Draft</x:v>
      </x:c>
      <x:c r="C4" s="14" t="str">
        <x:v>PEND</x:v>
      </x:c>
      <x:c r="D4" s="14" t="str">
        <x:v>Commercial intake</x:v>
      </x:c>
      <x:c r="E4" s="14" t="str">
        <x:v>Commercial</x:v>
      </x:c>
      <x:c r="F4" s="14" t="str">
        <x:v>2024-11</x:v>
      </x:c>
    </x:row>
    <x:row r="5">
      <x:c r="A5" s="14" t="str">
        <x:v>Pricing</x:v>
      </x:c>
      <x:c r="B5" s="14" t="str">
        <x:v>Pricing</x:v>
      </x:c>
      <x:c r="C5" s="14" t="str">
        <x:v>PRICE</x:v>
      </x:c>
      <x:c r="D5" s="14" t="str">
        <x:v>Estimating</x:v>
      </x:c>
      <x:c r="E5" s="14" t="str">
        <x:v>Estimating / PM</x:v>
      </x:c>
      <x:c r="F5" s="14" t="str">
        <x:v>2024-11</x:v>
      </x:c>
    </x:row>
    <x:row r="6">
      <x:c r="A6" s="14" t="str">
        <x:v>Submitted</x:v>
      </x:c>
      <x:c r="B6" s="14" t="str">
        <x:v>Submitted</x:v>
      </x:c>
      <x:c r="C6" s="14" t="str">
        <x:v>SUBM</x:v>
      </x:c>
      <x:c r="D6" s="14" t="str">
        <x:v>Commercial review</x:v>
      </x:c>
      <x:c r="E6" s="14" t="str">
        <x:v>Commercial</x:v>
      </x:c>
      <x:c r="F6" s="14" t="str">
        <x:v>2024-11</x:v>
      </x:c>
    </x:row>
    <x:row r="7">
      <x:c r="A7" s="14" t="str">
        <x:v>Directed</x:v>
      </x:c>
      <x:c r="B7" s="14" t="str">
        <x:v>Under Review</x:v>
      </x:c>
      <x:c r="C7" s="14" t="str">
        <x:v>DIR</x:v>
      </x:c>
      <x:c r="D7" s="14" t="str">
        <x:v>Manual legacy queue</x:v>
      </x:c>
      <x:c r="E7" s="14" t="str">
        <x:v>Project Accounting</x:v>
      </x:c>
      <x:c r="F7" s="14" t="str">
        <x:v>2023-06</x:v>
      </x:c>
    </x:row>
    <x:row r="8">
      <x:c r="A8" s="14" t="str">
        <x:v>Approved</x:v>
      </x:c>
      <x:c r="B8" s="14" t="str">
        <x:v>Approved</x:v>
      </x:c>
      <x:c r="C8" s="14" t="str">
        <x:v>APPR</x:v>
      </x:c>
      <x:c r="D8" s="14" t="str">
        <x:v>Contract administration</x:v>
      </x:c>
      <x:c r="E8" s="14" t="str">
        <x:v>Project Accounting</x:v>
      </x:c>
      <x:c r="F8" s="14" t="str">
        <x:v>2024-11</x:v>
      </x:c>
    </x:row>
    <x:row r="9">
      <x:c r="A9" s="15" t="str">
        <x:v>Rejected</x:v>
      </x:c>
      <x:c r="B9" s="15" t="str">
        <x:v>Closed</x:v>
      </x:c>
      <x:c r="C9" s="15" t="str">
        <x:v>REJ</x:v>
      </x:c>
      <x:c r="D9" s="15" t="str">
        <x:v>Archive</x:v>
      </x:c>
      <x:c r="E9" s="15" t="str">
        <x:v>Commercial</x:v>
      </x:c>
      <x:c r="F9" s="15" t="str">
        <x:v>2024-11</x:v>
      </x:c>
    </x:row>
  </x:sheetData>
  <x:mergeCells>
    <x:mergeCell ref="A1:F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2026-08-31T04:40:19Z</dcterms:modified>
  <cp:lastModifiedBy>Unknown</cp:lastModifiedBy>
</cp:coreProperties>
</file>